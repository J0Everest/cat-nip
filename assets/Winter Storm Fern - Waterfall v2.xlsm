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schwarz\Downloads\"/>
    </mc:Choice>
  </mc:AlternateContent>
  <xr:revisionPtr revIDLastSave="0" documentId="13_ncr:1_{592F764E-22F0-4BBF-8FA1-B27E5C526273}" xr6:coauthVersionLast="47" xr6:coauthVersionMax="47" xr10:uidLastSave="{00000000-0000-0000-0000-000000000000}"/>
  <bookViews>
    <workbookView xWindow="-120" yWindow="-120" windowWidth="29040" windowHeight="15720" tabRatio="794" activeTab="2" xr2:uid="{00000000-000D-0000-FFFF-FFFF00000000}"/>
  </bookViews>
  <sheets>
    <sheet name="Event Summary" sheetId="30" r:id="rId1"/>
    <sheet name="Loss by Contract" sheetId="31" r:id="rId2"/>
    <sheet name="Net Waterfall" sheetId="8" r:id="rId3"/>
    <sheet name="IndustryEventsInfo1" sheetId="17" state="hidden" r:id="rId4"/>
    <sheet name="gross" sheetId="21" state="hidden" r:id="rId5"/>
    <sheet name="netoflogan" sheetId="25" state="hidden" r:id="rId6"/>
    <sheet name="netofcession" sheetId="26" state="hidden" r:id="rId7"/>
    <sheet name="reinstprem" sheetId="27" state="hidden" r:id="rId8"/>
    <sheet name="Input" sheetId="28" r:id="rId9"/>
    <sheet name="SQL" sheetId="29" r:id="rId10"/>
    <sheet name="Spread of events" sheetId="32" r:id="rId11"/>
    <sheet name="ByUWArea" sheetId="16" state="hidden" r:id="rId12"/>
    <sheet name="Lists1" sheetId="14" state="hidden" r:id="rId13"/>
  </sheets>
  <definedNames>
    <definedName name="_xlcn.WorksheetConnection_NetWaterfallExhibitTemplateWork.xlsxEverestLoss1" hidden="1">LossTable[]</definedName>
    <definedName name="MarketShareEst1" localSheetId="3">#REF!</definedName>
    <definedName name="MarketShareEst1" localSheetId="12">#REF!</definedName>
    <definedName name="MarketShareEst1" localSheetId="6">#REF!</definedName>
    <definedName name="MarketShareEst1" localSheetId="7">#REF!</definedName>
    <definedName name="MarketShareEst1">#REF!</definedName>
    <definedName name="MarketShareEst2" localSheetId="3">#REF!</definedName>
    <definedName name="MarketShareEst2" localSheetId="6">#REF!</definedName>
    <definedName name="MarketShareEst2" localSheetId="7">#REF!</definedName>
    <definedName name="MarketShareEst2">#REF!</definedName>
    <definedName name="_xlnm.Print_Area" localSheetId="2">'Net Waterfall'!$A$1:$T$64</definedName>
    <definedName name="UnModeledAdjFactor" localSheetId="3">#REF!</definedName>
    <definedName name="UnModeledAdjFactor" localSheetId="6">#REF!</definedName>
    <definedName name="UnModeledAdjFactor" localSheetId="7">#REF!</definedName>
    <definedName name="UnModeledAdjFactor">#REF!</definedName>
    <definedName name="uwareatable" localSheetId="3">#REF!</definedName>
    <definedName name="uwareatable" localSheetId="12">Lists1!$C$4:$D$24</definedName>
    <definedName name="uwareatable" localSheetId="6">#REF!</definedName>
    <definedName name="uwareatable" localSheetId="7">#REF!</definedName>
    <definedName name="uwareatable">#REF!</definedName>
  </definedNames>
  <calcPr calcId="191028"/>
  <pivotCaches>
    <pivotCache cacheId="50" r:id="rId14"/>
    <pivotCache cacheId="94" r:id="rId1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verestLoss" name="EverestLoss" connection="WorksheetConnection_Net Waterfall Exhibit - Template Work.xlsx!EverestLos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32" l="1"/>
  <c r="N4" i="32"/>
  <c r="M4" i="32"/>
  <c r="O3" i="32"/>
  <c r="N3" i="32"/>
  <c r="M3" i="32"/>
  <c r="O2" i="32"/>
  <c r="N2" i="32"/>
  <c r="M2" i="32"/>
  <c r="J265" i="32"/>
  <c r="J264" i="32"/>
  <c r="J263" i="32"/>
  <c r="J262" i="32"/>
  <c r="J261" i="32"/>
  <c r="J260" i="32"/>
  <c r="J259" i="32"/>
  <c r="J258" i="32"/>
  <c r="J257" i="32"/>
  <c r="I258" i="32"/>
  <c r="I259" i="32"/>
  <c r="I260" i="32"/>
  <c r="I261" i="32"/>
  <c r="I262" i="32"/>
  <c r="I263" i="32"/>
  <c r="I264" i="32"/>
  <c r="I265" i="32"/>
  <c r="I257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G2" i="32"/>
  <c r="H2" i="32"/>
  <c r="I2" i="32"/>
  <c r="G3" i="32"/>
  <c r="H3" i="32"/>
  <c r="I3" i="32"/>
  <c r="G4" i="32"/>
  <c r="H4" i="32"/>
  <c r="I4" i="32"/>
  <c r="Y994" i="28"/>
  <c r="Y995" i="28"/>
  <c r="Y996" i="28"/>
  <c r="Y997" i="28"/>
  <c r="Y998" i="28"/>
  <c r="Y999" i="28"/>
  <c r="Y1000" i="28"/>
  <c r="Y1001" i="28"/>
  <c r="Y1002" i="28"/>
  <c r="Y1003" i="28"/>
  <c r="Y1004" i="28"/>
  <c r="Y1005" i="28"/>
  <c r="Y1006" i="28"/>
  <c r="Y1007" i="28"/>
  <c r="Y1008" i="28"/>
  <c r="Y1009" i="28"/>
  <c r="Y1010" i="28"/>
  <c r="E6" i="8"/>
  <c r="D6" i="8"/>
  <c r="C6" i="8"/>
  <c r="Y7" i="28"/>
  <c r="Y8" i="28"/>
  <c r="Y9" i="28"/>
  <c r="Y10" i="28"/>
  <c r="Y11" i="28"/>
  <c r="Y12" i="28"/>
  <c r="Y13" i="28"/>
  <c r="Y14" i="28"/>
  <c r="Y15" i="28"/>
  <c r="Y16" i="28"/>
  <c r="Y17" i="28"/>
  <c r="Y18" i="28"/>
  <c r="Y19" i="28"/>
  <c r="Y20" i="28"/>
  <c r="Y21" i="28"/>
  <c r="Y22" i="28"/>
  <c r="Y23" i="28"/>
  <c r="Y24" i="28"/>
  <c r="Y25" i="28"/>
  <c r="Y26" i="28"/>
  <c r="Y27" i="28"/>
  <c r="Y28" i="28"/>
  <c r="Y29" i="28"/>
  <c r="Y30" i="28"/>
  <c r="Y31" i="28"/>
  <c r="Y32" i="28"/>
  <c r="Y33" i="28"/>
  <c r="Y34" i="28"/>
  <c r="Y35" i="28"/>
  <c r="Y36" i="28"/>
  <c r="Y37" i="28"/>
  <c r="Y38" i="28"/>
  <c r="Y39" i="28"/>
  <c r="Y40" i="28"/>
  <c r="Y41" i="28"/>
  <c r="Y42" i="28"/>
  <c r="Y43" i="28"/>
  <c r="Y44" i="28"/>
  <c r="Y45" i="28"/>
  <c r="Y46" i="28"/>
  <c r="Y47" i="28"/>
  <c r="Y48" i="28"/>
  <c r="Y49" i="28"/>
  <c r="Y50" i="28"/>
  <c r="Y51" i="28"/>
  <c r="Y52" i="28"/>
  <c r="Y53" i="28"/>
  <c r="Y54" i="28"/>
  <c r="Y55" i="28"/>
  <c r="Y56" i="28"/>
  <c r="Y57" i="28"/>
  <c r="Y58" i="28"/>
  <c r="Y59" i="28"/>
  <c r="Y60" i="28"/>
  <c r="Y61" i="28"/>
  <c r="Y62" i="28"/>
  <c r="Y63" i="28"/>
  <c r="Y64" i="28"/>
  <c r="Y65" i="28"/>
  <c r="Y66" i="28"/>
  <c r="Y67" i="28"/>
  <c r="Y68" i="28"/>
  <c r="Y69" i="28"/>
  <c r="Y70" i="28"/>
  <c r="Y71" i="28"/>
  <c r="Y72" i="28"/>
  <c r="Y73" i="28"/>
  <c r="Y74" i="28"/>
  <c r="Y75" i="28"/>
  <c r="Y76" i="28"/>
  <c r="Y77" i="28"/>
  <c r="Y78" i="28"/>
  <c r="Y79" i="28"/>
  <c r="Y80" i="28"/>
  <c r="Y81" i="28"/>
  <c r="Y82" i="28"/>
  <c r="Y83" i="28"/>
  <c r="Y84" i="28"/>
  <c r="Y85" i="28"/>
  <c r="Y86" i="28"/>
  <c r="Y87" i="28"/>
  <c r="Y88" i="28"/>
  <c r="Y89" i="28"/>
  <c r="Y90" i="28"/>
  <c r="Y91" i="28"/>
  <c r="Y92" i="28"/>
  <c r="Y93" i="28"/>
  <c r="Y94" i="28"/>
  <c r="Y95" i="28"/>
  <c r="Y96" i="28"/>
  <c r="Y97" i="28"/>
  <c r="Y98" i="28"/>
  <c r="Y99" i="28"/>
  <c r="Y100" i="28"/>
  <c r="Y101" i="28"/>
  <c r="Y102" i="28"/>
  <c r="Y103" i="28"/>
  <c r="Y104" i="28"/>
  <c r="Y105" i="28"/>
  <c r="Y106" i="28"/>
  <c r="Y107" i="28"/>
  <c r="Y108" i="28"/>
  <c r="Y109" i="28"/>
  <c r="Y110" i="28"/>
  <c r="Y111" i="28"/>
  <c r="Y112" i="28"/>
  <c r="Y113" i="28"/>
  <c r="Y114" i="28"/>
  <c r="Y115" i="28"/>
  <c r="Y116" i="28"/>
  <c r="Y117" i="28"/>
  <c r="Y118" i="28"/>
  <c r="Y119" i="28"/>
  <c r="Y120" i="28"/>
  <c r="Y121" i="28"/>
  <c r="Y122" i="28"/>
  <c r="Y123" i="28"/>
  <c r="Y124" i="28"/>
  <c r="Y125" i="28"/>
  <c r="Y126" i="28"/>
  <c r="Y127" i="28"/>
  <c r="Y128" i="28"/>
  <c r="Y129" i="28"/>
  <c r="Y130" i="28"/>
  <c r="Y131" i="28"/>
  <c r="Y132" i="28"/>
  <c r="Y133" i="28"/>
  <c r="Y134" i="28"/>
  <c r="Y135" i="28"/>
  <c r="Y136" i="28"/>
  <c r="Y137" i="28"/>
  <c r="Y138" i="28"/>
  <c r="Y139" i="28"/>
  <c r="Y140" i="28"/>
  <c r="Y141" i="28"/>
  <c r="Y142" i="28"/>
  <c r="Y143" i="28"/>
  <c r="Y144" i="28"/>
  <c r="Y145" i="28"/>
  <c r="Y146" i="28"/>
  <c r="Y147" i="28"/>
  <c r="Y148" i="28"/>
  <c r="Y149" i="28"/>
  <c r="Y150" i="28"/>
  <c r="Y151" i="28"/>
  <c r="Y152" i="28"/>
  <c r="Y153" i="28"/>
  <c r="Y154" i="28"/>
  <c r="Y155" i="28"/>
  <c r="Y156" i="28"/>
  <c r="Y157" i="28"/>
  <c r="Y158" i="28"/>
  <c r="Y159" i="28"/>
  <c r="Y160" i="28"/>
  <c r="Y161" i="28"/>
  <c r="Y162" i="28"/>
  <c r="Y163" i="28"/>
  <c r="Y164" i="28"/>
  <c r="Y165" i="28"/>
  <c r="Y166" i="28"/>
  <c r="Y167" i="28"/>
  <c r="Y168" i="28"/>
  <c r="Y169" i="28"/>
  <c r="Y170" i="28"/>
  <c r="Y171" i="28"/>
  <c r="Y172" i="28"/>
  <c r="Y173" i="28"/>
  <c r="Y174" i="28"/>
  <c r="Y175" i="28"/>
  <c r="Y176" i="28"/>
  <c r="Y177" i="28"/>
  <c r="Y178" i="28"/>
  <c r="Y179" i="28"/>
  <c r="Y180" i="28"/>
  <c r="Y181" i="28"/>
  <c r="Y182" i="28"/>
  <c r="Y183" i="28"/>
  <c r="Y184" i="28"/>
  <c r="Y185" i="28"/>
  <c r="Y186" i="28"/>
  <c r="Y187" i="28"/>
  <c r="Y188" i="28"/>
  <c r="Y189" i="28"/>
  <c r="Y190" i="28"/>
  <c r="Y191" i="28"/>
  <c r="Y192" i="28"/>
  <c r="Y193" i="28"/>
  <c r="Y194" i="28"/>
  <c r="Y195" i="28"/>
  <c r="Y196" i="28"/>
  <c r="Y197" i="28"/>
  <c r="Y198" i="28"/>
  <c r="Y199" i="28"/>
  <c r="Y200" i="28"/>
  <c r="Y201" i="28"/>
  <c r="Y202" i="28"/>
  <c r="Y203" i="28"/>
  <c r="Y204" i="28"/>
  <c r="Y205" i="28"/>
  <c r="Y206" i="28"/>
  <c r="Y207" i="28"/>
  <c r="Y208" i="28"/>
  <c r="Y209" i="28"/>
  <c r="Y210" i="28"/>
  <c r="Y211" i="28"/>
  <c r="Y212" i="28"/>
  <c r="Y213" i="28"/>
  <c r="Y214" i="28"/>
  <c r="Y215" i="28"/>
  <c r="Y216" i="28"/>
  <c r="Y217" i="28"/>
  <c r="Y218" i="28"/>
  <c r="Y219" i="28"/>
  <c r="Y220" i="28"/>
  <c r="Y221" i="28"/>
  <c r="Y222" i="28"/>
  <c r="Y223" i="28"/>
  <c r="Y224" i="28"/>
  <c r="Y225" i="28"/>
  <c r="Y226" i="28"/>
  <c r="Y227" i="28"/>
  <c r="Y228" i="28"/>
  <c r="Y229" i="28"/>
  <c r="Y230" i="28"/>
  <c r="Y231" i="28"/>
  <c r="Y232" i="28"/>
  <c r="Y233" i="28"/>
  <c r="Y234" i="28"/>
  <c r="Y235" i="28"/>
  <c r="Y236" i="28"/>
  <c r="Y237" i="28"/>
  <c r="Y238" i="28"/>
  <c r="Y239" i="28"/>
  <c r="Y240" i="28"/>
  <c r="Y241" i="28"/>
  <c r="Y242" i="28"/>
  <c r="Y243" i="28"/>
  <c r="Y244" i="28"/>
  <c r="Y245" i="28"/>
  <c r="Y246" i="28"/>
  <c r="Y247" i="28"/>
  <c r="Y248" i="28"/>
  <c r="Y249" i="28"/>
  <c r="Y250" i="28"/>
  <c r="Y251" i="28"/>
  <c r="Y252" i="28"/>
  <c r="Y253" i="28"/>
  <c r="Y254" i="28"/>
  <c r="Y255" i="28"/>
  <c r="Y256" i="28"/>
  <c r="Y257" i="28"/>
  <c r="Y258" i="28"/>
  <c r="Y259" i="28"/>
  <c r="Y260" i="28"/>
  <c r="Y261" i="28"/>
  <c r="Y262" i="28"/>
  <c r="Y263" i="28"/>
  <c r="Y264" i="28"/>
  <c r="Y265" i="28"/>
  <c r="Y266" i="28"/>
  <c r="Y267" i="28"/>
  <c r="Y268" i="28"/>
  <c r="Y269" i="28"/>
  <c r="Y270" i="28"/>
  <c r="Y271" i="28"/>
  <c r="Y272" i="28"/>
  <c r="Y273" i="28"/>
  <c r="Y274" i="28"/>
  <c r="Y275" i="28"/>
  <c r="Y276" i="28"/>
  <c r="Y277" i="28"/>
  <c r="Y278" i="28"/>
  <c r="Y279" i="28"/>
  <c r="Y280" i="28"/>
  <c r="Y281" i="28"/>
  <c r="Y282" i="28"/>
  <c r="Y283" i="28"/>
  <c r="Y284" i="28"/>
  <c r="Y285" i="28"/>
  <c r="Y286" i="28"/>
  <c r="Y287" i="28"/>
  <c r="Y288" i="28"/>
  <c r="Y289" i="28"/>
  <c r="Y290" i="28"/>
  <c r="Y291" i="28"/>
  <c r="Y292" i="28"/>
  <c r="Y293" i="28"/>
  <c r="Y294" i="28"/>
  <c r="Y295" i="28"/>
  <c r="Y296" i="28"/>
  <c r="Y297" i="28"/>
  <c r="Y298" i="28"/>
  <c r="Y299" i="28"/>
  <c r="Y300" i="28"/>
  <c r="Y301" i="28"/>
  <c r="Y302" i="28"/>
  <c r="Y303" i="28"/>
  <c r="Y304" i="28"/>
  <c r="Y305" i="28"/>
  <c r="Y306" i="28"/>
  <c r="Y307" i="28"/>
  <c r="Y308" i="28"/>
  <c r="Y309" i="28"/>
  <c r="Y310" i="28"/>
  <c r="Y311" i="28"/>
  <c r="Y312" i="28"/>
  <c r="Y313" i="28"/>
  <c r="Y314" i="28"/>
  <c r="Y315" i="28"/>
  <c r="Y316" i="28"/>
  <c r="Y317" i="28"/>
  <c r="Y318" i="28"/>
  <c r="Y319" i="28"/>
  <c r="Y320" i="28"/>
  <c r="Y321" i="28"/>
  <c r="Y322" i="28"/>
  <c r="Y323" i="28"/>
  <c r="Y324" i="28"/>
  <c r="Y325" i="28"/>
  <c r="Y326" i="28"/>
  <c r="Y327" i="28"/>
  <c r="Y328" i="28"/>
  <c r="Y329" i="28"/>
  <c r="Y330" i="28"/>
  <c r="Y331" i="28"/>
  <c r="Y332" i="28"/>
  <c r="Y333" i="28"/>
  <c r="Y334" i="28"/>
  <c r="Y335" i="28"/>
  <c r="Y336" i="28"/>
  <c r="Y337" i="28"/>
  <c r="Y338" i="28"/>
  <c r="Y339" i="28"/>
  <c r="Y340" i="28"/>
  <c r="Y341" i="28"/>
  <c r="Y342" i="28"/>
  <c r="Y343" i="28"/>
  <c r="Y344" i="28"/>
  <c r="Y345" i="28"/>
  <c r="Y346" i="28"/>
  <c r="Y347" i="28"/>
  <c r="Y348" i="28"/>
  <c r="Y349" i="28"/>
  <c r="Y350" i="28"/>
  <c r="Y351" i="28"/>
  <c r="Y352" i="28"/>
  <c r="Y353" i="28"/>
  <c r="Y354" i="28"/>
  <c r="Y355" i="28"/>
  <c r="Y356" i="28"/>
  <c r="Y357" i="28"/>
  <c r="Y358" i="28"/>
  <c r="Y359" i="28"/>
  <c r="Y360" i="28"/>
  <c r="Y361" i="28"/>
  <c r="Y362" i="28"/>
  <c r="Y363" i="28"/>
  <c r="Y364" i="28"/>
  <c r="Y365" i="28"/>
  <c r="Y366" i="28"/>
  <c r="Y367" i="28"/>
  <c r="Y368" i="28"/>
  <c r="Y369" i="28"/>
  <c r="Y370" i="28"/>
  <c r="Y371" i="28"/>
  <c r="Y372" i="28"/>
  <c r="Y373" i="28"/>
  <c r="Y374" i="28"/>
  <c r="Y375" i="28"/>
  <c r="Y376" i="28"/>
  <c r="Y377" i="28"/>
  <c r="Y378" i="28"/>
  <c r="Y379" i="28"/>
  <c r="Y380" i="28"/>
  <c r="Y381" i="28"/>
  <c r="Y382" i="28"/>
  <c r="Y383" i="28"/>
  <c r="Y384" i="28"/>
  <c r="Y385" i="28"/>
  <c r="Y386" i="28"/>
  <c r="Y387" i="28"/>
  <c r="Y388" i="28"/>
  <c r="Y389" i="28"/>
  <c r="Y390" i="28"/>
  <c r="Y391" i="28"/>
  <c r="Y392" i="28"/>
  <c r="Y393" i="28"/>
  <c r="Y394" i="28"/>
  <c r="Y395" i="28"/>
  <c r="Y396" i="28"/>
  <c r="Y397" i="28"/>
  <c r="Y398" i="28"/>
  <c r="Y399" i="28"/>
  <c r="Y400" i="28"/>
  <c r="Y401" i="28"/>
  <c r="Y402" i="28"/>
  <c r="Y403" i="28"/>
  <c r="Y404" i="28"/>
  <c r="Y405" i="28"/>
  <c r="Y406" i="28"/>
  <c r="Y407" i="28"/>
  <c r="Y408" i="28"/>
  <c r="Y409" i="28"/>
  <c r="Y410" i="28"/>
  <c r="Y411" i="28"/>
  <c r="Y412" i="28"/>
  <c r="Y413" i="28"/>
  <c r="Y414" i="28"/>
  <c r="Y415" i="28"/>
  <c r="Y416" i="28"/>
  <c r="Y417" i="28"/>
  <c r="Y418" i="28"/>
  <c r="Y419" i="28"/>
  <c r="Y420" i="28"/>
  <c r="Y421" i="28"/>
  <c r="Y422" i="28"/>
  <c r="Y423" i="28"/>
  <c r="Y424" i="28"/>
  <c r="Y425" i="28"/>
  <c r="Y426" i="28"/>
  <c r="Y427" i="28"/>
  <c r="Y428" i="28"/>
  <c r="Y429" i="28"/>
  <c r="Y430" i="28"/>
  <c r="Y431" i="28"/>
  <c r="Y432" i="28"/>
  <c r="Y433" i="28"/>
  <c r="Y434" i="28"/>
  <c r="Y435" i="28"/>
  <c r="Y436" i="28"/>
  <c r="Y437" i="28"/>
  <c r="Y438" i="28"/>
  <c r="Y439" i="28"/>
  <c r="Y440" i="28"/>
  <c r="Y441" i="28"/>
  <c r="Y442" i="28"/>
  <c r="Y443" i="28"/>
  <c r="Y444" i="28"/>
  <c r="Y445" i="28"/>
  <c r="Y446" i="28"/>
  <c r="Y447" i="28"/>
  <c r="Y448" i="28"/>
  <c r="Y449" i="28"/>
  <c r="Y450" i="28"/>
  <c r="Y451" i="28"/>
  <c r="Y452" i="28"/>
  <c r="Y453" i="28"/>
  <c r="Y454" i="28"/>
  <c r="Y455" i="28"/>
  <c r="Y456" i="28"/>
  <c r="Y457" i="28"/>
  <c r="Y458" i="28"/>
  <c r="Y459" i="28"/>
  <c r="Y460" i="28"/>
  <c r="Y461" i="28"/>
  <c r="Y462" i="28"/>
  <c r="Y463" i="28"/>
  <c r="Y464" i="28"/>
  <c r="Y465" i="28"/>
  <c r="Y466" i="28"/>
  <c r="Y467" i="28"/>
  <c r="Y468" i="28"/>
  <c r="Y469" i="28"/>
  <c r="Y470" i="28"/>
  <c r="Y471" i="28"/>
  <c r="Y472" i="28"/>
  <c r="Y473" i="28"/>
  <c r="Y474" i="28"/>
  <c r="Y475" i="28"/>
  <c r="Y476" i="28"/>
  <c r="Y477" i="28"/>
  <c r="Y478" i="28"/>
  <c r="Y479" i="28"/>
  <c r="Y480" i="28"/>
  <c r="Y481" i="28"/>
  <c r="Y482" i="28"/>
  <c r="Y483" i="28"/>
  <c r="Y484" i="28"/>
  <c r="Y485" i="28"/>
  <c r="Y486" i="28"/>
  <c r="Y487" i="28"/>
  <c r="Y488" i="28"/>
  <c r="Y489" i="28"/>
  <c r="Y490" i="28"/>
  <c r="Y491" i="28"/>
  <c r="Y492" i="28"/>
  <c r="Y493" i="28"/>
  <c r="Y494" i="28"/>
  <c r="Y495" i="28"/>
  <c r="Y496" i="28"/>
  <c r="Y497" i="28"/>
  <c r="Y498" i="28"/>
  <c r="Y499" i="28"/>
  <c r="Y500" i="28"/>
  <c r="Y501" i="28"/>
  <c r="Y502" i="28"/>
  <c r="Y503" i="28"/>
  <c r="Y504" i="28"/>
  <c r="Y505" i="28"/>
  <c r="Y506" i="28"/>
  <c r="Y507" i="28"/>
  <c r="Y508" i="28"/>
  <c r="Y509" i="28"/>
  <c r="Y510" i="28"/>
  <c r="Y511" i="28"/>
  <c r="Y512" i="28"/>
  <c r="Y513" i="28"/>
  <c r="Y514" i="28"/>
  <c r="Y515" i="28"/>
  <c r="Y516" i="28"/>
  <c r="Y517" i="28"/>
  <c r="Y518" i="28"/>
  <c r="Y519" i="28"/>
  <c r="Y520" i="28"/>
  <c r="Y521" i="28"/>
  <c r="Y522" i="28"/>
  <c r="Y523" i="28"/>
  <c r="Y524" i="28"/>
  <c r="Y525" i="28"/>
  <c r="Y526" i="28"/>
  <c r="Y527" i="28"/>
  <c r="Y528" i="28"/>
  <c r="Y529" i="28"/>
  <c r="Y530" i="28"/>
  <c r="Y531" i="28"/>
  <c r="Y532" i="28"/>
  <c r="Y533" i="28"/>
  <c r="Y534" i="28"/>
  <c r="Y535" i="28"/>
  <c r="Y536" i="28"/>
  <c r="Y537" i="28"/>
  <c r="Y538" i="28"/>
  <c r="Y539" i="28"/>
  <c r="Y540" i="28"/>
  <c r="Y541" i="28"/>
  <c r="Y542" i="28"/>
  <c r="Y543" i="28"/>
  <c r="Y544" i="28"/>
  <c r="Y545" i="28"/>
  <c r="Y546" i="28"/>
  <c r="Y547" i="28"/>
  <c r="Y548" i="28"/>
  <c r="Y549" i="28"/>
  <c r="Y550" i="28"/>
  <c r="Y551" i="28"/>
  <c r="Y552" i="28"/>
  <c r="Y553" i="28"/>
  <c r="Y554" i="28"/>
  <c r="Y555" i="28"/>
  <c r="Y556" i="28"/>
  <c r="Y557" i="28"/>
  <c r="Y558" i="28"/>
  <c r="Y559" i="28"/>
  <c r="Y560" i="28"/>
  <c r="Y561" i="28"/>
  <c r="Y562" i="28"/>
  <c r="Y563" i="28"/>
  <c r="Y564" i="28"/>
  <c r="Y565" i="28"/>
  <c r="Y566" i="28"/>
  <c r="Y567" i="28"/>
  <c r="Y568" i="28"/>
  <c r="Y569" i="28"/>
  <c r="Y570" i="28"/>
  <c r="Y571" i="28"/>
  <c r="Y572" i="28"/>
  <c r="Y573" i="28"/>
  <c r="Y574" i="28"/>
  <c r="Y575" i="28"/>
  <c r="Y576" i="28"/>
  <c r="Y577" i="28"/>
  <c r="Y578" i="28"/>
  <c r="Y579" i="28"/>
  <c r="Y580" i="28"/>
  <c r="Y581" i="28"/>
  <c r="Y582" i="28"/>
  <c r="Y583" i="28"/>
  <c r="Y584" i="28"/>
  <c r="Y585" i="28"/>
  <c r="Y586" i="28"/>
  <c r="Y587" i="28"/>
  <c r="Y588" i="28"/>
  <c r="Y589" i="28"/>
  <c r="Y590" i="28"/>
  <c r="Y591" i="28"/>
  <c r="Y592" i="28"/>
  <c r="Y593" i="28"/>
  <c r="Y594" i="28"/>
  <c r="Y595" i="28"/>
  <c r="Y596" i="28"/>
  <c r="Y597" i="28"/>
  <c r="Y598" i="28"/>
  <c r="Y599" i="28"/>
  <c r="Y600" i="28"/>
  <c r="Y601" i="28"/>
  <c r="Y602" i="28"/>
  <c r="Y603" i="28"/>
  <c r="Y604" i="28"/>
  <c r="Y605" i="28"/>
  <c r="Y606" i="28"/>
  <c r="Y607" i="28"/>
  <c r="Y608" i="28"/>
  <c r="Y609" i="28"/>
  <c r="Y610" i="28"/>
  <c r="Y611" i="28"/>
  <c r="Y612" i="28"/>
  <c r="Y613" i="28"/>
  <c r="Y614" i="28"/>
  <c r="Y615" i="28"/>
  <c r="Y616" i="28"/>
  <c r="Y617" i="28"/>
  <c r="Y618" i="28"/>
  <c r="Y619" i="28"/>
  <c r="Y620" i="28"/>
  <c r="Y621" i="28"/>
  <c r="Y622" i="28"/>
  <c r="Y623" i="28"/>
  <c r="Y624" i="28"/>
  <c r="Y625" i="28"/>
  <c r="Y626" i="28"/>
  <c r="Y627" i="28"/>
  <c r="Y628" i="28"/>
  <c r="Y629" i="28"/>
  <c r="Y630" i="28"/>
  <c r="Y631" i="28"/>
  <c r="Y632" i="28"/>
  <c r="Y633" i="28"/>
  <c r="Y634" i="28"/>
  <c r="Y635" i="28"/>
  <c r="Y636" i="28"/>
  <c r="Y637" i="28"/>
  <c r="Y638" i="28"/>
  <c r="Y639" i="28"/>
  <c r="Y640" i="28"/>
  <c r="Y641" i="28"/>
  <c r="Y642" i="28"/>
  <c r="Y643" i="28"/>
  <c r="Y644" i="28"/>
  <c r="Y645" i="28"/>
  <c r="Y646" i="28"/>
  <c r="Y647" i="28"/>
  <c r="Y648" i="28"/>
  <c r="Y649" i="28"/>
  <c r="Y650" i="28"/>
  <c r="Y651" i="28"/>
  <c r="Y652" i="28"/>
  <c r="Y653" i="28"/>
  <c r="Y654" i="28"/>
  <c r="Y655" i="28"/>
  <c r="Y656" i="28"/>
  <c r="Y657" i="28"/>
  <c r="Y658" i="28"/>
  <c r="Y659" i="28"/>
  <c r="Y660" i="28"/>
  <c r="Y661" i="28"/>
  <c r="Y662" i="28"/>
  <c r="Y663" i="28"/>
  <c r="Y664" i="28"/>
  <c r="Y665" i="28"/>
  <c r="Y666" i="28"/>
  <c r="Y667" i="28"/>
  <c r="Y668" i="28"/>
  <c r="Y669" i="28"/>
  <c r="Y670" i="28"/>
  <c r="Y671" i="28"/>
  <c r="Y672" i="28"/>
  <c r="Y673" i="28"/>
  <c r="Y674" i="28"/>
  <c r="Y675" i="28"/>
  <c r="Y676" i="28"/>
  <c r="Y677" i="28"/>
  <c r="Y678" i="28"/>
  <c r="Y679" i="28"/>
  <c r="Y680" i="28"/>
  <c r="Y681" i="28"/>
  <c r="Y682" i="28"/>
  <c r="Y683" i="28"/>
  <c r="Y684" i="28"/>
  <c r="Y685" i="28"/>
  <c r="Y686" i="28"/>
  <c r="Y687" i="28"/>
  <c r="Y688" i="28"/>
  <c r="Y689" i="28"/>
  <c r="Y690" i="28"/>
  <c r="Y691" i="28"/>
  <c r="Y692" i="28"/>
  <c r="Y693" i="28"/>
  <c r="Y694" i="28"/>
  <c r="Y695" i="28"/>
  <c r="Y696" i="28"/>
  <c r="Y697" i="28"/>
  <c r="Y698" i="28"/>
  <c r="Y699" i="28"/>
  <c r="Y700" i="28"/>
  <c r="Y701" i="28"/>
  <c r="Y702" i="28"/>
  <c r="Y703" i="28"/>
  <c r="Y704" i="28"/>
  <c r="Y705" i="28"/>
  <c r="Y706" i="28"/>
  <c r="Y707" i="28"/>
  <c r="Y708" i="28"/>
  <c r="Y709" i="28"/>
  <c r="Y710" i="28"/>
  <c r="Y711" i="28"/>
  <c r="Y712" i="28"/>
  <c r="Y713" i="28"/>
  <c r="Y714" i="28"/>
  <c r="Y715" i="28"/>
  <c r="Y716" i="28"/>
  <c r="Y717" i="28"/>
  <c r="Y718" i="28"/>
  <c r="Y719" i="28"/>
  <c r="Y720" i="28"/>
  <c r="Y721" i="28"/>
  <c r="Y722" i="28"/>
  <c r="Y723" i="28"/>
  <c r="Y724" i="28"/>
  <c r="Y725" i="28"/>
  <c r="Y726" i="28"/>
  <c r="Y727" i="28"/>
  <c r="Y728" i="28"/>
  <c r="Y729" i="28"/>
  <c r="Y730" i="28"/>
  <c r="Y731" i="28"/>
  <c r="Y732" i="28"/>
  <c r="Y733" i="28"/>
  <c r="Y734" i="28"/>
  <c r="Y735" i="28"/>
  <c r="Y736" i="28"/>
  <c r="Y737" i="28"/>
  <c r="Y738" i="28"/>
  <c r="Y739" i="28"/>
  <c r="Y740" i="28"/>
  <c r="Y741" i="28"/>
  <c r="Y742" i="28"/>
  <c r="Y743" i="28"/>
  <c r="Y744" i="28"/>
  <c r="Y745" i="28"/>
  <c r="Y746" i="28"/>
  <c r="Y747" i="28"/>
  <c r="Y748" i="28"/>
  <c r="Y749" i="28"/>
  <c r="Y750" i="28"/>
  <c r="Y751" i="28"/>
  <c r="Y752" i="28"/>
  <c r="Y753" i="28"/>
  <c r="Y754" i="28"/>
  <c r="Y755" i="28"/>
  <c r="Y756" i="28"/>
  <c r="Y757" i="28"/>
  <c r="Y758" i="28"/>
  <c r="Y759" i="28"/>
  <c r="Y760" i="28"/>
  <c r="Y761" i="28"/>
  <c r="Y762" i="28"/>
  <c r="Y763" i="28"/>
  <c r="Y764" i="28"/>
  <c r="Y765" i="28"/>
  <c r="Y766" i="28"/>
  <c r="Y767" i="28"/>
  <c r="Y768" i="28"/>
  <c r="Y769" i="28"/>
  <c r="Y770" i="28"/>
  <c r="Y771" i="28"/>
  <c r="Y772" i="28"/>
  <c r="Y773" i="28"/>
  <c r="Y774" i="28"/>
  <c r="Y775" i="28"/>
  <c r="Y776" i="28"/>
  <c r="Y777" i="28"/>
  <c r="Y778" i="28"/>
  <c r="Y779" i="28"/>
  <c r="Y780" i="28"/>
  <c r="Y781" i="28"/>
  <c r="Y782" i="28"/>
  <c r="Y783" i="28"/>
  <c r="Y784" i="28"/>
  <c r="Y785" i="28"/>
  <c r="Y786" i="28"/>
  <c r="Y787" i="28"/>
  <c r="Y788" i="28"/>
  <c r="Y789" i="28"/>
  <c r="Y790" i="28"/>
  <c r="Y791" i="28"/>
  <c r="Y792" i="28"/>
  <c r="Y793" i="28"/>
  <c r="Y794" i="28"/>
  <c r="Y795" i="28"/>
  <c r="Y796" i="28"/>
  <c r="Y797" i="28"/>
  <c r="Y798" i="28"/>
  <c r="Y799" i="28"/>
  <c r="Y800" i="28"/>
  <c r="Y801" i="28"/>
  <c r="Y802" i="28"/>
  <c r="Y803" i="28"/>
  <c r="Y804" i="28"/>
  <c r="Y805" i="28"/>
  <c r="Y806" i="28"/>
  <c r="Y807" i="28"/>
  <c r="Y808" i="28"/>
  <c r="Y809" i="28"/>
  <c r="Y810" i="28"/>
  <c r="Y811" i="28"/>
  <c r="Y812" i="28"/>
  <c r="Y813" i="28"/>
  <c r="Y814" i="28"/>
  <c r="Y815" i="28"/>
  <c r="Y816" i="28"/>
  <c r="Y817" i="28"/>
  <c r="Y818" i="28"/>
  <c r="Y819" i="28"/>
  <c r="Y820" i="28"/>
  <c r="Y821" i="28"/>
  <c r="Y822" i="28"/>
  <c r="Y823" i="28"/>
  <c r="Y824" i="28"/>
  <c r="Y825" i="28"/>
  <c r="Y826" i="28"/>
  <c r="Y827" i="28"/>
  <c r="Y828" i="28"/>
  <c r="Y829" i="28"/>
  <c r="Y830" i="28"/>
  <c r="Y831" i="28"/>
  <c r="Y832" i="28"/>
  <c r="Y833" i="28"/>
  <c r="Y834" i="28"/>
  <c r="Y835" i="28"/>
  <c r="Y836" i="28"/>
  <c r="Y837" i="28"/>
  <c r="Y838" i="28"/>
  <c r="Y839" i="28"/>
  <c r="Y840" i="28"/>
  <c r="Y841" i="28"/>
  <c r="Y842" i="28"/>
  <c r="Y843" i="28"/>
  <c r="Y844" i="28"/>
  <c r="Y845" i="28"/>
  <c r="Y846" i="28"/>
  <c r="Y847" i="28"/>
  <c r="Y848" i="28"/>
  <c r="Y849" i="28"/>
  <c r="Y850" i="28"/>
  <c r="Y851" i="28"/>
  <c r="Y852" i="28"/>
  <c r="Y853" i="28"/>
  <c r="Y854" i="28"/>
  <c r="Y855" i="28"/>
  <c r="Y856" i="28"/>
  <c r="Y857" i="28"/>
  <c r="Y858" i="28"/>
  <c r="Y859" i="28"/>
  <c r="Y860" i="28"/>
  <c r="Y861" i="28"/>
  <c r="Y862" i="28"/>
  <c r="Y863" i="28"/>
  <c r="Y864" i="28"/>
  <c r="Y865" i="28"/>
  <c r="Y866" i="28"/>
  <c r="Y867" i="28"/>
  <c r="Y868" i="28"/>
  <c r="Y869" i="28"/>
  <c r="Y870" i="28"/>
  <c r="Y871" i="28"/>
  <c r="Y872" i="28"/>
  <c r="Y873" i="28"/>
  <c r="Y874" i="28"/>
  <c r="Y875" i="28"/>
  <c r="Y876" i="28"/>
  <c r="Y877" i="28"/>
  <c r="Y878" i="28"/>
  <c r="Y879" i="28"/>
  <c r="Y880" i="28"/>
  <c r="Y881" i="28"/>
  <c r="Y882" i="28"/>
  <c r="Y883" i="28"/>
  <c r="Y884" i="28"/>
  <c r="Y885" i="28"/>
  <c r="Y886" i="28"/>
  <c r="Y887" i="28"/>
  <c r="Y888" i="28"/>
  <c r="Y889" i="28"/>
  <c r="Y890" i="28"/>
  <c r="Y891" i="28"/>
  <c r="Y892" i="28"/>
  <c r="Y893" i="28"/>
  <c r="Y894" i="28"/>
  <c r="Y895" i="28"/>
  <c r="Y896" i="28"/>
  <c r="Y897" i="28"/>
  <c r="Y898" i="28"/>
  <c r="Y899" i="28"/>
  <c r="Y900" i="28"/>
  <c r="Y901" i="28"/>
  <c r="Y902" i="28"/>
  <c r="Y903" i="28"/>
  <c r="Y904" i="28"/>
  <c r="Y905" i="28"/>
  <c r="Y906" i="28"/>
  <c r="Y907" i="28"/>
  <c r="Y908" i="28"/>
  <c r="Y909" i="28"/>
  <c r="Y910" i="28"/>
  <c r="Y911" i="28"/>
  <c r="Y912" i="28"/>
  <c r="Y913" i="28"/>
  <c r="Y914" i="28"/>
  <c r="Y915" i="28"/>
  <c r="Y916" i="28"/>
  <c r="Y917" i="28"/>
  <c r="Y918" i="28"/>
  <c r="Y919" i="28"/>
  <c r="Y920" i="28"/>
  <c r="Y921" i="28"/>
  <c r="Y922" i="28"/>
  <c r="Y923" i="28"/>
  <c r="Y924" i="28"/>
  <c r="Y925" i="28"/>
  <c r="Y926" i="28"/>
  <c r="Y927" i="28"/>
  <c r="Y928" i="28"/>
  <c r="Y929" i="28"/>
  <c r="Y930" i="28"/>
  <c r="Y931" i="28"/>
  <c r="Y932" i="28"/>
  <c r="Y933" i="28"/>
  <c r="Y934" i="28"/>
  <c r="Y935" i="28"/>
  <c r="Y936" i="28"/>
  <c r="Y937" i="28"/>
  <c r="Y938" i="28"/>
  <c r="Y939" i="28"/>
  <c r="Y940" i="28"/>
  <c r="Y941" i="28"/>
  <c r="Y942" i="28"/>
  <c r="Y943" i="28"/>
  <c r="Y944" i="28"/>
  <c r="Y945" i="28"/>
  <c r="Y946" i="28"/>
  <c r="Y947" i="28"/>
  <c r="Y948" i="28"/>
  <c r="Y949" i="28"/>
  <c r="Y950" i="28"/>
  <c r="Y951" i="28"/>
  <c r="Y952" i="28"/>
  <c r="Y953" i="28"/>
  <c r="Y954" i="28"/>
  <c r="Y955" i="28"/>
  <c r="Y956" i="28"/>
  <c r="Y957" i="28"/>
  <c r="Y958" i="28"/>
  <c r="Y959" i="28"/>
  <c r="Y960" i="28"/>
  <c r="Y961" i="28"/>
  <c r="Y962" i="28"/>
  <c r="Y963" i="28"/>
  <c r="Y964" i="28"/>
  <c r="Y965" i="28"/>
  <c r="Y966" i="28"/>
  <c r="Y967" i="28"/>
  <c r="Y968" i="28"/>
  <c r="Y969" i="28"/>
  <c r="Y970" i="28"/>
  <c r="Y971" i="28"/>
  <c r="Y972" i="28"/>
  <c r="Y973" i="28"/>
  <c r="Y974" i="28"/>
  <c r="Y975" i="28"/>
  <c r="Y976" i="28"/>
  <c r="Y977" i="28"/>
  <c r="Y978" i="28"/>
  <c r="Y979" i="28"/>
  <c r="Y980" i="28"/>
  <c r="Y981" i="28"/>
  <c r="Y982" i="28"/>
  <c r="Y983" i="28"/>
  <c r="Y984" i="28"/>
  <c r="Y985" i="28"/>
  <c r="Y986" i="28"/>
  <c r="Y987" i="28"/>
  <c r="Y988" i="28"/>
  <c r="Y989" i="28"/>
  <c r="Y990" i="28"/>
  <c r="Y991" i="28"/>
  <c r="Y992" i="28"/>
  <c r="Y993" i="28"/>
  <c r="Y5" i="28" l="1"/>
  <c r="Y6" i="28"/>
  <c r="G1" i="31" l="1"/>
  <c r="L29" i="8" l="1"/>
  <c r="P29" i="8"/>
  <c r="D29" i="8"/>
  <c r="H29" i="8"/>
  <c r="Y3" i="28"/>
  <c r="A2" i="31"/>
  <c r="A1" i="31"/>
  <c r="M6" i="8"/>
  <c r="L6" i="8"/>
  <c r="K6" i="8"/>
  <c r="Y4" i="28"/>
  <c r="E29" i="8" l="1"/>
  <c r="M29" i="8"/>
  <c r="I29" i="8"/>
  <c r="Q29" i="8"/>
  <c r="C28" i="8"/>
  <c r="C68" i="8" s="1"/>
  <c r="T29" i="8"/>
  <c r="K29" i="8"/>
  <c r="C29" i="8"/>
  <c r="O29" i="8"/>
  <c r="G29" i="8"/>
  <c r="D28" i="8"/>
  <c r="D68" i="8" s="1"/>
  <c r="P28" i="8"/>
  <c r="L28" i="8"/>
  <c r="H28" i="8"/>
  <c r="K28" i="8"/>
  <c r="O28" i="8"/>
  <c r="G28" i="8"/>
  <c r="Q28" i="8"/>
  <c r="I28" i="8"/>
  <c r="M28" i="8"/>
  <c r="E28" i="8"/>
  <c r="E68" i="8" s="1"/>
  <c r="I26" i="8"/>
  <c r="L26" i="8"/>
  <c r="P18" i="8"/>
  <c r="O17" i="8"/>
  <c r="Q19" i="8"/>
  <c r="E21" i="8"/>
  <c r="E66" i="8" s="1"/>
  <c r="D16" i="8"/>
  <c r="C16" i="8"/>
  <c r="K25" i="8"/>
  <c r="C30" i="8"/>
  <c r="E16" i="8"/>
  <c r="E31" i="8"/>
  <c r="D30" i="8"/>
  <c r="C27" i="8"/>
  <c r="E25" i="8"/>
  <c r="D24" i="8"/>
  <c r="C23" i="8"/>
  <c r="C67" i="8" s="1"/>
  <c r="D20" i="8"/>
  <c r="C19" i="8"/>
  <c r="E17" i="8"/>
  <c r="H31" i="8"/>
  <c r="G30" i="8"/>
  <c r="H25" i="8"/>
  <c r="G24" i="8"/>
  <c r="I22" i="8"/>
  <c r="H21" i="8"/>
  <c r="G20" i="8"/>
  <c r="I18" i="8"/>
  <c r="H17" i="8"/>
  <c r="K31" i="8"/>
  <c r="M27" i="8"/>
  <c r="M23" i="8"/>
  <c r="L22" i="8"/>
  <c r="K21" i="8"/>
  <c r="M19" i="8"/>
  <c r="L18" i="8"/>
  <c r="K17" i="8"/>
  <c r="Q30" i="8"/>
  <c r="P27" i="8"/>
  <c r="O26" i="8"/>
  <c r="Q24" i="8"/>
  <c r="P23" i="8"/>
  <c r="O22" i="8"/>
  <c r="Q20" i="8"/>
  <c r="P19" i="8"/>
  <c r="O18" i="8"/>
  <c r="G16" i="8"/>
  <c r="H16" i="8"/>
  <c r="I16" i="8"/>
  <c r="D31" i="8"/>
  <c r="E26" i="8"/>
  <c r="D25" i="8"/>
  <c r="C24" i="8"/>
  <c r="E22" i="8"/>
  <c r="D21" i="8"/>
  <c r="D66" i="8" s="1"/>
  <c r="C20" i="8"/>
  <c r="E18" i="8"/>
  <c r="D17" i="8"/>
  <c r="G31" i="8"/>
  <c r="I27" i="8"/>
  <c r="H26" i="8"/>
  <c r="G25" i="8"/>
  <c r="I23" i="8"/>
  <c r="H22" i="8"/>
  <c r="G21" i="8"/>
  <c r="I19" i="8"/>
  <c r="H18" i="8"/>
  <c r="G17" i="8"/>
  <c r="M30" i="8"/>
  <c r="L27" i="8"/>
  <c r="K26" i="8"/>
  <c r="M24" i="8"/>
  <c r="L23" i="8"/>
  <c r="K22" i="8"/>
  <c r="M20" i="8"/>
  <c r="L19" i="8"/>
  <c r="K18" i="8"/>
  <c r="Q31" i="8"/>
  <c r="P30" i="8"/>
  <c r="O27" i="8"/>
  <c r="Q25" i="8"/>
  <c r="P24" i="8"/>
  <c r="O23" i="8"/>
  <c r="Q21" i="8"/>
  <c r="P20" i="8"/>
  <c r="O19" i="8"/>
  <c r="Q17" i="8"/>
  <c r="K16" i="8"/>
  <c r="L16" i="8"/>
  <c r="M16" i="8"/>
  <c r="C31" i="8"/>
  <c r="E27" i="8"/>
  <c r="D26" i="8"/>
  <c r="C25" i="8"/>
  <c r="E23" i="8"/>
  <c r="E67" i="8" s="1"/>
  <c r="D22" i="8"/>
  <c r="C21" i="8"/>
  <c r="C66" i="8" s="1"/>
  <c r="E19" i="8"/>
  <c r="D18" i="8"/>
  <c r="C17" i="8"/>
  <c r="I30" i="8"/>
  <c r="H27" i="8"/>
  <c r="G26" i="8"/>
  <c r="I24" i="8"/>
  <c r="H23" i="8"/>
  <c r="G22" i="8"/>
  <c r="I20" i="8"/>
  <c r="H19" i="8"/>
  <c r="G18" i="8"/>
  <c r="M31" i="8"/>
  <c r="L30" i="8"/>
  <c r="K27" i="8"/>
  <c r="M25" i="8"/>
  <c r="L24" i="8"/>
  <c r="K23" i="8"/>
  <c r="M21" i="8"/>
  <c r="L20" i="8"/>
  <c r="K19" i="8"/>
  <c r="M17" i="8"/>
  <c r="P31" i="8"/>
  <c r="O30" i="8"/>
  <c r="Q26" i="8"/>
  <c r="P25" i="8"/>
  <c r="O24" i="8"/>
  <c r="Q22" i="8"/>
  <c r="P21" i="8"/>
  <c r="O20" i="8"/>
  <c r="Q18" i="8"/>
  <c r="P17" i="8"/>
  <c r="O16" i="8"/>
  <c r="P16" i="8"/>
  <c r="Q16" i="8"/>
  <c r="E30" i="8"/>
  <c r="D27" i="8"/>
  <c r="C26" i="8"/>
  <c r="E24" i="8"/>
  <c r="D23" i="8"/>
  <c r="D67" i="8" s="1"/>
  <c r="C22" i="8"/>
  <c r="E20" i="8"/>
  <c r="D19" i="8"/>
  <c r="C18" i="8"/>
  <c r="I31" i="8"/>
  <c r="H30" i="8"/>
  <c r="G27" i="8"/>
  <c r="I25" i="8"/>
  <c r="H24" i="8"/>
  <c r="G23" i="8"/>
  <c r="I21" i="8"/>
  <c r="H20" i="8"/>
  <c r="G19" i="8"/>
  <c r="I17" i="8"/>
  <c r="L31" i="8"/>
  <c r="K30" i="8"/>
  <c r="M26" i="8"/>
  <c r="L25" i="8"/>
  <c r="K24" i="8"/>
  <c r="M22" i="8"/>
  <c r="L21" i="8"/>
  <c r="K20" i="8"/>
  <c r="M18" i="8"/>
  <c r="L17" i="8"/>
  <c r="O31" i="8"/>
  <c r="Q27" i="8"/>
  <c r="P26" i="8"/>
  <c r="O25" i="8"/>
  <c r="Q23" i="8"/>
  <c r="P22" i="8"/>
  <c r="O21" i="8"/>
  <c r="U29" i="8" l="1"/>
  <c r="U28" i="8"/>
  <c r="S29" i="8"/>
  <c r="S28" i="8"/>
  <c r="T28" i="8"/>
  <c r="A1" i="8"/>
  <c r="A1" i="30"/>
  <c r="A2" i="30"/>
  <c r="A2" i="8"/>
  <c r="K25" i="26" l="1"/>
  <c r="K22" i="25"/>
  <c r="K41" i="26"/>
  <c r="K40" i="26"/>
  <c r="K25" i="21"/>
  <c r="K22" i="21"/>
  <c r="K28" i="27"/>
  <c r="K25" i="27"/>
  <c r="C28" i="27"/>
  <c r="C25" i="27"/>
  <c r="C25" i="21"/>
  <c r="C22" i="21"/>
  <c r="G25" i="27"/>
  <c r="G25" i="26"/>
  <c r="G22" i="25"/>
  <c r="G22" i="21"/>
  <c r="G25" i="21"/>
  <c r="C32" i="8" l="1"/>
  <c r="K41" i="27"/>
  <c r="G41" i="27"/>
  <c r="G40" i="27"/>
  <c r="K38" i="27"/>
  <c r="G38" i="27"/>
  <c r="G39" i="27"/>
  <c r="C41" i="27"/>
  <c r="C38" i="27"/>
  <c r="G41" i="26"/>
  <c r="K38" i="26"/>
  <c r="G38" i="26"/>
  <c r="C41" i="26"/>
  <c r="C38" i="26"/>
  <c r="C35" i="25"/>
  <c r="G35" i="25"/>
  <c r="K35" i="25"/>
  <c r="C35" i="21"/>
  <c r="G35" i="21"/>
  <c r="K35" i="21"/>
  <c r="K35" i="27"/>
  <c r="G35" i="27"/>
  <c r="C35" i="27"/>
  <c r="K35" i="26"/>
  <c r="G35" i="26"/>
  <c r="C35" i="26"/>
  <c r="C34" i="26"/>
  <c r="K32" i="25"/>
  <c r="G32" i="25"/>
  <c r="C32" i="25"/>
  <c r="C7" i="8" l="1"/>
  <c r="C69" i="8"/>
  <c r="C70" i="8" s="1"/>
  <c r="S6" i="8"/>
  <c r="C32" i="21"/>
  <c r="G32" i="21"/>
  <c r="K32" i="21"/>
  <c r="G26" i="21" l="1"/>
  <c r="U6" i="8" l="1"/>
  <c r="G6" i="8"/>
  <c r="U31" i="8" l="1"/>
  <c r="U23" i="8"/>
  <c r="U26" i="8"/>
  <c r="C39" i="26"/>
  <c r="C37" i="26"/>
  <c r="C36" i="26"/>
  <c r="C33" i="26"/>
  <c r="C32" i="26"/>
  <c r="C31" i="26"/>
  <c r="C30" i="26"/>
  <c r="C29" i="26"/>
  <c r="C28" i="26"/>
  <c r="G39" i="26"/>
  <c r="G37" i="26"/>
  <c r="G36" i="26"/>
  <c r="G34" i="26"/>
  <c r="G33" i="26"/>
  <c r="G32" i="26"/>
  <c r="G31" i="26"/>
  <c r="G30" i="26"/>
  <c r="G29" i="26"/>
  <c r="G28" i="26"/>
  <c r="K39" i="26"/>
  <c r="K37" i="26"/>
  <c r="K36" i="26"/>
  <c r="K34" i="26"/>
  <c r="K33" i="26"/>
  <c r="K32" i="26"/>
  <c r="K31" i="26"/>
  <c r="K30" i="26"/>
  <c r="K29" i="26"/>
  <c r="K28" i="26"/>
  <c r="C25" i="26"/>
  <c r="C37" i="27"/>
  <c r="C39" i="27"/>
  <c r="C36" i="27"/>
  <c r="C34" i="27"/>
  <c r="C33" i="27"/>
  <c r="C32" i="27"/>
  <c r="C31" i="27"/>
  <c r="C30" i="27"/>
  <c r="C29" i="27"/>
  <c r="G37" i="27"/>
  <c r="G36" i="27"/>
  <c r="G34" i="27"/>
  <c r="G33" i="27"/>
  <c r="G32" i="27"/>
  <c r="G31" i="27"/>
  <c r="G30" i="27"/>
  <c r="G29" i="27"/>
  <c r="G28" i="27"/>
  <c r="K39" i="27"/>
  <c r="K37" i="27"/>
  <c r="K36" i="27"/>
  <c r="K34" i="27"/>
  <c r="K33" i="27"/>
  <c r="K32" i="27"/>
  <c r="K31" i="27"/>
  <c r="K30" i="27"/>
  <c r="K29" i="27"/>
  <c r="C36" i="25"/>
  <c r="C34" i="25"/>
  <c r="C33" i="25"/>
  <c r="C31" i="25"/>
  <c r="C30" i="25"/>
  <c r="C29" i="25"/>
  <c r="C28" i="25"/>
  <c r="C27" i="25"/>
  <c r="C26" i="25"/>
  <c r="C25" i="25"/>
  <c r="G36" i="25"/>
  <c r="G34" i="25"/>
  <c r="G33" i="25"/>
  <c r="G31" i="25"/>
  <c r="G30" i="25"/>
  <c r="G29" i="25"/>
  <c r="G28" i="25"/>
  <c r="G27" i="25"/>
  <c r="G26" i="25"/>
  <c r="G25" i="25"/>
  <c r="K36" i="25"/>
  <c r="K34" i="25"/>
  <c r="K33" i="25"/>
  <c r="K31" i="25"/>
  <c r="K30" i="25"/>
  <c r="K29" i="25"/>
  <c r="K28" i="25"/>
  <c r="K27" i="25"/>
  <c r="K26" i="25"/>
  <c r="K25" i="25"/>
  <c r="C36" i="21"/>
  <c r="C34" i="21"/>
  <c r="C33" i="21"/>
  <c r="C31" i="21"/>
  <c r="C30" i="21"/>
  <c r="C29" i="21"/>
  <c r="C28" i="21"/>
  <c r="C27" i="21"/>
  <c r="C26" i="21"/>
  <c r="G36" i="21"/>
  <c r="G34" i="21"/>
  <c r="G33" i="21"/>
  <c r="G31" i="21"/>
  <c r="G30" i="21"/>
  <c r="G29" i="21"/>
  <c r="G28" i="21"/>
  <c r="G27" i="21"/>
  <c r="K36" i="21"/>
  <c r="K34" i="21"/>
  <c r="K33" i="21"/>
  <c r="K31" i="21"/>
  <c r="K30" i="21"/>
  <c r="K29" i="21"/>
  <c r="K28" i="21"/>
  <c r="K27" i="21"/>
  <c r="K26" i="21"/>
  <c r="C23" i="21" l="1"/>
  <c r="T16" i="8"/>
  <c r="S16" i="8"/>
  <c r="D32" i="8"/>
  <c r="E32" i="8"/>
  <c r="U16" i="8"/>
  <c r="U20" i="8"/>
  <c r="U25" i="8"/>
  <c r="U21" i="8"/>
  <c r="U27" i="8"/>
  <c r="U18" i="8"/>
  <c r="U22" i="8"/>
  <c r="U19" i="8"/>
  <c r="U24" i="8"/>
  <c r="I32" i="8"/>
  <c r="H32" i="8"/>
  <c r="C26" i="27"/>
  <c r="G26" i="26"/>
  <c r="U17" i="8"/>
  <c r="G23" i="21"/>
  <c r="K26" i="27"/>
  <c r="G26" i="27"/>
  <c r="C26" i="26"/>
  <c r="K26" i="26"/>
  <c r="I6" i="8"/>
  <c r="I36" i="8" l="1"/>
  <c r="H36" i="8"/>
  <c r="D69" i="8"/>
  <c r="D70" i="8" s="1"/>
  <c r="E7" i="8"/>
  <c r="E69" i="8"/>
  <c r="E70" i="8" s="1"/>
  <c r="M32" i="8"/>
  <c r="G32" i="8"/>
  <c r="G36" i="8" s="1"/>
  <c r="K40" i="27" l="1"/>
  <c r="C40" i="27"/>
  <c r="U30" i="8" l="1"/>
  <c r="U32" i="8" s="1"/>
  <c r="E71" i="8" s="1"/>
  <c r="Q32" i="8"/>
  <c r="E57" i="8"/>
  <c r="C22" i="25"/>
  <c r="I7" i="8" l="1"/>
  <c r="K23" i="25"/>
  <c r="I57" i="8" l="1"/>
  <c r="M7" i="8"/>
  <c r="U7" i="8" s="1"/>
  <c r="Q57" i="8" l="1"/>
  <c r="M57" i="8" l="1"/>
  <c r="U57" i="8" s="1"/>
  <c r="K23" i="21"/>
  <c r="S31" i="8" l="1"/>
  <c r="S30" i="8"/>
  <c r="T31" i="8"/>
  <c r="T24" i="8"/>
  <c r="T30" i="8"/>
  <c r="T26" i="8" l="1"/>
  <c r="T27" i="8"/>
  <c r="T23" i="8"/>
  <c r="T19" i="8"/>
  <c r="T20" i="8"/>
  <c r="T18" i="8"/>
  <c r="T21" i="8"/>
  <c r="T22" i="8"/>
  <c r="T25" i="8"/>
  <c r="T17" i="8"/>
  <c r="S26" i="8"/>
  <c r="S21" i="8"/>
  <c r="S25" i="8"/>
  <c r="S20" i="8"/>
  <c r="S19" i="8"/>
  <c r="S27" i="8"/>
  <c r="S17" i="8"/>
  <c r="S23" i="8"/>
  <c r="S18" i="8"/>
  <c r="S24" i="8"/>
  <c r="S22" i="8"/>
  <c r="G23" i="25"/>
  <c r="C23" i="25"/>
  <c r="T32" i="8" l="1"/>
  <c r="D71" i="8" s="1"/>
  <c r="A33" i="8" l="1"/>
  <c r="A34" i="8"/>
  <c r="P34" i="8" l="1"/>
  <c r="P33" i="8"/>
  <c r="O33" i="8"/>
  <c r="O34" i="8"/>
  <c r="H34" i="8"/>
  <c r="H33" i="8"/>
  <c r="G33" i="8"/>
  <c r="G34" i="8"/>
  <c r="L34" i="8" l="1"/>
  <c r="T34" i="8" s="1"/>
  <c r="K34" i="8"/>
  <c r="S34" i="8" s="1"/>
  <c r="L33" i="8"/>
  <c r="T33" i="8" s="1"/>
  <c r="K33" i="8"/>
  <c r="S33" i="8" s="1"/>
  <c r="H6" i="8" l="1"/>
  <c r="K32" i="8" l="1"/>
  <c r="L32" i="8"/>
  <c r="T6" i="8" l="1"/>
  <c r="D7" i="8" l="1"/>
  <c r="D57" i="8" s="1"/>
  <c r="H54" i="8"/>
  <c r="L54" i="8" s="1"/>
  <c r="H55" i="8"/>
  <c r="L55" i="8" s="1"/>
  <c r="H7" i="8" l="1"/>
  <c r="L7" i="8" s="1"/>
  <c r="T7" i="8" s="1"/>
  <c r="G7" i="8"/>
  <c r="L57" i="8" l="1"/>
  <c r="H57" i="8"/>
  <c r="K7" i="8"/>
  <c r="G57" i="8" l="1"/>
  <c r="C57" i="8"/>
  <c r="G54" i="8" l="1"/>
  <c r="K54" i="8" s="1"/>
  <c r="G55" i="8"/>
  <c r="K55" i="8" s="1"/>
  <c r="K57" i="8"/>
  <c r="P32" i="8" l="1"/>
  <c r="O32" i="8"/>
  <c r="S32" i="8"/>
  <c r="C71" i="8" s="1"/>
  <c r="S7" i="8" l="1"/>
  <c r="P54" i="8"/>
  <c r="T54" i="8" s="1"/>
  <c r="P55" i="8"/>
  <c r="T55" i="8" s="1"/>
  <c r="P57" i="8"/>
  <c r="T57" i="8" s="1"/>
  <c r="O54" i="8"/>
  <c r="S54" i="8" s="1"/>
  <c r="O57" i="8"/>
  <c r="S57" i="8" s="1"/>
  <c r="O55" i="8"/>
  <c r="S55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4F00FC-7198-4C59-9273-8EF653714BD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8F3D92CD-0DC7-4276-A87F-8881E6876910}" name="WorksheetConnection_Net Waterfall Exhibit - Template Work.xlsx!EverestLoss" type="102" refreshedVersion="8" minRefreshableVersion="5">
    <extLst>
      <ext xmlns:x15="http://schemas.microsoft.com/office/spreadsheetml/2010/11/main" uri="{DE250136-89BD-433C-8126-D09CA5730AF9}">
        <x15:connection id="EverestLoss">
          <x15:rangePr sourceName="_xlcn.WorksheetConnection_NetWaterfallExhibitTemplateWork.xlsxEverestLoss1"/>
        </x15:connection>
      </ext>
    </extLst>
  </connection>
</connections>
</file>

<file path=xl/sharedStrings.xml><?xml version="1.0" encoding="utf-8"?>
<sst xmlns="http://schemas.openxmlformats.org/spreadsheetml/2006/main" count="9558" uniqueCount="864">
  <si>
    <t>All Values USDm</t>
  </si>
  <si>
    <t>Summary</t>
  </si>
  <si>
    <t>Event ID</t>
  </si>
  <si>
    <t>Landfall Location</t>
  </si>
  <si>
    <t>Industry Loss (USDm)</t>
  </si>
  <si>
    <t>Everest Gross</t>
  </si>
  <si>
    <t>Gross Market Share</t>
  </si>
  <si>
    <t>Everest Net*</t>
  </si>
  <si>
    <t>Net Market Share</t>
  </si>
  <si>
    <t>Gross Loss by Department and Type</t>
  </si>
  <si>
    <t>Gross Loss by</t>
  </si>
  <si>
    <t>Department</t>
  </si>
  <si>
    <t>Bermuda</t>
  </si>
  <si>
    <t>CAT</t>
  </si>
  <si>
    <t>PR</t>
  </si>
  <si>
    <t>Canada</t>
  </si>
  <si>
    <t>RSK</t>
  </si>
  <si>
    <t>Dublin</t>
  </si>
  <si>
    <t>EI Recovery^</t>
  </si>
  <si>
    <t>FP</t>
  </si>
  <si>
    <t>Insurance</t>
  </si>
  <si>
    <t>London</t>
  </si>
  <si>
    <t>MEA</t>
  </si>
  <si>
    <t>Miami</t>
  </si>
  <si>
    <t>AGG</t>
  </si>
  <si>
    <t>TP</t>
  </si>
  <si>
    <t>AF</t>
  </si>
  <si>
    <t>Parametric Solutions</t>
  </si>
  <si>
    <t>Grand Total</t>
  </si>
  <si>
    <t>Gross Loss by Contract</t>
  </si>
  <si>
    <t>EventID</t>
  </si>
  <si>
    <t>Layerkey</t>
  </si>
  <si>
    <t>Company</t>
  </si>
  <si>
    <t>Subtype</t>
  </si>
  <si>
    <t>Contract</t>
  </si>
  <si>
    <t>Everest Limit</t>
  </si>
  <si>
    <t>100% Limit</t>
  </si>
  <si>
    <t>Retention</t>
  </si>
  <si>
    <t>Aggregate Deductible</t>
  </si>
  <si>
    <t>Terms</t>
  </si>
  <si>
    <t>ROL</t>
  </si>
  <si>
    <t>Share</t>
  </si>
  <si>
    <t>LatAm Fac</t>
  </si>
  <si>
    <t>QA LatAm Fac</t>
  </si>
  <si>
    <t>FAC</t>
  </si>
  <si>
    <t>US Fac</t>
  </si>
  <si>
    <t>QA US Fac</t>
  </si>
  <si>
    <t>All Values USD</t>
  </si>
  <si>
    <t>Gross Loss</t>
  </si>
  <si>
    <t>Net of Logan  (100%)</t>
  </si>
  <si>
    <t>Net of Logan and External Recoverables</t>
  </si>
  <si>
    <t>Expected Reinstatement Premiums</t>
  </si>
  <si>
    <t>Net Loss**</t>
  </si>
  <si>
    <t>Low</t>
  </si>
  <si>
    <t>Med</t>
  </si>
  <si>
    <t>High</t>
  </si>
  <si>
    <t>Industry Estimate*</t>
  </si>
  <si>
    <t>EG Market Share Estimate</t>
  </si>
  <si>
    <t>Cat Estimation:</t>
  </si>
  <si>
    <t>1) Market Share</t>
  </si>
  <si>
    <t>2) Cat Modeling</t>
  </si>
  <si>
    <t>Industry Loss from Model</t>
  </si>
  <si>
    <t>Similar AIR Events***</t>
  </si>
  <si>
    <t>Similar AIR Events</t>
  </si>
  <si>
    <t>Singapore</t>
  </si>
  <si>
    <t>Lloyds</t>
  </si>
  <si>
    <t xml:space="preserve"> </t>
  </si>
  <si>
    <t>Marine</t>
  </si>
  <si>
    <t>Cat Bond Recovery</t>
  </si>
  <si>
    <t>Total</t>
  </si>
  <si>
    <t>EverestLoganTotal</t>
  </si>
  <si>
    <t>InvestorLoganTotal</t>
  </si>
  <si>
    <t>3) UW / Actuarial Estimates</t>
  </si>
  <si>
    <t>Total U/W Estimates</t>
  </si>
  <si>
    <t>Average All Methods</t>
  </si>
  <si>
    <t>* Industry Insured Estimates:</t>
  </si>
  <si>
    <t>** Net of Logan, External Recoverables, and Expected Reinstatment Premiums.  Does not include adjustment for tax.</t>
  </si>
  <si>
    <t>*** Events Selected by Cat Modeling Group to Best Reflect Loss Potential</t>
  </si>
  <si>
    <t>^ Per Risk &amp; QS of Everest Insurance</t>
  </si>
  <si>
    <t>Treaty Miami</t>
  </si>
  <si>
    <t>Global Fac</t>
  </si>
  <si>
    <t>Parametrics</t>
  </si>
  <si>
    <t>All other reinsurance</t>
  </si>
  <si>
    <t>GROSS</t>
  </si>
  <si>
    <t>NET</t>
  </si>
  <si>
    <t>Loss</t>
  </si>
  <si>
    <t>Canada Fac</t>
  </si>
  <si>
    <t>EI</t>
  </si>
  <si>
    <t>EIG EIID</t>
  </si>
  <si>
    <t>EIG Singapore</t>
  </si>
  <si>
    <t>EIG Syndicate</t>
  </si>
  <si>
    <t>International Miami</t>
  </si>
  <si>
    <t>London Fac</t>
  </si>
  <si>
    <t>ME Africa Treaty</t>
  </si>
  <si>
    <t>Treaty Property</t>
  </si>
  <si>
    <t>Zurich</t>
  </si>
  <si>
    <t>WEATHER</t>
  </si>
  <si>
    <t>Total:</t>
  </si>
  <si>
    <t>Facultative Property</t>
  </si>
  <si>
    <t>Zurich+Brussels</t>
  </si>
  <si>
    <t>EI Recovery</t>
  </si>
  <si>
    <t>EIG Recovery</t>
  </si>
  <si>
    <t>Bond Recovery</t>
  </si>
  <si>
    <t>US Recovery</t>
  </si>
  <si>
    <t>Input Blue Tables, Sort by Industry Loss Ascending</t>
  </si>
  <si>
    <t>Event Name:</t>
  </si>
  <si>
    <t>Gross</t>
  </si>
  <si>
    <t>NetOfLogan</t>
  </si>
  <si>
    <t>NetofAllCessions</t>
  </si>
  <si>
    <t>Expected_RIPs</t>
  </si>
  <si>
    <t>MaxWind (mph)</t>
  </si>
  <si>
    <t>Landfall</t>
  </si>
  <si>
    <t>Industry_Loss (USDm)</t>
  </si>
  <si>
    <t>Manual Override</t>
  </si>
  <si>
    <t>Department_Map</t>
  </si>
  <si>
    <t>Event Region:</t>
  </si>
  <si>
    <t>N</t>
  </si>
  <si>
    <t xml:space="preserve">Date Created: </t>
  </si>
  <si>
    <t>QA EI Energy QS Buy</t>
  </si>
  <si>
    <t>ENBUY</t>
  </si>
  <si>
    <t>Data As-Of Date:</t>
  </si>
  <si>
    <t>Cessions Recovery</t>
  </si>
  <si>
    <t>NULL</t>
  </si>
  <si>
    <t>QA EI RETAIL</t>
  </si>
  <si>
    <t>EN0000000-2017-1</t>
  </si>
  <si>
    <t>For Net Waterfall</t>
  </si>
  <si>
    <t>Select Event ID</t>
  </si>
  <si>
    <t>EI EIID</t>
  </si>
  <si>
    <t>QA EI EIID Energy</t>
  </si>
  <si>
    <t>EIID Energy</t>
  </si>
  <si>
    <t>EI Syndicate</t>
  </si>
  <si>
    <t>QA EI Syndicate Marine</t>
  </si>
  <si>
    <t>SyndCargo</t>
  </si>
  <si>
    <t>EI Canada</t>
  </si>
  <si>
    <t>QA EI Canada Property</t>
  </si>
  <si>
    <t>EC1234567A-2015-1</t>
  </si>
  <si>
    <t>EIID</t>
  </si>
  <si>
    <t>PR: 16.63x0</t>
  </si>
  <si>
    <t>QA EI Syndicate Property</t>
  </si>
  <si>
    <t>Synd</t>
  </si>
  <si>
    <t>QA EI Canada Energy</t>
  </si>
  <si>
    <t>EvCanEnergy</t>
  </si>
  <si>
    <t>PR: 200x0</t>
  </si>
  <si>
    <t>QA EI Syndicate Energy</t>
  </si>
  <si>
    <t>EISyndEnergy</t>
  </si>
  <si>
    <t>QA EI NA QS</t>
  </si>
  <si>
    <t>EINAQS</t>
  </si>
  <si>
    <t>QA EI Marine QS buy</t>
  </si>
  <si>
    <t>EIGMarineQS</t>
  </si>
  <si>
    <t>EI Singapore</t>
  </si>
  <si>
    <t>PR: 250x0</t>
  </si>
  <si>
    <t>QA EI Mexico Property</t>
  </si>
  <si>
    <t>EIMexicoProperty</t>
  </si>
  <si>
    <t>PR: 300x0</t>
  </si>
  <si>
    <t>PR: 948.63x0</t>
  </si>
  <si>
    <t>PR: 135x0</t>
  </si>
  <si>
    <t>PR: 500x0</t>
  </si>
  <si>
    <t>PR: 400x0</t>
  </si>
  <si>
    <t>PR: 65x0</t>
  </si>
  <si>
    <t>PR: 800x0</t>
  </si>
  <si>
    <t>PR: 350x0</t>
  </si>
  <si>
    <t>PR: 150x0</t>
  </si>
  <si>
    <t>PR: 1314x0</t>
  </si>
  <si>
    <t>TP25 Ark 4020 DF Per Risk</t>
  </si>
  <si>
    <t>TP10001239-2025-1</t>
  </si>
  <si>
    <t>RSK: 2.5x2.5, 2.5x0 Occ</t>
  </si>
  <si>
    <t>PR: 50x0</t>
  </si>
  <si>
    <t>TP25 Markel May AIR Layers</t>
  </si>
  <si>
    <t>TP0290967A-2025-1</t>
  </si>
  <si>
    <t>PR: 375x0</t>
  </si>
  <si>
    <t>TP25 Lancashire Onshore Energy PU Layers</t>
  </si>
  <si>
    <t>TP10001623-2025-1</t>
  </si>
  <si>
    <t>BM25 AWAC QS</t>
  </si>
  <si>
    <t>TP0800930A-2025-1</t>
  </si>
  <si>
    <t>TP25 AXIS QS</t>
  </si>
  <si>
    <t>TP10019050-2025-1</t>
  </si>
  <si>
    <t>PR: 10x0</t>
  </si>
  <si>
    <t>BM25 Arcadian DF</t>
  </si>
  <si>
    <t>TP10022146-2025-1</t>
  </si>
  <si>
    <t>PR: 33.75x0</t>
  </si>
  <si>
    <t>TP25 Skyward QS</t>
  </si>
  <si>
    <t>TP10020108-2025-1</t>
  </si>
  <si>
    <t>PR: 110x0</t>
  </si>
  <si>
    <t>TP25 Liberty Mutual E&amp;S QS</t>
  </si>
  <si>
    <t>TP10020926-2025-1</t>
  </si>
  <si>
    <t>PR: 402x0</t>
  </si>
  <si>
    <t>BM25 Aspen Mercury QS RMS</t>
  </si>
  <si>
    <t>TP10022536-2025-1</t>
  </si>
  <si>
    <t>UK25_AWAC_PropertyQS</t>
  </si>
  <si>
    <t>TP10024285-2025-1</t>
  </si>
  <si>
    <t>PR: 125x0</t>
  </si>
  <si>
    <t>uwarea</t>
  </si>
  <si>
    <t>uwareavlu</t>
  </si>
  <si>
    <t>InsuraceCovers</t>
  </si>
  <si>
    <t>Bermuda Dublin</t>
  </si>
  <si>
    <t>Bermuda HO</t>
  </si>
  <si>
    <t>Bermuda Retro</t>
  </si>
  <si>
    <t>Bermuda UK: London</t>
  </si>
  <si>
    <t>Ev Re: Asia</t>
  </si>
  <si>
    <t>Ev Re: FP</t>
  </si>
  <si>
    <t>Ev Re: Int Westgate FP</t>
  </si>
  <si>
    <t xml:space="preserve">MEA / Int Westgate </t>
  </si>
  <si>
    <t>Ev Re: Int Westgate TP</t>
  </si>
  <si>
    <t>Ev Re: MnA</t>
  </si>
  <si>
    <t>Ev Re: TP</t>
  </si>
  <si>
    <t>Ev Re: TP Retro</t>
  </si>
  <si>
    <t>Ev Re: Miami</t>
  </si>
  <si>
    <t>ENIC Property</t>
  </si>
  <si>
    <t>Ev Re: Canada FP</t>
  </si>
  <si>
    <t>Ev Re: TC</t>
  </si>
  <si>
    <t>Other</t>
  </si>
  <si>
    <t>Ev Re: Canada TP</t>
  </si>
  <si>
    <t>Bermuda Recovery</t>
  </si>
  <si>
    <t>Bermuda Zurich</t>
  </si>
  <si>
    <t>Actuary CAT Modeling</t>
  </si>
  <si>
    <t>Bermuda Recovery^</t>
  </si>
  <si>
    <t>US Recovery^^</t>
  </si>
  <si>
    <t>QA Canada Fac</t>
  </si>
  <si>
    <t>Singapore Fac</t>
  </si>
  <si>
    <t>QA Singapore Fac</t>
  </si>
  <si>
    <t>QA London Fac</t>
  </si>
  <si>
    <t>QA EI SIG</t>
  </si>
  <si>
    <t>EI000000</t>
  </si>
  <si>
    <t>QA EI All Risks 51</t>
  </si>
  <si>
    <t>QA EI All Risks Staffing</t>
  </si>
  <si>
    <t>QA EI Singapore Property</t>
  </si>
  <si>
    <t>QA EI WHOLESALE</t>
  </si>
  <si>
    <t>EF0000000A-2015-1</t>
  </si>
  <si>
    <t>QA EI AMRISC</t>
  </si>
  <si>
    <t>EIAmrisc</t>
  </si>
  <si>
    <t>QA EI Aviation Buys</t>
  </si>
  <si>
    <t>AviationBuys</t>
  </si>
  <si>
    <t>QA EI INLAND MARINE</t>
  </si>
  <si>
    <t>EIM000000-2019-1</t>
  </si>
  <si>
    <t>QA EI MIDDLE MARKET</t>
  </si>
  <si>
    <t>EI000</t>
  </si>
  <si>
    <t>TP25 BrightShore XL</t>
  </si>
  <si>
    <t>TP10023508-2025-1</t>
  </si>
  <si>
    <t>PR: 39.2x0</t>
  </si>
  <si>
    <t>QA EI PerSe</t>
  </si>
  <si>
    <t>EI00</t>
  </si>
  <si>
    <t>QA EI JEM</t>
  </si>
  <si>
    <t>TP10001628-2025-5</t>
  </si>
  <si>
    <t>RSK: 10x15</t>
  </si>
  <si>
    <t>TP25 PURE Palomar February Combined</t>
  </si>
  <si>
    <t>TP10024083-2025-1</t>
  </si>
  <si>
    <t>AP25 Ategrity Habcap</t>
  </si>
  <si>
    <t>AP10001139-2025-1</t>
  </si>
  <si>
    <t>RSK: 10x5, 20x0 Occ</t>
  </si>
  <si>
    <t>BM25 Palms Insurance Company Combined QS</t>
  </si>
  <si>
    <t>TP10024123-2025-1</t>
  </si>
  <si>
    <t>PR: 227.33x0</t>
  </si>
  <si>
    <t>QA EI Syndicate Per Risk Buy</t>
  </si>
  <si>
    <t>RR00</t>
  </si>
  <si>
    <t>RSK: Unlx0</t>
  </si>
  <si>
    <t>TP25 Sompo GRS Per Risk</t>
  </si>
  <si>
    <t>TP10001600-2025-4</t>
  </si>
  <si>
    <t>RSK: 10x10, 10x0 Occ</t>
  </si>
  <si>
    <t>QA EI EIID Marine</t>
  </si>
  <si>
    <t>EIIDCargo</t>
  </si>
  <si>
    <t>QA EI SAFEHOLD</t>
  </si>
  <si>
    <t>EISafehold</t>
  </si>
  <si>
    <t>BM26 Convex WA QS</t>
  </si>
  <si>
    <t>TP10024071-2026-1</t>
  </si>
  <si>
    <t>AP25 PMIC</t>
  </si>
  <si>
    <t>AP10000667-2025-1</t>
  </si>
  <si>
    <t>RSK: 20x5</t>
  </si>
  <si>
    <t>QA EI Global Per Risk Buy</t>
  </si>
  <si>
    <t>EIPPR</t>
  </si>
  <si>
    <t>TP25 Coaction PPR</t>
  </si>
  <si>
    <t>TP10024207-2025-2</t>
  </si>
  <si>
    <t>RSK: 5x5</t>
  </si>
  <si>
    <t>TP25 Partner Re Engineering Risk XL</t>
  </si>
  <si>
    <t>TP10023098-2025-1</t>
  </si>
  <si>
    <t>RSK: 15x20, 15x0 Occ</t>
  </si>
  <si>
    <t>TP25 Beazley Per Risk</t>
  </si>
  <si>
    <t>TP10022788-2025-2</t>
  </si>
  <si>
    <t>RSK: 40x10, 40x0 Occ</t>
  </si>
  <si>
    <t>TP10001600-2025-5</t>
  </si>
  <si>
    <t>TP25 Markel Personal Lines</t>
  </si>
  <si>
    <t>TP10019621-2025-1</t>
  </si>
  <si>
    <t>PR: 241.1x0</t>
  </si>
  <si>
    <t>TP25 Energy Insurance Mutual PPR</t>
  </si>
  <si>
    <t>TP10020503-2025-1</t>
  </si>
  <si>
    <t>RSK: 20x15, 20x0 Occ</t>
  </si>
  <si>
    <t>TP10001600-2025-2</t>
  </si>
  <si>
    <t>RSK: 21x40, 21x0 Occ</t>
  </si>
  <si>
    <t>TP25 Partner Re Onshore XOL</t>
  </si>
  <si>
    <t>TP10023095-2025-1</t>
  </si>
  <si>
    <t>AP25 ACIC</t>
  </si>
  <si>
    <t>AP10000625-2025-1</t>
  </si>
  <si>
    <t>RSK: 30x5, 60x0 Occ</t>
  </si>
  <si>
    <t>TP10022788-2025-1</t>
  </si>
  <si>
    <t>RSK: 5x5, 7.5x0 Occ</t>
  </si>
  <si>
    <t>TP10023098-2025-2</t>
  </si>
  <si>
    <t>RSK: 15x35, 15x0 Occ</t>
  </si>
  <si>
    <t>AP25 FM MCT</t>
  </si>
  <si>
    <t>AP10000643-2025-1</t>
  </si>
  <si>
    <t>RSK: 500x500</t>
  </si>
  <si>
    <t>TP10001628-2025-1</t>
  </si>
  <si>
    <t>RSK: 7.5x7.5</t>
  </si>
  <si>
    <t>TP25 GIC DF</t>
  </si>
  <si>
    <t>TP10001387-2025-1</t>
  </si>
  <si>
    <t>RSK: 7.5x7.5, 7.5x0 Occ</t>
  </si>
  <si>
    <t>AP25 Helix Partner Re</t>
  </si>
  <si>
    <t>AP10000657-2025-1</t>
  </si>
  <si>
    <t>TP25 PURE PPR</t>
  </si>
  <si>
    <t>TP10023180-2025-2</t>
  </si>
  <si>
    <t>RSK: 15x15, 15x0 Occ</t>
  </si>
  <si>
    <t>TP25 Swyfft Benchmark</t>
  </si>
  <si>
    <t>TP10024309-2025-1</t>
  </si>
  <si>
    <t>PR: 35x0</t>
  </si>
  <si>
    <t>AP10000657-2025-2</t>
  </si>
  <si>
    <t>TP25 Vault Reciprocal</t>
  </si>
  <si>
    <t>TP10000736-2025-1</t>
  </si>
  <si>
    <t>RSK: 5x5, 10x0 Occ</t>
  </si>
  <si>
    <t>AP25 Obsidian Arris</t>
  </si>
  <si>
    <t>AP10000831-2025-1</t>
  </si>
  <si>
    <t>TP25 Nationwide Mutual PPR</t>
  </si>
  <si>
    <t>TP0299423A-2025-1</t>
  </si>
  <si>
    <t>RSK: 20x10</t>
  </si>
  <si>
    <t>TP25 Travelers Agribusiness</t>
  </si>
  <si>
    <t>TP10018965-2025-1</t>
  </si>
  <si>
    <t>RSK: 5x5, 15x0 Occ</t>
  </si>
  <si>
    <t>TP10000736-2025-2</t>
  </si>
  <si>
    <t>RSK: 20x10, 20x0 Occ</t>
  </si>
  <si>
    <t>QA EI EIID Aviation</t>
  </si>
  <si>
    <t>EIIDAviation</t>
  </si>
  <si>
    <t>TP0299424A-2025-3</t>
  </si>
  <si>
    <t>RSK: 65x60</t>
  </si>
  <si>
    <t>TP25 Richmond National</t>
  </si>
  <si>
    <t>TP10023081-2025-1</t>
  </si>
  <si>
    <t>PR: 46.22x0</t>
  </si>
  <si>
    <t>MEA25 SOMPO RENEWABLES</t>
  </si>
  <si>
    <t>TP10018102-2025-1</t>
  </si>
  <si>
    <t>PR: 100x0</t>
  </si>
  <si>
    <t>TP25 Palms Insurance Company Combined QS</t>
  </si>
  <si>
    <t>TP10024088-2025-1</t>
  </si>
  <si>
    <t>TP0290965A-2025-3</t>
  </si>
  <si>
    <t>TP25 Lancashire Onshore Energy XOL</t>
  </si>
  <si>
    <t>TP10001275-2025-1</t>
  </si>
  <si>
    <t>RSK: 15x15</t>
  </si>
  <si>
    <t>TP10024207-2025-3</t>
  </si>
  <si>
    <t>RSK: 5x10</t>
  </si>
  <si>
    <t>TP25 Assurant PPR</t>
  </si>
  <si>
    <t>TP10022706-2025-1</t>
  </si>
  <si>
    <t>RSK: 3x2, 9x0 Occ</t>
  </si>
  <si>
    <t>TP25 Victor Ins Exchange Cat and QS</t>
  </si>
  <si>
    <t>TP10021909-2025-1</t>
  </si>
  <si>
    <t>TP25 North Light Allstate Per Risk</t>
  </si>
  <si>
    <t>TP10002500-2025-1</t>
  </si>
  <si>
    <t>TP10024207-2025-1</t>
  </si>
  <si>
    <t>RSK: 2.5x2.5</t>
  </si>
  <si>
    <t>TP10001600-2025-1</t>
  </si>
  <si>
    <t>RSK: 20x20, 20x0 Occ</t>
  </si>
  <si>
    <t xml:space="preserve">AP25 TRISURA SPECIALTY HONEYCOMB </t>
  </si>
  <si>
    <t>AP10001180-2025-1</t>
  </si>
  <si>
    <t>RSK: 10x5, 10x0 Occ</t>
  </si>
  <si>
    <t>AP25 AMHERST ASIC</t>
  </si>
  <si>
    <t>AP10001174-2025-1</t>
  </si>
  <si>
    <t>RSK: 10x5</t>
  </si>
  <si>
    <t>AP25 Honeycomb</t>
  </si>
  <si>
    <t>AP10000937-2025-1</t>
  </si>
  <si>
    <t>AP25 PSBA</t>
  </si>
  <si>
    <t>AP10000901-2025-1</t>
  </si>
  <si>
    <t>RSK: 100x50, 200x0 Occ</t>
  </si>
  <si>
    <t>AP10001180-2025-2</t>
  </si>
  <si>
    <t>TP25 MS Transverse AmRisc Trouvaille Per Risk</t>
  </si>
  <si>
    <t>TP10024310-2025-1</t>
  </si>
  <si>
    <t>TP10001387-2025-3</t>
  </si>
  <si>
    <t>RSK: 4.5x3, 4.5x0 Occ</t>
  </si>
  <si>
    <t>TP25 MS Transverse June</t>
  </si>
  <si>
    <t>TP10022235-2025-1</t>
  </si>
  <si>
    <t>PR: 30x0</t>
  </si>
  <si>
    <t>AP25 AWAC</t>
  </si>
  <si>
    <t>AP10000966-2025-1</t>
  </si>
  <si>
    <t>RSK: 15x10, 30x0 Occ</t>
  </si>
  <si>
    <t>TP10024310-2025-2</t>
  </si>
  <si>
    <t>AP25 Obsidian SRU COC</t>
  </si>
  <si>
    <t>AP10000734-2025</t>
  </si>
  <si>
    <t>TP25 Auto Owners PPR</t>
  </si>
  <si>
    <t>TP10024307-2025-3</t>
  </si>
  <si>
    <t>TP25 Crum &amp; Forster Per Risk Final</t>
  </si>
  <si>
    <t>TP0291686A-2025-1</t>
  </si>
  <si>
    <t>TP25 Homeowners of America April</t>
  </si>
  <si>
    <t>TP0291655A-2025-2</t>
  </si>
  <si>
    <t>PR: 465x0</t>
  </si>
  <si>
    <t>TP10024307-2025-2</t>
  </si>
  <si>
    <t>TP25 Sutton National June Extrap</t>
  </si>
  <si>
    <t>TP10024344-2025-1</t>
  </si>
  <si>
    <t>TP0287158A-2025-2</t>
  </si>
  <si>
    <t>RSK: 30x20, 30x0 Occ</t>
  </si>
  <si>
    <t>TP25 Hartford Members</t>
  </si>
  <si>
    <t>TP0303202A-2025-1</t>
  </si>
  <si>
    <t>RSK: 5.5x1.5, 11x0 Occ</t>
  </si>
  <si>
    <t>TP25 Hanover July</t>
  </si>
  <si>
    <t>TP10020985-2025-4</t>
  </si>
  <si>
    <t>RSK: 7.5x5, 22.5x0 Occ</t>
  </si>
  <si>
    <t>TP25 Security First Layers</t>
  </si>
  <si>
    <t>TP0260566A-2025-1</t>
  </si>
  <si>
    <t>PR: 40x0</t>
  </si>
  <si>
    <t>AP25 ASIC HabCap</t>
  </si>
  <si>
    <t>AP10000691-2025-1</t>
  </si>
  <si>
    <t>RSK: 3x2, 3x0 Occ</t>
  </si>
  <si>
    <t>TP0307803B-2025-2</t>
  </si>
  <si>
    <t>AP25 Westport</t>
  </si>
  <si>
    <t>AP10000081-2025-1</t>
  </si>
  <si>
    <t>RSK: 25x25, 25x0 Occ</t>
  </si>
  <si>
    <t>UK25 CNA Eirion</t>
  </si>
  <si>
    <t>TP10023343-2025-1</t>
  </si>
  <si>
    <t>PR: 20x0</t>
  </si>
  <si>
    <t>TP25 Vantage Specialty Large Property Per Risk</t>
  </si>
  <si>
    <t>TP10022945-2025-1</t>
  </si>
  <si>
    <t>RSK: 7.5x2.5, 7.5x0 Occ</t>
  </si>
  <si>
    <t>TP0304504A-2025-2</t>
  </si>
  <si>
    <t>RSK: 30x30</t>
  </si>
  <si>
    <t>TP25 Travelers Per Risk</t>
  </si>
  <si>
    <t>TP0276789A-2025-2</t>
  </si>
  <si>
    <t>RSK: 110x40, 275x0 Occ</t>
  </si>
  <si>
    <t>TP25 American European ShoreOne</t>
  </si>
  <si>
    <t>TP10018157-2025-2</t>
  </si>
  <si>
    <t>TP10001498-2025-1</t>
  </si>
  <si>
    <t>PR: 975x0</t>
  </si>
  <si>
    <t>TP0299349A-2025-4</t>
  </si>
  <si>
    <t>RSK: 375x375, 375x0 Occ</t>
  </si>
  <si>
    <t>TP25 FM Global SS: CRT SS</t>
  </si>
  <si>
    <t>TP0203948A-2025-1</t>
  </si>
  <si>
    <t>TP25 AXIS Per Risk</t>
  </si>
  <si>
    <t>TP0299225A-2025-2</t>
  </si>
  <si>
    <t>RSK: 10x10, 20x0 Occ</t>
  </si>
  <si>
    <t>TP25 Farmers Insurance Group Per Risk</t>
  </si>
  <si>
    <t>TP10023041-2025-2</t>
  </si>
  <si>
    <t>RSK: 50x50, 50x0 Occ</t>
  </si>
  <si>
    <t>AP25 Accredited Specialty Orchid</t>
  </si>
  <si>
    <t>AP10000741-2025-1</t>
  </si>
  <si>
    <t>RSK: 1x1, 1x0 Occ</t>
  </si>
  <si>
    <t>TP25 Palms QS May: QS FOT</t>
  </si>
  <si>
    <t>TP10020731-2025-1</t>
  </si>
  <si>
    <t>TP25 Accredited Specialty June Per Risk</t>
  </si>
  <si>
    <t>TP10023216-2025-1</t>
  </si>
  <si>
    <t>TP25 Liberty Mutual Global Per Risk</t>
  </si>
  <si>
    <t>TP00001242-2025-3</t>
  </si>
  <si>
    <t>RSK: 100x150, 100x0 Occ</t>
  </si>
  <si>
    <t>AP10000937-2025-5</t>
  </si>
  <si>
    <t>RSK: 30x10, 30x0 Occ</t>
  </si>
  <si>
    <t>TP25 Aegis May</t>
  </si>
  <si>
    <t>TP00001290-2025-2</t>
  </si>
  <si>
    <t>TP10024307-2025-1</t>
  </si>
  <si>
    <t>TP25 Hartford Fire PARE</t>
  </si>
  <si>
    <t>TP0285874A-2025-2</t>
  </si>
  <si>
    <t>RSK: 30x20, 60x0 Occ</t>
  </si>
  <si>
    <t>TP10020985-2025-3</t>
  </si>
  <si>
    <t>RSK: 2x3, 8x0 Occ</t>
  </si>
  <si>
    <t>TP00001290-2025-3</t>
  </si>
  <si>
    <t>AP25 Heritage</t>
  </si>
  <si>
    <t>AP10000697-2025-1</t>
  </si>
  <si>
    <t>RSK: 80x10, 160x0 Occ</t>
  </si>
  <si>
    <t>AP25 Cincinnati</t>
  </si>
  <si>
    <t>AP10000684-2025-C-1</t>
  </si>
  <si>
    <t>RSK: 240x125</t>
  </si>
  <si>
    <t>TP25 Hartford Fire ES QS</t>
  </si>
  <si>
    <t>TP10002900-2025-1</t>
  </si>
  <si>
    <t>AP25 Curotech Emerald Bay QS Broker Projected</t>
  </si>
  <si>
    <t>AP10001023-2025-1</t>
  </si>
  <si>
    <t>PR: 15x0</t>
  </si>
  <si>
    <t>AP25 CNA HOSPITAL LARGE RISK CORP</t>
  </si>
  <si>
    <t>AP0297831C-2025-1</t>
  </si>
  <si>
    <t>RSK: 510x400, 510x0 Occ</t>
  </si>
  <si>
    <t>TP25 FM Global QS FOT</t>
  </si>
  <si>
    <t>TP10023186-2025-1</t>
  </si>
  <si>
    <t>TP25 Old Republic Layers</t>
  </si>
  <si>
    <t>TP0292748A-2025-2</t>
  </si>
  <si>
    <t>TP0299227A-2025-4</t>
  </si>
  <si>
    <t>BM25 Nephila Per Risk</t>
  </si>
  <si>
    <t>TP10001721-2025-1</t>
  </si>
  <si>
    <t>RSK: 5x5, 5x0 Occ</t>
  </si>
  <si>
    <t>TP0308748A-2025-3</t>
  </si>
  <si>
    <t>RSK: 20x30, 20x0 Occ</t>
  </si>
  <si>
    <t>TP25 CNA SRP</t>
  </si>
  <si>
    <t>TP10020469-2025-1</t>
  </si>
  <si>
    <t>TP0308760A-2025-1</t>
  </si>
  <si>
    <t>RSK: 20x20, 80x0 Occ</t>
  </si>
  <si>
    <t>TP25 Travelers Engineering PPR</t>
  </si>
  <si>
    <t>TP10018044-2025-1</t>
  </si>
  <si>
    <t>TP00001442-2025-4</t>
  </si>
  <si>
    <t>TP25 CRC Insurisk Canopius xAuto QS</t>
  </si>
  <si>
    <t>TP10024428-2025-1</t>
  </si>
  <si>
    <t>TP0276790A-2025-3</t>
  </si>
  <si>
    <t>RSK: 225x150, 225x0 Occ</t>
  </si>
  <si>
    <t>TP25 OCIL DF Everen</t>
  </si>
  <si>
    <t>TP10022219-2025-3</t>
  </si>
  <si>
    <t>TP25 MS Transverse Insurance Company Per Risk FOT</t>
  </si>
  <si>
    <t>TP10024459-2025-1</t>
  </si>
  <si>
    <t>RSK: 3x2</t>
  </si>
  <si>
    <t>TP25 Accredited Specialty June</t>
  </si>
  <si>
    <t>TP10019729-2025-1</t>
  </si>
  <si>
    <t>TP10023041-2025-1</t>
  </si>
  <si>
    <t>TP10022219-2025-2</t>
  </si>
  <si>
    <t>RSK: 10x20, 10x0 Occ</t>
  </si>
  <si>
    <t>TP10024459-2025-2</t>
  </si>
  <si>
    <t>TP25 Spinnaker MSI Homeowners</t>
  </si>
  <si>
    <t>TP10022162-2025-1</t>
  </si>
  <si>
    <t>TP0301562A-2025-1</t>
  </si>
  <si>
    <t>TP10020985-2025-2</t>
  </si>
  <si>
    <t>RSK: 50x50</t>
  </si>
  <si>
    <t>TP10024459-2025-3</t>
  </si>
  <si>
    <t>TP00001242-2025-4</t>
  </si>
  <si>
    <t>RSK: 250x250, 250x0 Occ</t>
  </si>
  <si>
    <t>BM25 Zurich ORCA Per Risk AIR (L4 Update)</t>
  </si>
  <si>
    <t>TP00001412-2025-3</t>
  </si>
  <si>
    <t>RSK: 150x250, 150x0 Occ</t>
  </si>
  <si>
    <t>TP00001416-2025-4</t>
  </si>
  <si>
    <t>RSK: 175x125, 175x0 Occ</t>
  </si>
  <si>
    <t>TP0285875A-2025-3</t>
  </si>
  <si>
    <t>RSK: 75x50, 75x0 Occ</t>
  </si>
  <si>
    <t>LAF25 MARLIN EMEA</t>
  </si>
  <si>
    <t>AP10000529-2025-1</t>
  </si>
  <si>
    <t>TP10020985-2025-5</t>
  </si>
  <si>
    <t>RSK: 12.5x12.5</t>
  </si>
  <si>
    <t>AP25 Liberty Mutual AFB</t>
  </si>
  <si>
    <t>AP10000710-2025-1</t>
  </si>
  <si>
    <t>RSK: 500x500, 1000x0 Occ</t>
  </si>
  <si>
    <t>TP10018044-2025-3</t>
  </si>
  <si>
    <t>UK25 Starr Construction QS</t>
  </si>
  <si>
    <t>TP10018577-2025-1</t>
  </si>
  <si>
    <t>TP10020985-2025-1</t>
  </si>
  <si>
    <t>RSK: 25x25</t>
  </si>
  <si>
    <t>TP25 Hartford Steam Boiler</t>
  </si>
  <si>
    <t>TP10000457-2025-1</t>
  </si>
  <si>
    <t>TP10022219-2025-1</t>
  </si>
  <si>
    <t>CAN25 AWAC</t>
  </si>
  <si>
    <t>TP0299870A-2025-1</t>
  </si>
  <si>
    <t>PR: 175x0</t>
  </si>
  <si>
    <t>TP25 FM Global Per Risk Group</t>
  </si>
  <si>
    <t>TP0226773A-2025-1</t>
  </si>
  <si>
    <t>RSK: 300x400, 300x0 Occ</t>
  </si>
  <si>
    <t>TP10000457-2025-2</t>
  </si>
  <si>
    <t>TP00001412-2025-2</t>
  </si>
  <si>
    <t>RSK: 125x0, 125x0 Occ</t>
  </si>
  <si>
    <t>UK25 Arch Eng</t>
  </si>
  <si>
    <t>TP10019846-2025-1</t>
  </si>
  <si>
    <t>TP0226783A-2025-2</t>
  </si>
  <si>
    <t>RSK: 400x700, 400x0 Occ</t>
  </si>
  <si>
    <t>TP00001412-2025-1</t>
  </si>
  <si>
    <t>RSK: 75x0, 112.5x0 Occ</t>
  </si>
  <si>
    <t>TP0800777A-2025-4</t>
  </si>
  <si>
    <t>RSK: 200x400, 200x0 Occ</t>
  </si>
  <si>
    <t>TP26 Florida Pen Net QS</t>
  </si>
  <si>
    <t>TP10000740-2026-1</t>
  </si>
  <si>
    <t>TP00001432-2025-3</t>
  </si>
  <si>
    <t>RSK: 500x1100, 500x0 Occ</t>
  </si>
  <si>
    <t>AP25 MS Transverse Eirion</t>
  </si>
  <si>
    <t>AP10001010-2025-1</t>
  </si>
  <si>
    <t>AP25 Honeycomb Specialty Builders</t>
  </si>
  <si>
    <t>AP10001235-2025-1</t>
  </si>
  <si>
    <t>TP25 Kemah Capital CommQS</t>
  </si>
  <si>
    <t>TP10025001-2026-1</t>
  </si>
  <si>
    <t>TP00001432-2025-4</t>
  </si>
  <si>
    <t>RSK: 200x100, 200x0 Occ</t>
  </si>
  <si>
    <t>AP25 Skyward Specialty</t>
  </si>
  <si>
    <t>AP10001001-2025-1</t>
  </si>
  <si>
    <t>RSK: 25x5, 37.5x0 Occ</t>
  </si>
  <si>
    <t>UKF25 AIG MM Facility</t>
  </si>
  <si>
    <t>AP10001008-2025-1</t>
  </si>
  <si>
    <t>RSK: 150x0</t>
  </si>
  <si>
    <t>TP26 Employers Mutual</t>
  </si>
  <si>
    <t>TP10022357-2026-1</t>
  </si>
  <si>
    <t>UK25 Hiscox Energy QS</t>
  </si>
  <si>
    <t>TP10023389-2025-1</t>
  </si>
  <si>
    <t>TP25 Convex QS</t>
  </si>
  <si>
    <t>TP10024754-2025-1</t>
  </si>
  <si>
    <t>PR: 99x0</t>
  </si>
  <si>
    <t>UK26 Blenheim Eng</t>
  </si>
  <si>
    <t>TP10018880-2026-1</t>
  </si>
  <si>
    <t>PR: 72x0</t>
  </si>
  <si>
    <t>UKF25 RI Prop Facility EDM</t>
  </si>
  <si>
    <t>AP10000968-2025-1</t>
  </si>
  <si>
    <t>AP25 Coaction ES AB</t>
  </si>
  <si>
    <t>AP10001251-2025-1</t>
  </si>
  <si>
    <t>RSK: 2.5x0, 25.47x0 Occ</t>
  </si>
  <si>
    <t>TP25 Starr Construction Per Risk</t>
  </si>
  <si>
    <t>TP10000725-2025-5</t>
  </si>
  <si>
    <t>TP26 RLI</t>
  </si>
  <si>
    <t>TP0281700A-2026-2</t>
  </si>
  <si>
    <t>TP25 Canopius US Insurance July Inland Marine Per Risk</t>
  </si>
  <si>
    <t>TP10021961-2025-2</t>
  </si>
  <si>
    <t>TP26 RB Jones</t>
  </si>
  <si>
    <t>TP10024510-2026-1</t>
  </si>
  <si>
    <t>PR: 25x0</t>
  </si>
  <si>
    <t>AP10001301-2025-1</t>
  </si>
  <si>
    <t>PR: 25.47x0</t>
  </si>
  <si>
    <t>TP26 Brotherhood Mutual RMS Per Risk</t>
  </si>
  <si>
    <t>TP10022854-2026-2</t>
  </si>
  <si>
    <t>RSK: 7x8, 14x0 Occ</t>
  </si>
  <si>
    <t>UK26 AGCS Eng</t>
  </si>
  <si>
    <t>TP10018834-2026-1</t>
  </si>
  <si>
    <t>TP26 Ategrity Specialty QS and PPR</t>
  </si>
  <si>
    <t>TP10003574-2026-1</t>
  </si>
  <si>
    <t>TP25 MS Transverse Dec</t>
  </si>
  <si>
    <t>TP10023417-2025-1</t>
  </si>
  <si>
    <t>TP26 Starr C&amp;S</t>
  </si>
  <si>
    <t>TP10023954-2026-1</t>
  </si>
  <si>
    <t>TP26 Lancashire US DF QS</t>
  </si>
  <si>
    <t>TP10023847-2026-1</t>
  </si>
  <si>
    <t>TP26 Donegal Mutual</t>
  </si>
  <si>
    <t>TP10024032-2026-2</t>
  </si>
  <si>
    <t>AP25 Transverse MSI</t>
  </si>
  <si>
    <t>AP10000760-2025-1</t>
  </si>
  <si>
    <t>RSK: 20x5, 20x0 Occ</t>
  </si>
  <si>
    <t>TP26 Mid Hudson Co-Op Insurance Company</t>
  </si>
  <si>
    <t>TP10023851-2026-1</t>
  </si>
  <si>
    <t>CAT: 6x4</t>
  </si>
  <si>
    <t>BM26 Arch 1955 Regearing</t>
  </si>
  <si>
    <t>TP10018260-2026-1</t>
  </si>
  <si>
    <t>UK26 Axa Eng</t>
  </si>
  <si>
    <t>TP10018870-2026-1</t>
  </si>
  <si>
    <t>TP26 Westfield ES Layers</t>
  </si>
  <si>
    <t>TP10021335-2026-1</t>
  </si>
  <si>
    <t>AP26 Obsidian SRU Excess</t>
  </si>
  <si>
    <t>AP10000763-2026-2</t>
  </si>
  <si>
    <t>PR: 60x0</t>
  </si>
  <si>
    <t>UKF25 Swiss AXA XL</t>
  </si>
  <si>
    <t>AP10001286-2026-1</t>
  </si>
  <si>
    <t>TP26 MS Transverse Eirion</t>
  </si>
  <si>
    <t>TP10023702-2026-1</t>
  </si>
  <si>
    <t>BM26 Ren Re 1458</t>
  </si>
  <si>
    <t>TP10024857-2026-1</t>
  </si>
  <si>
    <t>UK26 Axis Cons</t>
  </si>
  <si>
    <t>TP0007645L-2026-1</t>
  </si>
  <si>
    <t>TP26 Ark Syndicate SME QS</t>
  </si>
  <si>
    <t>TP10023895-2026-1</t>
  </si>
  <si>
    <t>BM26 Aegis DF QS</t>
  </si>
  <si>
    <t>TP10021465-2026-1</t>
  </si>
  <si>
    <t>UK26 Lancashire Eng</t>
  </si>
  <si>
    <t>TP10020098-2026-1</t>
  </si>
  <si>
    <t>TP0281699A-2026-1</t>
  </si>
  <si>
    <t>UKF25 Generali GC&amp;C</t>
  </si>
  <si>
    <t>AP10001333-2025-1</t>
  </si>
  <si>
    <t>GER26_AGCSOnshore_QS</t>
  </si>
  <si>
    <t>EV0105443A-2026-1</t>
  </si>
  <si>
    <t>TP10024032-2026-1</t>
  </si>
  <si>
    <t>TP10022854-2026-1</t>
  </si>
  <si>
    <t>RSK: 5x3, 10x0 Occ</t>
  </si>
  <si>
    <t>AP26 Emerald Bay Origin Specialty</t>
  </si>
  <si>
    <t>AP10001078-2026-1</t>
  </si>
  <si>
    <t>PR: 5x0</t>
  </si>
  <si>
    <t>CH26_AXISRenewableEnergy_QS</t>
  </si>
  <si>
    <t>EV10000039-2026-1</t>
  </si>
  <si>
    <t>TP26 Tokio Marine America</t>
  </si>
  <si>
    <t>TP0296556A-2026-1</t>
  </si>
  <si>
    <t>TP10022854-2026-3</t>
  </si>
  <si>
    <t>RSK: 25x15, 50x0 Occ</t>
  </si>
  <si>
    <t>BM26 Aegis Power QS</t>
  </si>
  <si>
    <t>TP0800852A-2026-1</t>
  </si>
  <si>
    <t>PR: 43.75x0</t>
  </si>
  <si>
    <t>TP26 Tokio Marine_Lloyds US Binders QS</t>
  </si>
  <si>
    <t>TP10003230-2026-1</t>
  </si>
  <si>
    <t>TP0296557A-2026-2</t>
  </si>
  <si>
    <t>AP26 Millers Capital</t>
  </si>
  <si>
    <t>AP10000286-2026-2</t>
  </si>
  <si>
    <t>RSK: 50x10, 100x0 Occ</t>
  </si>
  <si>
    <t>TP25 MS Transverse NP Per Risk</t>
  </si>
  <si>
    <t>TP10019925-2025-1</t>
  </si>
  <si>
    <t>TP26 Cincinnati</t>
  </si>
  <si>
    <t>TP10022842-2026-1</t>
  </si>
  <si>
    <t>UK26 Sompo Intl Eng</t>
  </si>
  <si>
    <t>TP10021549-2026-1</t>
  </si>
  <si>
    <t>TP26 Trisura Specialty Ins</t>
  </si>
  <si>
    <t>TP10023444-2026-1</t>
  </si>
  <si>
    <t>AP26 OBSIDIAN AMRISC</t>
  </si>
  <si>
    <t>AP10001351-2026-1</t>
  </si>
  <si>
    <t>TP26 Fidelis DF Risk</t>
  </si>
  <si>
    <t>TP10018557-2026-5</t>
  </si>
  <si>
    <t>UK26 Zurich Eng</t>
  </si>
  <si>
    <t>TP10018843-2026-1</t>
  </si>
  <si>
    <t>AP26 Obsidian and Partner SRU CORE</t>
  </si>
  <si>
    <t>AP10000951-2026</t>
  </si>
  <si>
    <t>TP26 FCCI Per Risk Layers</t>
  </si>
  <si>
    <t>TP10022527-2026-1</t>
  </si>
  <si>
    <t>GER26_HDI_EngSurplus</t>
  </si>
  <si>
    <t>EP0105441A-2026-1</t>
  </si>
  <si>
    <t>BM26 Convex DF</t>
  </si>
  <si>
    <t>TP10018504-2026-1</t>
  </si>
  <si>
    <t>AP26 WSI CAU</t>
  </si>
  <si>
    <t>AP10000607-2026-1</t>
  </si>
  <si>
    <t>RSK: 75x50, 150x0 Occ</t>
  </si>
  <si>
    <t>TP26 AIG Global Per Risk</t>
  </si>
  <si>
    <t>TP0289341A-2026-4</t>
  </si>
  <si>
    <t>UK26 AIG Eng</t>
  </si>
  <si>
    <t>TP0007578L-2026-1</t>
  </si>
  <si>
    <t>TP26 Hiscox Binders QS</t>
  </si>
  <si>
    <t>TP0288820A-2026-1</t>
  </si>
  <si>
    <t>PR: 490x0</t>
  </si>
  <si>
    <t>TP26 Crum &amp; Forster ES - excl Residential Flood</t>
  </si>
  <si>
    <t>TP10020395-2026-1</t>
  </si>
  <si>
    <t>GER26_AGCSLowCarbon_QS</t>
  </si>
  <si>
    <t>EV10000338-2026-1</t>
  </si>
  <si>
    <t>FRA26_AxaGlobalReMarine_HullCargoQS</t>
  </si>
  <si>
    <t>EV0105487A-2026-1</t>
  </si>
  <si>
    <t>UK26 TMHCC Eng</t>
  </si>
  <si>
    <t>TP10018854-2026-1</t>
  </si>
  <si>
    <t>PR: 70x0</t>
  </si>
  <si>
    <t>TP26 Sutton PBC Final</t>
  </si>
  <si>
    <t>TP10022343-2026-1</t>
  </si>
  <si>
    <t>TP26 Sompo Intl QS</t>
  </si>
  <si>
    <t>TP10018563-2026-1</t>
  </si>
  <si>
    <t>AP26 AXA Bermuda QS</t>
  </si>
  <si>
    <t>AP10001352-2026-1</t>
  </si>
  <si>
    <t>UK26 Apollo Eng</t>
  </si>
  <si>
    <t>TP10021450-2026-1</t>
  </si>
  <si>
    <t>PR: 75x0</t>
  </si>
  <si>
    <t>CH26_Navata_MarineEnergyQS</t>
  </si>
  <si>
    <t>EV0105452A-2026-1</t>
  </si>
  <si>
    <t>TP26 Travelers SST</t>
  </si>
  <si>
    <t>TP0281071A-2026-1</t>
  </si>
  <si>
    <t>TP26 Arch Insurance Corporate PPR</t>
  </si>
  <si>
    <t>TP10021318-2026-1</t>
  </si>
  <si>
    <t>BM26 Hiscox Specialty QS</t>
  </si>
  <si>
    <t>TP10000817-2026-1</t>
  </si>
  <si>
    <t>PR: 85x0</t>
  </si>
  <si>
    <t>TP26 Intact Financial Corporation US Per Risk</t>
  </si>
  <si>
    <t>TP10025357-2026-1</t>
  </si>
  <si>
    <t>BM26 Hamilton DF QS</t>
  </si>
  <si>
    <t>TP10003635-2026-1</t>
  </si>
  <si>
    <t>TP26 Arch Insurance MidCorp Per Risk</t>
  </si>
  <si>
    <t>TP10023893-2026-1</t>
  </si>
  <si>
    <t>TP26 FM Global Data Center Program</t>
  </si>
  <si>
    <t>TP10025023-2026-1</t>
  </si>
  <si>
    <t>TP0289341A-2026-1</t>
  </si>
  <si>
    <t>UK26 Canopius Eng</t>
  </si>
  <si>
    <t>TP0007812L-2026-1</t>
  </si>
  <si>
    <t>TP26 Aspen US - QS</t>
  </si>
  <si>
    <t>TP10001072-2026-1</t>
  </si>
  <si>
    <t>PR: 91.7x0</t>
  </si>
  <si>
    <t>TP26 StarStone QS</t>
  </si>
  <si>
    <t>TP10023849-2026-1</t>
  </si>
  <si>
    <t>TP0289341A-2026-2</t>
  </si>
  <si>
    <t>QA EI EIID Property v2</t>
  </si>
  <si>
    <t>UK26_Inigo_QS</t>
  </si>
  <si>
    <t>TP10024037-2026-1</t>
  </si>
  <si>
    <t>TP0289341A-2026-3</t>
  </si>
  <si>
    <t>AP10000925-2026</t>
  </si>
  <si>
    <t>TP10003585-2026-1</t>
  </si>
  <si>
    <t>TP0289341A-2026-5</t>
  </si>
  <si>
    <t>BM26 Vave QS Layers</t>
  </si>
  <si>
    <t>TP10022728-2026-1</t>
  </si>
  <si>
    <t>EV10000338-2026-2</t>
  </si>
  <si>
    <t>TP26 Specialty Builders Kemah</t>
  </si>
  <si>
    <t>TP10023678-2026-1</t>
  </si>
  <si>
    <t>UK26 QBE Natural Resources QS</t>
  </si>
  <si>
    <t>TP10025250-2026-1</t>
  </si>
  <si>
    <t>PR: 516.5x0</t>
  </si>
  <si>
    <t>BM26 Hiscox Binders QS</t>
  </si>
  <si>
    <t>TP10022875-2026-1</t>
  </si>
  <si>
    <t>TP10023180-2025-3</t>
  </si>
  <si>
    <t>TP10022706-2025-2</t>
  </si>
  <si>
    <t>TP25 Mitsui Sumitomo Per Risk</t>
  </si>
  <si>
    <t>TP0297955A-2025-3</t>
  </si>
  <si>
    <t>TP10000457-2025-3</t>
  </si>
  <si>
    <t>TP10001721-2025-2</t>
  </si>
  <si>
    <t>RSK: 15x10, 15x0 Occ</t>
  </si>
  <si>
    <t>TP25 Dellwood Per Risk</t>
  </si>
  <si>
    <t>TP10025117-2025-1</t>
  </si>
  <si>
    <t>AP10001235-2025-2</t>
  </si>
  <si>
    <t>TP25 Narragansett Layers</t>
  </si>
  <si>
    <t>TP10022818-2025-1</t>
  </si>
  <si>
    <t>CAT: 30x20</t>
  </si>
  <si>
    <t>AP26 GAIC AFA</t>
  </si>
  <si>
    <t>AP10000612-2026-1</t>
  </si>
  <si>
    <t>AP10001351-2026-2</t>
  </si>
  <si>
    <t>AP10001351-2026-3</t>
  </si>
  <si>
    <t>RSK: 5x10, 5x0 Occ</t>
  </si>
  <si>
    <t>AP26 Starr Middle Market</t>
  </si>
  <si>
    <t>AP10000478-2026-1</t>
  </si>
  <si>
    <t>TP26 Fortegra Alchemy</t>
  </si>
  <si>
    <t>TP10021282-2026-2</t>
  </si>
  <si>
    <t>RSK: 7.5x5, 7.5x0 Occ</t>
  </si>
  <si>
    <t>TP10019925-2025-2</t>
  </si>
  <si>
    <t>TP26 Liberty Mutual Global Per Risk 1-1 Buffer Layer</t>
  </si>
  <si>
    <t>TP10025303-2026-1</t>
  </si>
  <si>
    <t>AGG: 160x0, 80x0 Occ</t>
  </si>
  <si>
    <t>AP26 Starr IM Prop</t>
  </si>
  <si>
    <t>AP10001357-2026-1</t>
  </si>
  <si>
    <t>TP26 Lloyds 4000 Hamilton Per Risk</t>
  </si>
  <si>
    <t>TP10022414-2026-1</t>
  </si>
  <si>
    <t>TP26 Blenheim Per Risk</t>
  </si>
  <si>
    <t>TP10023855-2026-1</t>
  </si>
  <si>
    <t>RSK: 3.5x1.5, 3.5x0 Occ</t>
  </si>
  <si>
    <t>TP25 Fortegra Corporate Cat</t>
  </si>
  <si>
    <t>TP10024375-2025-1</t>
  </si>
  <si>
    <t>CAN26 INTACT PER RISK</t>
  </si>
  <si>
    <t>TP10025160-2026-1</t>
  </si>
  <si>
    <t>TP26 Navigators Inland Marine Per Risk</t>
  </si>
  <si>
    <t>TP10002291-2026-1</t>
  </si>
  <si>
    <t>TP26 Aspen Risk on Fac</t>
  </si>
  <si>
    <t>TP10018696-2026-1</t>
  </si>
  <si>
    <t>TP10022842-2026-2</t>
  </si>
  <si>
    <t>TP10021471-2026-1</t>
  </si>
  <si>
    <t>Winter Storm Fern</t>
  </si>
  <si>
    <t>North America</t>
  </si>
  <si>
    <t>1/1/26</t>
  </si>
  <si>
    <t>1/30/26</t>
  </si>
  <si>
    <t>#N/A</t>
  </si>
  <si>
    <t>TP26 United Fire Per Risk Layers</t>
  </si>
  <si>
    <t>TP10023647-2026-1</t>
  </si>
  <si>
    <t>TP00001051-2026-3</t>
  </si>
  <si>
    <t>AP26 Trisura BP</t>
  </si>
  <si>
    <t>AP10001068-2026-1</t>
  </si>
  <si>
    <t>TP26 Inigo DF Per Risk</t>
  </si>
  <si>
    <t>TP10018794-2026-2</t>
  </si>
  <si>
    <t>TP10018794-2026-1</t>
  </si>
  <si>
    <t>TP25 US Coastal Northeast</t>
  </si>
  <si>
    <t>TP0300387A-2025-2</t>
  </si>
  <si>
    <t>CAT: 10x10</t>
  </si>
  <si>
    <t>TP25 Kingstone 7-1</t>
  </si>
  <si>
    <t>TP0308847A-2025-1</t>
  </si>
  <si>
    <t>CAT: 50x10</t>
  </si>
  <si>
    <t>TP0297894A-2025-1</t>
  </si>
  <si>
    <t>TP25 Great Bay Extrap</t>
  </si>
  <si>
    <t>TP10022036-2025-1</t>
  </si>
  <si>
    <t>CAT: 37.5x22.5</t>
  </si>
  <si>
    <t>CAT: 10x15</t>
  </si>
  <si>
    <t>TP0289276A-2026-3</t>
  </si>
  <si>
    <t>CAT: 30x30</t>
  </si>
  <si>
    <t>TP26 Arbella Mutual</t>
  </si>
  <si>
    <t>TP0281090A-2026-1</t>
  </si>
  <si>
    <t>TP25 Kin Ins xFL</t>
  </si>
  <si>
    <t>TP10023158-2025-1</t>
  </si>
  <si>
    <t>CAT: 35x5</t>
  </si>
  <si>
    <t>BM26 Climate Resiliency 100%QS</t>
  </si>
  <si>
    <t>TP10024863-2026-1</t>
  </si>
  <si>
    <t>PR: 24.39x0</t>
  </si>
  <si>
    <t>TP26 Fidelis Per Risk</t>
  </si>
  <si>
    <t>TP10023726-2026-1</t>
  </si>
  <si>
    <t>GER26_AGCS_TMQS</t>
  </si>
  <si>
    <t>EV10000104-2026-1</t>
  </si>
  <si>
    <t>Winterstorm NY TX MA NJ PA</t>
  </si>
  <si>
    <t>Winterstorm NY TX MA CT PA</t>
  </si>
  <si>
    <t>Winterstorm TX NY GA MA NC</t>
  </si>
  <si>
    <t>TP10003464-2026-1</t>
  </si>
  <si>
    <t>TP10018696-2026-3</t>
  </si>
  <si>
    <t>TP26 Secura Per Risk</t>
  </si>
  <si>
    <t>TP10023546-2026-1</t>
  </si>
  <si>
    <t>QA EI Life Science</t>
  </si>
  <si>
    <t>TP25 Vermont Mutual</t>
  </si>
  <si>
    <t>TP10022424-2025-7</t>
  </si>
  <si>
    <t>CAT: 50x0</t>
  </si>
  <si>
    <t>TP10018696-2026-2</t>
  </si>
  <si>
    <t>UKF25 AXA XL MM QS Prop Facility</t>
  </si>
  <si>
    <t>AP10000745-2025-1</t>
  </si>
  <si>
    <t>TP26 Cumberland Mutual</t>
  </si>
  <si>
    <t>TP10022445-2026-1</t>
  </si>
  <si>
    <t>Winterstorm NY MA TX PA SC</t>
  </si>
  <si>
    <t>BM26 Apollo 1969 Regearing</t>
  </si>
  <si>
    <t>TP10002128-2026-1</t>
  </si>
  <si>
    <t>PR: 930.52x0</t>
  </si>
  <si>
    <t>TP10021695-2026-1</t>
  </si>
  <si>
    <t>TP26 AIG - Corporate Cat</t>
  </si>
  <si>
    <t>TP10024031-2026-1</t>
  </si>
  <si>
    <t>AGG: 500x0, 500x0 Occ</t>
  </si>
  <si>
    <t>Gross MKT</t>
  </si>
  <si>
    <t>Industry</t>
  </si>
  <si>
    <t>gross</t>
  </si>
  <si>
    <t>eventid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</si>
</sst>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0.0"/>
    <numFmt numFmtId="167" formatCode="0_);\(0\)"/>
    <numFmt numFmtId="168" formatCode="_(* #,##0.0_);_(* \(#,##0.0\);_(* &quot;-&quot;?_);_(@_)"/>
    <numFmt numFmtId="169" formatCode="_(* #,##0_);_(* \(#,##0\);_(* &quot;-&quot;?_);_(@_)"/>
    <numFmt numFmtId="170" formatCode="#,##0.0,,"/>
    <numFmt numFmtId="171" formatCode="0.0%"/>
    <numFmt numFmtId="172" formatCode="0.0%;\-0.0%;0.0%"/>
    <numFmt numFmtId="173" formatCode="0.000%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venir Next LT Pro"/>
      <family val="2"/>
    </font>
    <font>
      <sz val="10"/>
      <name val="Avenir Next LT Pro"/>
      <family val="2"/>
    </font>
    <font>
      <b/>
      <u/>
      <sz val="10"/>
      <name val="Avenir Next LT Pro"/>
      <family val="2"/>
    </font>
    <font>
      <sz val="10"/>
      <name val="Calibri"/>
      <family val="2"/>
      <scheme val="minor"/>
    </font>
    <font>
      <sz val="10"/>
      <color theme="0"/>
      <name val="Avenir Next LT Pro"/>
      <family val="2"/>
    </font>
    <font>
      <b/>
      <sz val="10"/>
      <color theme="1"/>
      <name val="Avenir Next LT Pro"/>
      <family val="2"/>
    </font>
    <font>
      <sz val="10"/>
      <color theme="1"/>
      <name val="Avenir Next LT Pro"/>
      <family val="2"/>
    </font>
    <font>
      <sz val="10"/>
      <color rgb="FFFF0000"/>
      <name val="Avenir Next LT Pro"/>
      <family val="2"/>
    </font>
    <font>
      <b/>
      <sz val="10"/>
      <name val="Calibri"/>
      <family val="2"/>
      <scheme val="minor"/>
    </font>
    <font>
      <sz val="10"/>
      <color theme="0" tint="-0.34998626667073579"/>
      <name val="Avenir Next LT Pro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8" tint="0.79998168889431442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 style="thin">
        <color theme="8"/>
      </bottom>
      <diagonal/>
    </border>
    <border>
      <left/>
      <right/>
      <top/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" fillId="8" borderId="12" applyNumberFormat="0" applyFont="0" applyAlignment="0" applyProtection="0"/>
    <xf numFmtId="0" fontId="6" fillId="0" borderId="5" applyNumberFormat="0" applyFill="0" applyAlignment="0" applyProtection="0"/>
    <xf numFmtId="0" fontId="7" fillId="0" borderId="6" applyNumberFormat="0" applyFill="0" applyAlignment="0" applyProtection="0"/>
    <xf numFmtId="0" fontId="8" fillId="0" borderId="7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8" applyNumberFormat="0" applyAlignment="0" applyProtection="0"/>
    <xf numFmtId="0" fontId="13" fillId="6" borderId="9" applyNumberFormat="0" applyAlignment="0" applyProtection="0"/>
    <xf numFmtId="0" fontId="14" fillId="6" borderId="8" applyNumberFormat="0" applyAlignment="0" applyProtection="0"/>
    <xf numFmtId="0" fontId="15" fillId="0" borderId="10" applyNumberFormat="0" applyFill="0" applyAlignment="0" applyProtection="0"/>
    <xf numFmtId="0" fontId="16" fillId="7" borderId="11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</cellStyleXfs>
  <cellXfs count="132">
    <xf numFmtId="0" fontId="0" fillId="0" borderId="0" xfId="0"/>
    <xf numFmtId="164" fontId="0" fillId="0" borderId="0" xfId="1" applyNumberFormat="1" applyFont="1"/>
    <xf numFmtId="0" fontId="3" fillId="0" borderId="0" xfId="0" applyFont="1"/>
    <xf numFmtId="164" fontId="0" fillId="0" borderId="0" xfId="0" applyNumberFormat="1"/>
    <xf numFmtId="0" fontId="4" fillId="0" borderId="0" xfId="0" applyFont="1"/>
    <xf numFmtId="0" fontId="3" fillId="0" borderId="1" xfId="0" applyFont="1" applyBorder="1"/>
    <xf numFmtId="0" fontId="0" fillId="0" borderId="0" xfId="0" applyAlignment="1">
      <alignment horizontal="center"/>
    </xf>
    <xf numFmtId="0" fontId="0" fillId="35" borderId="0" xfId="0" applyFill="1"/>
    <xf numFmtId="0" fontId="0" fillId="35" borderId="0" xfId="0" applyFill="1" applyAlignment="1">
      <alignment horizontal="center"/>
    </xf>
    <xf numFmtId="164" fontId="0" fillId="35" borderId="0" xfId="1" applyNumberFormat="1" applyFont="1" applyFill="1"/>
    <xf numFmtId="0" fontId="0" fillId="0" borderId="0" xfId="1" applyNumberFormat="1" applyFont="1"/>
    <xf numFmtId="1" fontId="0" fillId="0" borderId="0" xfId="1" applyNumberFormat="1" applyFont="1"/>
    <xf numFmtId="164" fontId="4" fillId="0" borderId="0" xfId="1" applyNumberFormat="1" applyFont="1"/>
    <xf numFmtId="0" fontId="4" fillId="0" borderId="0" xfId="1" applyNumberFormat="1" applyFont="1"/>
    <xf numFmtId="0" fontId="4" fillId="0" borderId="1" xfId="0" applyFont="1" applyBorder="1"/>
    <xf numFmtId="0" fontId="20" fillId="0" borderId="1" xfId="0" applyFont="1" applyBorder="1" applyAlignment="1">
      <alignment horizontal="center"/>
    </xf>
    <xf numFmtId="0" fontId="20" fillId="0" borderId="0" xfId="0" applyFont="1"/>
    <xf numFmtId="0" fontId="21" fillId="0" borderId="0" xfId="0" applyFont="1"/>
    <xf numFmtId="0" fontId="21" fillId="0" borderId="1" xfId="0" applyFont="1" applyBorder="1"/>
    <xf numFmtId="0" fontId="21" fillId="0" borderId="0" xfId="0" applyFont="1" applyAlignment="1">
      <alignment horizontal="left"/>
    </xf>
    <xf numFmtId="0" fontId="21" fillId="34" borderId="2" xfId="0" applyFont="1" applyFill="1" applyBorder="1" applyAlignment="1">
      <alignment horizontal="left"/>
    </xf>
    <xf numFmtId="0" fontId="21" fillId="34" borderId="4" xfId="0" applyFont="1" applyFill="1" applyBorder="1"/>
    <xf numFmtId="0" fontId="20" fillId="0" borderId="2" xfId="0" applyFont="1" applyBorder="1"/>
    <xf numFmtId="0" fontId="21" fillId="0" borderId="2" xfId="0" applyFont="1" applyBorder="1"/>
    <xf numFmtId="0" fontId="20" fillId="0" borderId="4" xfId="0" applyFont="1" applyBorder="1"/>
    <xf numFmtId="0" fontId="20" fillId="0" borderId="1" xfId="0" applyFont="1" applyBorder="1"/>
    <xf numFmtId="0" fontId="22" fillId="0" borderId="0" xfId="0" applyFont="1" applyAlignment="1">
      <alignment horizontal="center"/>
    </xf>
    <xf numFmtId="164" fontId="21" fillId="0" borderId="0" xfId="0" applyNumberFormat="1" applyFont="1"/>
    <xf numFmtId="0" fontId="23" fillId="0" borderId="0" xfId="0" applyFont="1"/>
    <xf numFmtId="0" fontId="24" fillId="0" borderId="0" xfId="0" applyFont="1"/>
    <xf numFmtId="165" fontId="21" fillId="0" borderId="0" xfId="1" applyNumberFormat="1" applyFont="1"/>
    <xf numFmtId="164" fontId="21" fillId="0" borderId="0" xfId="1" applyNumberFormat="1" applyFont="1" applyBorder="1" applyAlignment="1">
      <alignment horizontal="center"/>
    </xf>
    <xf numFmtId="10" fontId="21" fillId="0" borderId="0" xfId="2" applyNumberFormat="1" applyFont="1" applyBorder="1" applyAlignment="1">
      <alignment horizontal="right"/>
    </xf>
    <xf numFmtId="10" fontId="21" fillId="0" borderId="0" xfId="2" quotePrefix="1" applyNumberFormat="1" applyFont="1" applyBorder="1" applyAlignment="1">
      <alignment horizontal="right"/>
    </xf>
    <xf numFmtId="43" fontId="21" fillId="0" borderId="0" xfId="0" applyNumberFormat="1" applyFont="1" applyAlignment="1">
      <alignment horizontal="center"/>
    </xf>
    <xf numFmtId="10" fontId="21" fillId="0" borderId="0" xfId="2" applyNumberFormat="1" applyFont="1" applyBorder="1" applyAlignment="1">
      <alignment horizontal="center"/>
    </xf>
    <xf numFmtId="0" fontId="21" fillId="0" borderId="0" xfId="0" applyFont="1" applyAlignment="1">
      <alignment horizontal="center"/>
    </xf>
    <xf numFmtId="164" fontId="21" fillId="0" borderId="0" xfId="0" applyNumberFormat="1" applyFont="1" applyAlignment="1">
      <alignment horizontal="center"/>
    </xf>
    <xf numFmtId="164" fontId="21" fillId="0" borderId="1" xfId="1" applyNumberFormat="1" applyFont="1" applyBorder="1" applyAlignment="1">
      <alignment horizontal="center"/>
    </xf>
    <xf numFmtId="165" fontId="21" fillId="0" borderId="1" xfId="0" applyNumberFormat="1" applyFont="1" applyBorder="1"/>
    <xf numFmtId="165" fontId="21" fillId="0" borderId="1" xfId="1" applyNumberFormat="1" applyFont="1" applyBorder="1"/>
    <xf numFmtId="165" fontId="21" fillId="0" borderId="0" xfId="0" applyNumberFormat="1" applyFont="1"/>
    <xf numFmtId="165" fontId="21" fillId="0" borderId="0" xfId="1" applyNumberFormat="1" applyFont="1" applyBorder="1"/>
    <xf numFmtId="164" fontId="21" fillId="0" borderId="0" xfId="1" applyNumberFormat="1" applyFont="1"/>
    <xf numFmtId="167" fontId="21" fillId="0" borderId="0" xfId="1" applyNumberFormat="1" applyFont="1" applyBorder="1" applyAlignment="1">
      <alignment horizontal="center"/>
    </xf>
    <xf numFmtId="164" fontId="23" fillId="0" borderId="0" xfId="1" applyNumberFormat="1" applyFont="1"/>
    <xf numFmtId="168" fontId="23" fillId="0" borderId="0" xfId="0" applyNumberFormat="1" applyFont="1"/>
    <xf numFmtId="164" fontId="21" fillId="0" borderId="3" xfId="0" applyNumberFormat="1" applyFont="1" applyBorder="1"/>
    <xf numFmtId="164" fontId="21" fillId="0" borderId="3" xfId="1" applyNumberFormat="1" applyFont="1" applyBorder="1"/>
    <xf numFmtId="164" fontId="21" fillId="0" borderId="0" xfId="1" applyNumberFormat="1" applyFont="1" applyBorder="1"/>
    <xf numFmtId="164" fontId="23" fillId="0" borderId="0" xfId="0" applyNumberFormat="1" applyFont="1"/>
    <xf numFmtId="10" fontId="23" fillId="0" borderId="0" xfId="2" applyNumberFormat="1" applyFont="1"/>
    <xf numFmtId="164" fontId="21" fillId="0" borderId="1" xfId="0" applyNumberFormat="1" applyFont="1" applyBorder="1"/>
    <xf numFmtId="164" fontId="21" fillId="0" borderId="1" xfId="1" applyNumberFormat="1" applyFont="1" applyBorder="1"/>
    <xf numFmtId="169" fontId="23" fillId="0" borderId="0" xfId="0" applyNumberFormat="1" applyFont="1"/>
    <xf numFmtId="164" fontId="21" fillId="33" borderId="3" xfId="1" applyNumberFormat="1" applyFont="1" applyFill="1" applyBorder="1"/>
    <xf numFmtId="165" fontId="21" fillId="34" borderId="3" xfId="1" applyNumberFormat="1" applyFont="1" applyFill="1" applyBorder="1"/>
    <xf numFmtId="164" fontId="21" fillId="34" borderId="3" xfId="1" applyNumberFormat="1" applyFont="1" applyFill="1" applyBorder="1"/>
    <xf numFmtId="164" fontId="21" fillId="34" borderId="15" xfId="1" applyNumberFormat="1" applyFont="1" applyFill="1" applyBorder="1"/>
    <xf numFmtId="164" fontId="21" fillId="34" borderId="0" xfId="1" applyNumberFormat="1" applyFont="1" applyFill="1" applyBorder="1"/>
    <xf numFmtId="164" fontId="21" fillId="33" borderId="1" xfId="1" applyNumberFormat="1" applyFont="1" applyFill="1" applyBorder="1"/>
    <xf numFmtId="0" fontId="21" fillId="34" borderId="1" xfId="0" applyFont="1" applyFill="1" applyBorder="1"/>
    <xf numFmtId="164" fontId="21" fillId="34" borderId="1" xfId="0" applyNumberFormat="1" applyFont="1" applyFill="1" applyBorder="1"/>
    <xf numFmtId="164" fontId="21" fillId="34" borderId="1" xfId="1" applyNumberFormat="1" applyFont="1" applyFill="1" applyBorder="1"/>
    <xf numFmtId="165" fontId="21" fillId="34" borderId="1" xfId="1" applyNumberFormat="1" applyFont="1" applyFill="1" applyBorder="1"/>
    <xf numFmtId="164" fontId="21" fillId="34" borderId="16" xfId="1" applyNumberFormat="1" applyFont="1" applyFill="1" applyBorder="1"/>
    <xf numFmtId="43" fontId="21" fillId="0" borderId="0" xfId="0" applyNumberFormat="1" applyFont="1"/>
    <xf numFmtId="9" fontId="21" fillId="0" borderId="0" xfId="2" applyFont="1"/>
    <xf numFmtId="164" fontId="21" fillId="0" borderId="0" xfId="1" applyNumberFormat="1" applyFont="1" applyFill="1"/>
    <xf numFmtId="164" fontId="21" fillId="0" borderId="3" xfId="1" applyNumberFormat="1" applyFont="1" applyFill="1" applyBorder="1"/>
    <xf numFmtId="0" fontId="21" fillId="0" borderId="3" xfId="0" applyFont="1" applyBorder="1"/>
    <xf numFmtId="165" fontId="21" fillId="0" borderId="3" xfId="1" applyNumberFormat="1" applyFont="1" applyFill="1" applyBorder="1"/>
    <xf numFmtId="164" fontId="21" fillId="0" borderId="0" xfId="1" applyNumberFormat="1" applyFont="1" applyFill="1" applyBorder="1"/>
    <xf numFmtId="166" fontId="20" fillId="0" borderId="1" xfId="1" applyNumberFormat="1" applyFont="1" applyBorder="1" applyAlignment="1">
      <alignment horizontal="center"/>
    </xf>
    <xf numFmtId="165" fontId="20" fillId="0" borderId="1" xfId="1" applyNumberFormat="1" applyFont="1" applyBorder="1" applyAlignment="1">
      <alignment horizontal="center"/>
    </xf>
    <xf numFmtId="165" fontId="20" fillId="0" borderId="1" xfId="1" applyNumberFormat="1" applyFont="1" applyBorder="1"/>
    <xf numFmtId="0" fontId="25" fillId="36" borderId="18" xfId="0" applyFont="1" applyFill="1" applyBorder="1"/>
    <xf numFmtId="0" fontId="26" fillId="0" borderId="18" xfId="0" applyFont="1" applyBorder="1"/>
    <xf numFmtId="0" fontId="26" fillId="0" borderId="0" xfId="0" applyFont="1"/>
    <xf numFmtId="0" fontId="25" fillId="36" borderId="17" xfId="0" applyFont="1" applyFill="1" applyBorder="1"/>
    <xf numFmtId="0" fontId="26" fillId="0" borderId="17" xfId="0" applyFont="1" applyBorder="1"/>
    <xf numFmtId="49" fontId="26" fillId="0" borderId="17" xfId="0" applyNumberFormat="1" applyFont="1" applyBorder="1"/>
    <xf numFmtId="0" fontId="26" fillId="0" borderId="19" xfId="0" applyFont="1" applyBorder="1"/>
    <xf numFmtId="164" fontId="26" fillId="0" borderId="0" xfId="1" applyNumberFormat="1" applyFont="1"/>
    <xf numFmtId="167" fontId="21" fillId="37" borderId="14" xfId="1" applyNumberFormat="1" applyFont="1" applyFill="1" applyBorder="1" applyAlignment="1">
      <alignment horizontal="center"/>
    </xf>
    <xf numFmtId="0" fontId="21" fillId="0" borderId="0" xfId="0" quotePrefix="1" applyFont="1"/>
    <xf numFmtId="0" fontId="0" fillId="37" borderId="0" xfId="0" applyFill="1"/>
    <xf numFmtId="170" fontId="0" fillId="37" borderId="0" xfId="0" applyNumberFormat="1" applyFill="1"/>
    <xf numFmtId="165" fontId="26" fillId="0" borderId="0" xfId="1" applyNumberFormat="1" applyFont="1"/>
    <xf numFmtId="164" fontId="26" fillId="0" borderId="19" xfId="1" applyNumberFormat="1" applyFont="1" applyBorder="1"/>
    <xf numFmtId="165" fontId="26" fillId="0" borderId="19" xfId="1" applyNumberFormat="1" applyFont="1" applyBorder="1"/>
    <xf numFmtId="0" fontId="26" fillId="38" borderId="17" xfId="0" applyFont="1" applyFill="1" applyBorder="1"/>
    <xf numFmtId="0" fontId="26" fillId="0" borderId="14" xfId="0" applyFont="1" applyBorder="1"/>
    <xf numFmtId="0" fontId="25" fillId="37" borderId="14" xfId="0" applyFont="1" applyFill="1" applyBorder="1"/>
    <xf numFmtId="0" fontId="26" fillId="39" borderId="14" xfId="0" applyFont="1" applyFill="1" applyBorder="1"/>
    <xf numFmtId="0" fontId="26" fillId="34" borderId="14" xfId="0" applyFont="1" applyFill="1" applyBorder="1"/>
    <xf numFmtId="164" fontId="0" fillId="37" borderId="0" xfId="0" applyNumberFormat="1" applyFill="1"/>
    <xf numFmtId="0" fontId="26" fillId="37" borderId="19" xfId="0" applyFont="1" applyFill="1" applyBorder="1"/>
    <xf numFmtId="168" fontId="0" fillId="0" borderId="0" xfId="0" applyNumberFormat="1"/>
    <xf numFmtId="0" fontId="26" fillId="0" borderId="27" xfId="0" applyFont="1" applyBorder="1"/>
    <xf numFmtId="0" fontId="26" fillId="34" borderId="27" xfId="0" applyFont="1" applyFill="1" applyBorder="1"/>
    <xf numFmtId="0" fontId="27" fillId="0" borderId="0" xfId="0" applyFont="1" applyAlignment="1">
      <alignment horizontal="center"/>
    </xf>
    <xf numFmtId="0" fontId="27" fillId="0" borderId="0" xfId="0" applyFont="1"/>
    <xf numFmtId="164" fontId="0" fillId="0" borderId="0" xfId="1" applyNumberFormat="1" applyFont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70" fontId="0" fillId="0" borderId="0" xfId="0" applyNumberFormat="1"/>
    <xf numFmtId="172" fontId="0" fillId="0" borderId="0" xfId="0" applyNumberFormat="1"/>
    <xf numFmtId="0" fontId="0" fillId="0" borderId="0" xfId="0" applyAlignment="1">
      <alignment horizontal="left"/>
    </xf>
    <xf numFmtId="0" fontId="28" fillId="0" borderId="0" xfId="0" applyFont="1"/>
    <xf numFmtId="164" fontId="28" fillId="0" borderId="0" xfId="0" applyNumberFormat="1" applyFont="1"/>
    <xf numFmtId="0" fontId="20" fillId="0" borderId="24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26" xfId="0" applyFont="1" applyBorder="1" applyAlignment="1">
      <alignment horizontal="center"/>
    </xf>
    <xf numFmtId="165" fontId="20" fillId="0" borderId="14" xfId="1" applyNumberFormat="1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26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173" fontId="0" fillId="0" borderId="0" xfId="2" applyNumberFormat="1" applyFont="1"/>
    <xf numFmtId="0" fontId="29" fillId="37" borderId="0" xfId="0" applyFont="1" applyFill="1"/>
    <xf numFmtId="0" fontId="21" fillId="37" borderId="0" xfId="0" applyFont="1" applyFill="1"/>
    <xf numFmtId="0" fontId="26" fillId="0" borderId="0" xfId="0" pivotButton="1" applyFont="1"/>
    <xf numFmtId="0" fontId="26" fillId="0" borderId="0" xfId="0" applyFont="1" applyAlignment="1">
      <alignment horizontal="left"/>
    </xf>
    <xf numFmtId="170" fontId="26" fillId="0" borderId="0" xfId="0" applyNumberFormat="1" applyFont="1"/>
    <xf numFmtId="0" fontId="26" fillId="0" borderId="0" xfId="0" applyFont="1" applyAlignment="1">
      <alignment horizontal="left" indent="1"/>
    </xf>
    <xf numFmtId="0" fontId="26" fillId="37" borderId="0" xfId="0" applyFont="1" applyFill="1" applyAlignment="1">
      <alignment horizontal="left"/>
    </xf>
    <xf numFmtId="170" fontId="26" fillId="37" borderId="0" xfId="0" applyNumberFormat="1" applyFont="1" applyFill="1"/>
    <xf numFmtId="0" fontId="26" fillId="37" borderId="0" xfId="0" applyFont="1" applyFill="1"/>
    <xf numFmtId="49" fontId="26" fillId="37" borderId="0" xfId="0" applyNumberFormat="1" applyFont="1" applyFill="1"/>
    <xf numFmtId="165" fontId="26" fillId="0" borderId="0" xfId="0" applyNumberFormat="1" applyFont="1"/>
    <xf numFmtId="171" fontId="26" fillId="0" borderId="0" xfId="0" applyNumberFormat="1" applyFont="1"/>
  </cellXfs>
  <cellStyles count="44">
    <cellStyle name="20% - Accent1 2" xfId="21" xr:uid="{00000000-0005-0000-0000-000000000000}"/>
    <cellStyle name="20% - Accent2 2" xfId="25" xr:uid="{00000000-0005-0000-0000-000001000000}"/>
    <cellStyle name="20% - Accent3 2" xfId="29" xr:uid="{00000000-0005-0000-0000-000002000000}"/>
    <cellStyle name="20% - Accent4 2" xfId="33" xr:uid="{00000000-0005-0000-0000-000003000000}"/>
    <cellStyle name="20% - Accent5 2" xfId="37" xr:uid="{00000000-0005-0000-0000-000004000000}"/>
    <cellStyle name="20% - Accent6 2" xfId="41" xr:uid="{00000000-0005-0000-0000-000005000000}"/>
    <cellStyle name="40% - Accent1 2" xfId="22" xr:uid="{00000000-0005-0000-0000-000006000000}"/>
    <cellStyle name="40% - Accent2 2" xfId="26" xr:uid="{00000000-0005-0000-0000-000007000000}"/>
    <cellStyle name="40% - Accent3 2" xfId="30" xr:uid="{00000000-0005-0000-0000-000008000000}"/>
    <cellStyle name="40% - Accent4 2" xfId="34" xr:uid="{00000000-0005-0000-0000-000009000000}"/>
    <cellStyle name="40% - Accent5 2" xfId="38" xr:uid="{00000000-0005-0000-0000-00000A000000}"/>
    <cellStyle name="40% - Accent6 2" xfId="42" xr:uid="{00000000-0005-0000-0000-00000B000000}"/>
    <cellStyle name="60% - Accent1 2" xfId="23" xr:uid="{00000000-0005-0000-0000-00000C000000}"/>
    <cellStyle name="60% - Accent2 2" xfId="27" xr:uid="{00000000-0005-0000-0000-00000D000000}"/>
    <cellStyle name="60% - Accent3 2" xfId="31" xr:uid="{00000000-0005-0000-0000-00000E000000}"/>
    <cellStyle name="60% - Accent4 2" xfId="35" xr:uid="{00000000-0005-0000-0000-00000F000000}"/>
    <cellStyle name="60% - Accent5 2" xfId="39" xr:uid="{00000000-0005-0000-0000-000010000000}"/>
    <cellStyle name="60% - Accent6 2" xfId="43" xr:uid="{00000000-0005-0000-0000-000011000000}"/>
    <cellStyle name="Accent1 2" xfId="20" xr:uid="{00000000-0005-0000-0000-000012000000}"/>
    <cellStyle name="Accent2 2" xfId="24" xr:uid="{00000000-0005-0000-0000-000013000000}"/>
    <cellStyle name="Accent3 2" xfId="28" xr:uid="{00000000-0005-0000-0000-000014000000}"/>
    <cellStyle name="Accent4 2" xfId="32" xr:uid="{00000000-0005-0000-0000-000015000000}"/>
    <cellStyle name="Accent5 2" xfId="36" xr:uid="{00000000-0005-0000-0000-000016000000}"/>
    <cellStyle name="Accent6 2" xfId="40" xr:uid="{00000000-0005-0000-0000-000017000000}"/>
    <cellStyle name="Bad 2" xfId="10" xr:uid="{00000000-0005-0000-0000-000018000000}"/>
    <cellStyle name="Calculation 2" xfId="14" xr:uid="{00000000-0005-0000-0000-000019000000}"/>
    <cellStyle name="Check Cell 2" xfId="16" xr:uid="{00000000-0005-0000-0000-00001A000000}"/>
    <cellStyle name="Comma" xfId="1" builtinId="3"/>
    <cellStyle name="Explanatory Text 2" xfId="18" xr:uid="{00000000-0005-0000-0000-00001C000000}"/>
    <cellStyle name="Good 2" xfId="9" xr:uid="{00000000-0005-0000-0000-00001D000000}"/>
    <cellStyle name="Heading 1 2" xfId="5" xr:uid="{00000000-0005-0000-0000-00001E000000}"/>
    <cellStyle name="Heading 2 2" xfId="6" xr:uid="{00000000-0005-0000-0000-00001F000000}"/>
    <cellStyle name="Heading 3 2" xfId="7" xr:uid="{00000000-0005-0000-0000-000020000000}"/>
    <cellStyle name="Heading 4 2" xfId="8" xr:uid="{00000000-0005-0000-0000-000021000000}"/>
    <cellStyle name="Input 2" xfId="12" xr:uid="{00000000-0005-0000-0000-000022000000}"/>
    <cellStyle name="Linked Cell 2" xfId="15" xr:uid="{00000000-0005-0000-0000-000023000000}"/>
    <cellStyle name="Neutral 2" xfId="11" xr:uid="{00000000-0005-0000-0000-000024000000}"/>
    <cellStyle name="Normal" xfId="0" builtinId="0"/>
    <cellStyle name="Note" xfId="4" builtinId="10" customBuiltin="1"/>
    <cellStyle name="Output 2" xfId="13" xr:uid="{00000000-0005-0000-0000-000027000000}"/>
    <cellStyle name="Percent" xfId="2" builtinId="5"/>
    <cellStyle name="Title" xfId="3" builtinId="15" customBuiltin="1"/>
    <cellStyle name="Total 2" xfId="19" xr:uid="{00000000-0005-0000-0000-00002A000000}"/>
    <cellStyle name="Warning Text 2" xfId="17" xr:uid="{00000000-0005-0000-0000-00002B000000}"/>
  </cellStyles>
  <dxfs count="158">
    <dxf>
      <numFmt numFmtId="171" formatCode="0.0%"/>
    </dxf>
    <dxf>
      <numFmt numFmtId="171" formatCode="0.0%"/>
    </dxf>
    <dxf>
      <numFmt numFmtId="170" formatCode="#,##0.0,,"/>
    </dxf>
    <dxf>
      <numFmt numFmtId="30" formatCode="@"/>
    </dxf>
    <dxf>
      <numFmt numFmtId="165" formatCode="_(* #,##0.0_);_(* \(#,##0.0\);_(* &quot;-&quot;??_);_(@_)"/>
    </dxf>
    <dxf>
      <numFmt numFmtId="165" formatCode="_(* #,##0.0_);_(* \(#,##0.0\);_(* &quot;-&quot;??_);_(@_)"/>
    </dxf>
    <dxf>
      <numFmt numFmtId="165" formatCode="_(* #,##0.0_);_(* \(#,##0.0\);_(* &quot;-&quot;??_);_(@_)"/>
    </dxf>
    <dxf>
      <numFmt numFmtId="165" formatCode="_(* #,##0.0_);_(* \(#,##0.0\);_(* &quot;-&quot;??_);_(@_)"/>
    </dxf>
    <dxf>
      <font>
        <color rgb="FFFFFFFF"/>
      </font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ont>
        <color theme="0" tint="-0.34998626667073579"/>
      </font>
    </dxf>
    <dxf>
      <font>
        <name val="Avenir Next LT Pro"/>
        <scheme val="none"/>
      </font>
    </dxf>
    <dxf>
      <font>
        <sz val="10"/>
      </font>
    </dxf>
    <dxf>
      <numFmt numFmtId="170" formatCode="#,##0.0,,"/>
    </dxf>
    <dxf>
      <font>
        <color rgb="FFFFFFFF"/>
      </font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ont>
        <color theme="0" tint="-0.34998626667073579"/>
      </font>
    </dxf>
    <dxf>
      <font>
        <name val="Avenir Next LT Pro"/>
        <scheme val="none"/>
      </font>
    </dxf>
    <dxf>
      <font>
        <sz val="10"/>
      </font>
    </dxf>
    <dxf>
      <font>
        <color theme="0" tint="-0.34998626667073579"/>
      </font>
    </dxf>
    <dxf>
      <font>
        <color theme="0" tint="-0.34998626667073579"/>
      </font>
    </dxf>
    <dxf>
      <numFmt numFmtId="171" formatCode="0.0%"/>
    </dxf>
    <dxf>
      <numFmt numFmtId="171" formatCode="0.0%"/>
    </dxf>
    <dxf>
      <numFmt numFmtId="170" formatCode="#,##0.0,,"/>
    </dxf>
    <dxf>
      <numFmt numFmtId="30" formatCode="@"/>
    </dxf>
    <dxf>
      <numFmt numFmtId="165" formatCode="_(* #,##0.0_);_(* \(#,##0.0\);_(* &quot;-&quot;??_);_(@_)"/>
    </dxf>
    <dxf>
      <numFmt numFmtId="165" formatCode="_(* #,##0.0_);_(* \(#,##0.0\);_(* &quot;-&quot;??_);_(@_)"/>
    </dxf>
    <dxf>
      <numFmt numFmtId="165" formatCode="_(* #,##0.0_);_(* \(#,##0.0\);_(* &quot;-&quot;??_);_(@_)"/>
    </dxf>
    <dxf>
      <numFmt numFmtId="165" formatCode="_(* #,##0.0_);_(* \(#,##0.0\);_(* &quot;-&quot;??_);_(@_)"/>
    </dxf>
    <dxf>
      <font>
        <color rgb="FFFFFFFF"/>
      </font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ont>
        <color theme="0" tint="-0.34998626667073579"/>
      </font>
    </dxf>
    <dxf>
      <font>
        <name val="Avenir Next LT Pro"/>
        <scheme val="none"/>
      </font>
    </dxf>
    <dxf>
      <font>
        <sz val="10"/>
      </font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numFmt numFmtId="164" formatCode="_(* #,##0_);_(* \(#,##0\);_(* &quot;-&quot;??_);_(@_)"/>
    </dxf>
    <dxf>
      <border>
        <bottom style="thin">
          <color theme="8"/>
        </bottom>
      </border>
    </dxf>
    <dxf>
      <font>
        <sz val="10"/>
      </font>
    </dxf>
    <dxf>
      <font>
        <name val="Avenir Next LT Pro"/>
        <scheme val="none"/>
      </font>
    </dxf>
    <dxf>
      <font>
        <color theme="0" tint="-0.34998626667073579"/>
      </font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ont>
        <color rgb="FFFFFFFF"/>
      </font>
    </dxf>
    <dxf>
      <numFmt numFmtId="165" formatCode="_(* #,##0.0_);_(* \(#,##0.0\);_(* &quot;-&quot;??_);_(@_)"/>
    </dxf>
    <dxf>
      <numFmt numFmtId="165" formatCode="_(* #,##0.0_);_(* \(#,##0.0\);_(* &quot;-&quot;??_);_(@_)"/>
    </dxf>
    <dxf>
      <numFmt numFmtId="165" formatCode="_(* #,##0.0_);_(* \(#,##0.0\);_(* &quot;-&quot;??_);_(@_)"/>
    </dxf>
    <dxf>
      <numFmt numFmtId="165" formatCode="_(* #,##0.0_);_(* \(#,##0.0\);_(* &quot;-&quot;??_);_(@_)"/>
    </dxf>
    <dxf>
      <numFmt numFmtId="30" formatCode="@"/>
    </dxf>
    <dxf>
      <numFmt numFmtId="170" formatCode="#,##0.0,,"/>
    </dxf>
    <dxf>
      <numFmt numFmtId="171" formatCode="0.0%"/>
    </dxf>
    <dxf>
      <numFmt numFmtId="171" formatCode="0.0%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numFmt numFmtId="170" formatCode="#,##0.0,,"/>
    </dxf>
    <dxf>
      <numFmt numFmtId="170" formatCode="#,##0.0,,"/>
    </dxf>
    <dxf>
      <numFmt numFmtId="164" formatCode="_(* #,##0_);_(* \(#,##0\);_(* &quot;-&quot;??_);_(@_)"/>
    </dxf>
    <dxf>
      <font>
        <sz val="10"/>
      </font>
    </dxf>
    <dxf>
      <font>
        <name val="Avenir Next LT Pro"/>
        <scheme val="none"/>
      </font>
    </dxf>
    <dxf>
      <font>
        <color theme="0" tint="-0.34998626667073579"/>
      </font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ont>
        <color rgb="FFFFFFFF"/>
      </font>
    </dxf>
    <dxf>
      <numFmt numFmtId="170" formatCode="#,##0.0,,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18</xdr:row>
      <xdr:rowOff>0</xdr:rowOff>
    </xdr:from>
    <xdr:to>
      <xdr:col>7</xdr:col>
      <xdr:colOff>304800</xdr:colOff>
      <xdr:row>19</xdr:row>
      <xdr:rowOff>114300</xdr:rowOff>
    </xdr:to>
    <xdr:sp macro="" textlink="">
      <xdr:nvSpPr>
        <xdr:cNvPr id="3073" name="AutoShape 1" descr="Image preview">
          <a:extLst>
            <a:ext uri="{FF2B5EF4-FFF2-40B4-BE49-F238E27FC236}">
              <a16:creationId xmlns:a16="http://schemas.microsoft.com/office/drawing/2014/main" id="{AA578823-BC48-0F9B-779D-DCF0FADA4F41}"/>
            </a:ext>
          </a:extLst>
        </xdr:cNvPr>
        <xdr:cNvSpPr>
          <a:spLocks noChangeAspect="1" noChangeArrowheads="1"/>
        </xdr:cNvSpPr>
      </xdr:nvSpPr>
      <xdr:spPr bwMode="auto">
        <a:xfrm>
          <a:off x="5743575" y="34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17</xdr:row>
      <xdr:rowOff>0</xdr:rowOff>
    </xdr:from>
    <xdr:to>
      <xdr:col>7</xdr:col>
      <xdr:colOff>304800</xdr:colOff>
      <xdr:row>18</xdr:row>
      <xdr:rowOff>114300</xdr:rowOff>
    </xdr:to>
    <xdr:sp macro="" textlink="">
      <xdr:nvSpPr>
        <xdr:cNvPr id="3075" name="AutoShape 3" descr="Image preview">
          <a:extLst>
            <a:ext uri="{FF2B5EF4-FFF2-40B4-BE49-F238E27FC236}">
              <a16:creationId xmlns:a16="http://schemas.microsoft.com/office/drawing/2014/main" id="{9EC13F9B-C252-4840-6512-D4445426F439}"/>
            </a:ext>
          </a:extLst>
        </xdr:cNvPr>
        <xdr:cNvSpPr>
          <a:spLocks noChangeAspect="1" noChangeArrowheads="1"/>
        </xdr:cNvSpPr>
      </xdr:nvSpPr>
      <xdr:spPr bwMode="auto">
        <a:xfrm>
          <a:off x="5743575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17</xdr:row>
      <xdr:rowOff>0</xdr:rowOff>
    </xdr:from>
    <xdr:to>
      <xdr:col>7</xdr:col>
      <xdr:colOff>304800</xdr:colOff>
      <xdr:row>18</xdr:row>
      <xdr:rowOff>114300</xdr:rowOff>
    </xdr:to>
    <xdr:sp macro="" textlink="">
      <xdr:nvSpPr>
        <xdr:cNvPr id="3076" name="AutoShape 4">
          <a:extLst>
            <a:ext uri="{FF2B5EF4-FFF2-40B4-BE49-F238E27FC236}">
              <a16:creationId xmlns:a16="http://schemas.microsoft.com/office/drawing/2014/main" id="{EADC426C-42E9-05CA-08FD-F404E36D20A6}"/>
            </a:ext>
          </a:extLst>
        </xdr:cNvPr>
        <xdr:cNvSpPr>
          <a:spLocks noChangeAspect="1" noChangeArrowheads="1"/>
        </xdr:cNvSpPr>
      </xdr:nvSpPr>
      <xdr:spPr bwMode="auto">
        <a:xfrm>
          <a:off x="5743575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60798</xdr:colOff>
      <xdr:row>10</xdr:row>
      <xdr:rowOff>94372</xdr:rowOff>
    </xdr:from>
    <xdr:to>
      <xdr:col>0</xdr:col>
      <xdr:colOff>1219132</xdr:colOff>
      <xdr:row>12</xdr:row>
      <xdr:rowOff>74106</xdr:rowOff>
    </xdr:to>
    <xdr:sp macro="[0]!ClearInp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CF7A920-B8D4-71CE-3BC1-C02AE153B727}"/>
            </a:ext>
          </a:extLst>
        </xdr:cNvPr>
        <xdr:cNvSpPr/>
      </xdr:nvSpPr>
      <xdr:spPr>
        <a:xfrm>
          <a:off x="60798" y="1928441"/>
          <a:ext cx="1158334" cy="344521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>
          <a:noFill/>
        </a:ln>
        <a:effectLst/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  <a:latin typeface="Avenir Next LT Pro" panose="020B0504020202020204" pitchFamily="34" charset="0"/>
            </a:rPr>
            <a:t>Clear Input</a:t>
          </a:r>
        </a:p>
      </xdr:txBody>
    </xdr:sp>
    <xdr:clientData/>
  </xdr:twoCellAnchor>
  <xdr:twoCellAnchor>
    <xdr:from>
      <xdr:col>1</xdr:col>
      <xdr:colOff>30399</xdr:colOff>
      <xdr:row>10</xdr:row>
      <xdr:rowOff>101330</xdr:rowOff>
    </xdr:from>
    <xdr:to>
      <xdr:col>1</xdr:col>
      <xdr:colOff>1182383</xdr:colOff>
      <xdr:row>12</xdr:row>
      <xdr:rowOff>77889</xdr:rowOff>
    </xdr:to>
    <xdr:sp macro="[0]!RefreshA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44CEE43-0961-49D8-B65D-58EDB798D5AE}"/>
            </a:ext>
          </a:extLst>
        </xdr:cNvPr>
        <xdr:cNvSpPr/>
      </xdr:nvSpPr>
      <xdr:spPr>
        <a:xfrm>
          <a:off x="1276755" y="1935399"/>
          <a:ext cx="1151984" cy="341346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>
          <a:noFill/>
        </a:ln>
        <a:effectLst/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  <a:latin typeface="Avenir Next LT Pro" panose="020B0504020202020204" pitchFamily="34" charset="0"/>
            </a:rPr>
            <a:t>Refresh</a:t>
          </a:r>
          <a:r>
            <a:rPr lang="en-US" sz="1000" b="1" baseline="0">
              <a:solidFill>
                <a:sysClr val="windowText" lastClr="000000"/>
              </a:solidFill>
              <a:latin typeface="Avenir Next LT Pro" panose="020B0504020202020204" pitchFamily="34" charset="0"/>
            </a:rPr>
            <a:t> Data</a:t>
          </a:r>
          <a:endParaRPr lang="en-US" sz="1000" b="1">
            <a:solidFill>
              <a:sysClr val="windowText" lastClr="000000"/>
            </a:solidFill>
            <a:latin typeface="Avenir Next LT Pro" panose="020B05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184149</xdr:colOff>
      <xdr:row>0</xdr:row>
      <xdr:rowOff>126999</xdr:rowOff>
    </xdr:from>
    <xdr:to>
      <xdr:col>21</xdr:col>
      <xdr:colOff>219075</xdr:colOff>
      <xdr:row>96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436AEA1-0D2B-34A6-D55C-ED27B804D2DB}"/>
            </a:ext>
          </a:extLst>
        </xdr:cNvPr>
        <xdr:cNvSpPr txBox="1"/>
      </xdr:nvSpPr>
      <xdr:spPr>
        <a:xfrm>
          <a:off x="184149" y="126999"/>
          <a:ext cx="12836526" cy="181610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/* Hurricane Milton 11-27-2024 */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use CatAccum2601 --Update to most recent accumulations database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go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if object_id('tempdb..#ZoneFilter') is not null drop table #ZoneFilter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go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create table #ZoneFilter (Zone_Cd nvarchar(64))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Insert into #ZoneFilter (zone_cd)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select distinct zone from industry.dbo.Industry_Unadjusted_TSRE_13_All_Aug25_ZonePercent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where model = 28 and zone like 'US%'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--Insert into #ZoneFilter values ('Caribbean  Jamaica') --Insert if filters apply, otherwise comment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go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----Adjust query for Event List &amp; Area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--if object_id('tempdb..#Events_NS1') is not null drop table #Events_NS1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--go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--select EventID, MaxWind1, concat([SubArea1], ', ', [Area1]) as 'Landfall1', MaxWind2, concat([SubArea2], ', ', [Area2]) as 'Landfall2', 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--MaxWind3, concat([SubArea3], ', ', [Area3]) as 'Landfall3', MaxWind4, concat([SubArea4], ', ', [Area4]) as 'Landfall4'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--into #Events_NS1 from [AIREvents2024_TS12].dbo.TblModel27_WSST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--where EventID in (270184630,270130971,270025474) --Insert selected event IDs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--order by 1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--go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----select * from #Events_NS1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if object_id('tempdb..#Events_NS2') is not null drop table #Events_NS2 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--select value as EventID,b.EventDescription into #Events_NS2 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----from string_split('280000001,280000002,280000092,280000094,280000395,280001788,280002620,280013538',',') --Saeed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----from string_split('280044982,280010380,280032262,280038543,280027733,280004189',',') a --Generic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--from string_split('280038543,280027733,280044395',',') a --Generic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--join  AIREvents2022_TS10.dbo.TblModel28 b on value = b.EventID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select a.EventID,b.EventDescription--, sum(loss) as Loss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into #Events_NS2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from industry.dbo.Industry_Unadjusted_TSRE_13_All_Aug25_ZonePercent a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join AIREvents2025_TS13.dbo.TblModel28 b on a.EventID = b.EventID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where a.Zone like 'US%' and model = 28 and b.EventDescription like '%TX%'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group by a.EventID,b.EventDescription having sum(loss) between 3250000000 and 5500000000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--order by loss desc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--go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--select EventID, max(MaxWind) as MaxWind,'JM' as Landfall into #Events_NS2 --from #Events_NS1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--from [AIREvents2022_TS10].[dbo].[TblModel27_WSST_Row_Wise_NS]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--where --EventDescription like '%JM%' and Area = 'jamaica' and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 EventID in (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----270253431,270148777,270153198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----270251256,270078782,270022109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----270044821,270124033,270022109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----270056377,270060232,270237027,270256976,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--270056377,270239231,270217829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----270060232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----,270023652, 270056377, 270132729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--)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--group by EventID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--insert into #Events_NS2 select EventID, MaxWind2 as MaxWind, Landfall2 as Landfall from #Events_NS1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--insert into #Events_NS2 select EventID, MaxWind3 as MaxWind, Landfall3 as Landfall from #Events_NS1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--insert into #Events_NS2 select EventID, MaxWind4 as MaxWind, Landfall4 as Landfall from #Events_NS1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--go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---select * from #Events_NS2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--delete from #Events_NS2 where Landfall not like '%JM%' --Remove all except landfall in location of interest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go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--Set Up Manual Override for Parametric LLA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Drop table if exists #All_Loss_TEMP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select a.* 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into #All_Loss_TEMP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from [All_Loss] a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join #Events_NS2 d on a.eventid = d.EventID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--delete from #All_Loss_TEMP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--WHERE layerkey in( 431312,442256,442257,111,112,113,114,116,117,118,119,146,148) and eventid in (select eventid from #Events_NS2) --delete CCRIF and LLA and FAC (use custom)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--Insert into #All_Loss_TEMP (layerkey,eventid,model,peril,year,zone,grloss,GrossReinstPrem)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--select 431312,	270056377	,27,	'Wind',	0,	'Caribbean  Jamaica',	40500000,	0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----union all select 431312,	270056377	,27,	'Wind',	0,	'Caribbean  Jamaica',	23500000,	0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--union all select 431312,	270239231	,27,	'Wind',	0,	'Caribbean  Jamaica',	40500000,	0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--union all select 431312,	270217829	,27,	'Wind',	0,	'Caribbean  Jamaica',	40500000,	0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--union all select 442256,	270056377	,27,	'Wind',	0,	'Caribbean  Jamaica',	4650000,	0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----union all select 431312,	270056377	,27,	'Wind',	0,	'Caribbean  Jamaica',	23500000,	0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--union all select 442256,	270239231	,27,	'Wind',	0,	'Caribbean  Jamaica',	4650000,	0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--union all select 442256,	270217829	,27,	'Wind',	0,	'Caribbean  Jamaica',	4650000,	0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--union all select 442257,	270056377	,27,	'Wind',	0,	'Caribbean  Jamaica',	870000,	0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----union all select 431312,	270056377	,27,	'Wind',	0,	'Caribbean  Jamaica',	23500000,	0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--union all select 442257,	270239231	,27,	'Wind',	0,	'Caribbean  Jamaica',	870000,	0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--union all select 442257,	270217829	,27,	'Wind',	0,	'Caribbean  Jamaica',	870000,	0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----LATAM FAC (lump all in 1 layer even though in accum it is divided)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--union all select 116,	270056377	,27,	'Wind',	0,	'Caribbean  Jamaica',	19700000,	0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----union all select 431312,	270056377	,27,	'Wind',	0,	'Caribbean  Jamaica',	23500000,	0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--union all select 116,	270239231	,27,	'Wind',	0,	'Caribbean  Jamaica',	24100000,	0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--union all select 116,	270217829	,27,	'Wind',	0,	'Caribbean  Jamaica',	29300000,	0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--union all select 146,	270217829	,27,	'Wind',	0,	'Caribbean  Jamaica',	650000,	0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--Create #All_Loss_Contract table-----------------------------------------------------------------------------------------------------------------------------------------------------------------------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if object_id('tempdb..#All_Loss_Contract') is not null drop table #All_Loss_Contract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go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SELECT a.[layerkey],a.[eventid],b.department as 'Department', b.Company, b.Subtype, b.[UWS_Contract_Nbr] as 'Contract', b.[Everest Limit], b.[Everest Limit]*(1/b.Share) as '100% Limit',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c.Retention_Amt as Retention, c.Aggregate_Deductible_Amt as 'Aggregate Deductible', c.Terms, b.ROL, b.Share, [zone],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[grloss], isnull([grloss]*(e.ceded), 0) as Logan_cession, [GrossReinstPrem], isnull([GrossReinstPrem]*(e.ceded), 0) as LoganReinstPrem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--,isnull([grloss]*(e2.ceded), 0) as AF_cession, isnull([GrossReinstPrem]*(e2.ceded), 0) as AFReinstPrem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into #All_Loss_Contract FROM #All_Loss_TEMP a --[All_Loss] a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left join [All_Contract] b on a.Layerkey = b.layerkey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left join Catapult_Tbl_Layer c on c.LayerKey = b.layerkey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join #Events_NS2 d on a.eventid = d.EventID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left join [Cessions] e on a.layerkey = e.layerkey  and e.cessionlayerkey = 1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--left join [Cessions] e2 on a.layerkey = e.layerkey  and e.cessionlayerkey = 2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--left join (select layerkey, sum(ceded) as ceded from Cessions e1 group by layerkey) e on e.layerkey= a.layerkey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where a.[layerkey] &gt; 1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go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update #All_Loss_Contract set 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[Everest Limit] = case when [Everest Limit] is null then 0 else [Everest Limit] end,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[100% Limit] = case when [100% Limit] is null then 0 else [100% Limit] end,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[ROL] = case when [ROL] is null then 0 else [ROL] end,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[Retention] = case when [Retention] is null then 0 else [Retention] end,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[Aggregate Deductible] = case when [Aggregate Deductible] is null then 0 else [Aggregate Deductible] end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go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update #All_Loss_Contract set 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[Terms] = case when [Terms] is null and Department like '%Fac%' then 'FAC' else [Terms] end,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[Share] = case when [Share] is null and Department like '%Fac%' then 1.0 else [Share] end,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[100% Limit] = case when [Share] = 1.0 and Department like '%Fac%' then [Everest Limit] else [100% Limit] end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go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--select * from #All_Loss_Contract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--Gross by Contract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if object_id('tempdb..#Gross') is not null drop table #Gross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go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--check if should add grloss &gt; 0 filter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select a.layerkey, a.eventid as EventID, b.department as Department, sum(grloss) as Loss 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into #Gross from #All_Loss_Contract a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left join [All_Contract] b on a.layerkey = b.layerkey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where (a.Zone in (select zone_cd from #ZoneFilter) or (select count(1) from #ZoneFilter) = 0)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and buy=0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group by a.layerkey, a.eventid, b.department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go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--select * from #Gross 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--Net of Logan by Contract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if object_id('tempdb..#NetOfLogan') is not null drop table #NetOfLogan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go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select a.layerkey, a.eventid as EventID, b.department as Department, sum(grloss - [Logan_cession]) as Loss 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into #NetOfLogan from #All_Loss_Contract a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left join [All_Contract] b on a.layerkey = b.layerkey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where (a.Zone in (select zone_cd from #ZoneFilter) or (select count(1) from #ZoneFilter) = 0)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and buy=0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group by a.layerkey, a.eventid, b.department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go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--select * from #NetOfLogan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--Net of Logan &amp; All Cessions by Contract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if object_id('tempdb..#NetLogan_And_Cessions') is not null drop table #NetLogan_And_Cessions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go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select a.layerkey, a.eventid as EventID, b.department as Department, sum(grloss - [Logan_cession]) as Loss 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into #NetLogan_And_Cessions from #All_Loss_Contract a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left join [All_Contract] b on a.layerkey = b.layerkey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where (a.Zone in (select zone_cd from #ZoneFilter) or (select count(1) from #ZoneFilter) = 0) 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group by a.layerkey, a.eventid, b.department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go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--select * from #NetLogan_And_Cessions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--Expected RIP by Contract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if object_id('tempdb..#RIPs') is not null drop table #RIPs 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go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select a.layerkey, a.eventid as EventID, b.department as Department, sum([GrossReinstPrem] - [LoganReinstPrem]) as Loss 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into #RIPs from #All_Loss_Contract a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left join [All_Contract] b on a.layerkey = b.layerkey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where (a.Zone in (select zone_cd from #ZoneFilter) or (select count(1) from #ZoneFilter) = 0)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group by a.layerkey, a.eventid, b.department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go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--select * from #RIPs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Drop table if exists #FINAL_RES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--Final Loss Table---------------------------------------------------------------------------------------------------------------------------------------------------------------------------------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select a.[layerkey] as Layerkey, a.EventID, a.Department, a.Company, a.Subtype, a.Contract, a.[Everest Limit], a.[100% Limit], a.Retention, a.[Aggregate Deductible], a.Terms, a.ROL, a.Share,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ISNULL(G.Loss,0) as Gross, ISNULL(NL.loss,0) as NetOfLogan, ISNULL(NLC.loss,0) as NetofAllCessions, ISNULL(R.loss,0) as Expected_RIPs, MaxWind = NULL, Landfall = e.EventDescription, i.[Industry Loss]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--,CASE WHEN nlc.Department LIKE 'EI%' and nlc.Department not like '%Recovery%' THEN 'EI' 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--WHEN nlc.Department = 'EI Recovery' THEN 'EI Recovery^'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--ELSE nlc.Department END as Department_Map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into #FINAL_RES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from (select distinct [layerkey], EventID, Department, Company, Subtype, Contract, [Everest Limit], [100% Limit], Retention, [Aggregate Deductible], Terms, ROL, Share 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from #All_Loss_Contract where (Zone in (select zone_cd from #ZoneFilter) or (select count(1) from #ZoneFilter) = 0)) a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left outer join #Gross G on a.layerkey = G.layerkey and a.eventid = G.EventID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left outer join #NetOfLogan NL on a.layerkey = NL.layerkey and a.eventid = NL.EventID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left outer join #NetLogan_And_Cessions NLC on a.layerkey = NLC.layerkey and a.eventid = NLC.EventID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left outer join #RIPs R on a.layerkey = R.layerkey and a.eventid = R.EventID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join #Events_NS2 e on a.eventid = e.EventID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join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	(select k.eventid as EventID, sum(k.Loss/1e6) as 'Industry Loss'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	--from Industry.[dbo].[Industry_Final_V130_with_Zone_Percent] k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	from Industry.[dbo].Industry_Unadjusted_TSRE_13_All_Aug25_ZonePercent  k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	join #Events_NS2 f on k.eventid = f.eventid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	where k.eventid in (select EventID from #Events_NS2 )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	and  (k.Zone in (select zone_cd from #ZoneFilter) or (select count(1) from #ZoneFilter) = 0)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	group by k.EventID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	) 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i on a.eventid = i.EventID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--where i.EventID= 270148777 and a.Department = 'International Miami'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--where a.layerkey not in (412257) -- WATCHOUT - remove Fidelis 2nd event cover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where isnull(a.[Aggregate Deductible],0) = 0 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order by [Industry Loss] 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select eventid,sum(Gross)/1000000.0 as gross, max([Industry Loss]) as Industry , sum(gross)/1000000.0/max([Industry Loss])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from #FINAL_RES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group by eventid order by 3 desc</a:t>
          </a: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endParaRPr lang="en-US" sz="900">
            <a:solidFill>
              <a:srgbClr val="008000"/>
            </a:solidFill>
            <a:latin typeface="Consolas" panose="020B0609020204030204" pitchFamily="49" charset="0"/>
          </a:endParaRP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select * from #final_res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where eventid in (280066590,280047328,280014790)</a:t>
          </a:r>
        </a:p>
        <a:p>
          <a:pPr marL="0" indent="0"/>
          <a:r>
            <a:rPr lang="en-US" sz="900">
              <a:solidFill>
                <a:srgbClr val="008000"/>
              </a:solidFill>
              <a:latin typeface="Consolas" panose="020B0609020204030204" pitchFamily="49" charset="0"/>
            </a:rPr>
            <a:t>--280049080,</a:t>
          </a: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eil Schwarzenberger" refreshedDate="46086.956302662038" backgroundQuery="1" createdVersion="8" refreshedVersion="8" minRefreshableVersion="3" recordCount="0" supportSubquery="1" supportAdvancedDrill="1" xr:uid="{67FA6118-8E33-4788-8017-07D1887DBD75}">
  <cacheSource type="external" connectionId="1"/>
  <cacheFields count="7">
    <cacheField name="[EverestLoss].[EventID].[EventID]" caption="EventID" numFmtId="0" hierarchy="1" level="1">
      <sharedItems containsSemiMixedTypes="0" containsString="0" containsNumber="1" containsInteger="1" minValue="280014790" maxValue="280066590" count="3">
        <n v="280014790"/>
        <n v="280047328"/>
        <n v="280066590"/>
      </sharedItems>
      <extLst>
        <ext xmlns:x15="http://schemas.microsoft.com/office/spreadsheetml/2010/11/main" uri="{4F2E5C28-24EA-4eb8-9CBF-B6C8F9C3D259}">
          <x15:cachedUniqueNames>
            <x15:cachedUniqueName index="0" name="[EverestLoss].[EventID].&amp;[280014790]"/>
            <x15:cachedUniqueName index="1" name="[EverestLoss].[EventID].&amp;[280047328]"/>
            <x15:cachedUniqueName index="2" name="[EverestLoss].[EventID].&amp;[280066590]"/>
          </x15:cachedUniqueNames>
        </ext>
      </extLst>
    </cacheField>
    <cacheField name="[Measures].[Landfall Location]" caption="Landfall Location" numFmtId="0" hierarchy="22" level="32767"/>
    <cacheField name="[Measures].[Max of Industry_Loss (USDm)]" caption="Max of Industry_Loss (USDm)" numFmtId="0" hierarchy="31" level="32767"/>
    <cacheField name="[Measures].[Sum of Gross]" caption="Sum of Gross" numFmtId="0" hierarchy="28" level="32767"/>
    <cacheField name="[Measures].[Everest Net]" caption="Everest Net" numFmtId="0" hierarchy="23" level="32767"/>
    <cacheField name="[Measures].[Gross Market Share]" caption="Gross Market Share" numFmtId="0" hierarchy="24" level="32767"/>
    <cacheField name="[Measures].[Net Market Share]" caption="Net Market Share" numFmtId="0" hierarchy="25" level="32767"/>
  </cacheFields>
  <cacheHierarchies count="32">
    <cacheHierarchy uniqueName="[EverestLoss].[Layerkey]" caption="Layerkey" attribute="1" defaultMemberUniqueName="[EverestLoss].[Layerkey].[All]" allUniqueName="[EverestLoss].[Layerkey].[All]" dimensionUniqueName="[EverestLoss]" displayFolder="" count="0" memberValueDatatype="20" unbalanced="0"/>
    <cacheHierarchy uniqueName="[EverestLoss].[EventID]" caption="EventID" attribute="1" defaultMemberUniqueName="[EverestLoss].[EventID].[All]" allUniqueName="[EverestLoss].[EventID].[All]" dimensionUniqueName="[EverestLoss]" displayFolder="" count="2" memberValueDatatype="20" unbalanced="0">
      <fieldsUsage count="2">
        <fieldUsage x="-1"/>
        <fieldUsage x="0"/>
      </fieldsUsage>
    </cacheHierarchy>
    <cacheHierarchy uniqueName="[EverestLoss].[Department]" caption="Department" attribute="1" defaultMemberUniqueName="[EverestLoss].[Department].[All]" allUniqueName="[EverestLoss].[Department].[All]" dimensionUniqueName="[EverestLoss]" displayFolder="" count="0" memberValueDatatype="130" unbalanced="0"/>
    <cacheHierarchy uniqueName="[EverestLoss].[Company]" caption="Company" attribute="1" defaultMemberUniqueName="[EverestLoss].[Company].[All]" allUniqueName="[EverestLoss].[Company].[All]" dimensionUniqueName="[EverestLoss]" displayFolder="" count="0" memberValueDatatype="130" unbalanced="0"/>
    <cacheHierarchy uniqueName="[EverestLoss].[Subtype]" caption="Subtype" attribute="1" defaultMemberUniqueName="[EverestLoss].[Subtype].[All]" allUniqueName="[EverestLoss].[Subtype].[All]" dimensionUniqueName="[EverestLoss]" displayFolder="" count="0" memberValueDatatype="130" unbalanced="0"/>
    <cacheHierarchy uniqueName="[EverestLoss].[Contract]" caption="Contract" attribute="1" defaultMemberUniqueName="[EverestLoss].[Contract].[All]" allUniqueName="[EverestLoss].[Contract].[All]" dimensionUniqueName="[EverestLoss]" displayFolder="" count="0" memberValueDatatype="130" unbalanced="0"/>
    <cacheHierarchy uniqueName="[EverestLoss].[Everest Limit]" caption="Everest Limit" attribute="1" defaultMemberUniqueName="[EverestLoss].[Everest Limit].[All]" allUniqueName="[EverestLoss].[Everest Limit].[All]" dimensionUniqueName="[EverestLoss]" displayFolder="" count="0" memberValueDatatype="5" unbalanced="0"/>
    <cacheHierarchy uniqueName="[EverestLoss].[100% Limit]" caption="100% Limit" attribute="1" defaultMemberUniqueName="[EverestLoss].[100% Limit].[All]" allUniqueName="[EverestLoss].[100% Limit].[All]" dimensionUniqueName="[EverestLoss]" displayFolder="" count="0" memberValueDatatype="5" unbalanced="0"/>
    <cacheHierarchy uniqueName="[EverestLoss].[Retention]" caption="Retention" attribute="1" defaultMemberUniqueName="[EverestLoss].[Retention].[All]" allUniqueName="[EverestLoss].[Retention].[All]" dimensionUniqueName="[EverestLoss]" displayFolder="" count="0" memberValueDatatype="20" unbalanced="0"/>
    <cacheHierarchy uniqueName="[EverestLoss].[Aggregate Deductible]" caption="Aggregate Deductible" attribute="1" defaultMemberUniqueName="[EverestLoss].[Aggregate Deductible].[All]" allUniqueName="[EverestLoss].[Aggregate Deductible].[All]" dimensionUniqueName="[EverestLoss]" displayFolder="" count="0" memberValueDatatype="20" unbalanced="0"/>
    <cacheHierarchy uniqueName="[EverestLoss].[Terms]" caption="Terms" attribute="1" defaultMemberUniqueName="[EverestLoss].[Terms].[All]" allUniqueName="[EverestLoss].[Terms].[All]" dimensionUniqueName="[EverestLoss]" displayFolder="" count="0" memberValueDatatype="130" unbalanced="0"/>
    <cacheHierarchy uniqueName="[EverestLoss].[ROL]" caption="ROL" attribute="1" defaultMemberUniqueName="[EverestLoss].[ROL].[All]" allUniqueName="[EverestLoss].[ROL].[All]" dimensionUniqueName="[EverestLoss]" displayFolder="" count="0" memberValueDatatype="5" unbalanced="0"/>
    <cacheHierarchy uniqueName="[EverestLoss].[Share]" caption="Share" attribute="1" defaultMemberUniqueName="[EverestLoss].[Share].[All]" allUniqueName="[EverestLoss].[Share].[All]" dimensionUniqueName="[EverestLoss]" displayFolder="" count="0" memberValueDatatype="5" unbalanced="0"/>
    <cacheHierarchy uniqueName="[EverestLoss].[Gross]" caption="Gross" attribute="1" defaultMemberUniqueName="[EverestLoss].[Gross].[All]" allUniqueName="[EverestLoss].[Gross].[All]" dimensionUniqueName="[EverestLoss]" displayFolder="" count="0" memberValueDatatype="5" unbalanced="0"/>
    <cacheHierarchy uniqueName="[EverestLoss].[NetOfLogan]" caption="NetOfLogan" attribute="1" defaultMemberUniqueName="[EverestLoss].[NetOfLogan].[All]" allUniqueName="[EverestLoss].[NetOfLogan].[All]" dimensionUniqueName="[EverestLoss]" displayFolder="" count="0" memberValueDatatype="5" unbalanced="0"/>
    <cacheHierarchy uniqueName="[EverestLoss].[NetofAllCessions]" caption="NetofAllCessions" attribute="1" defaultMemberUniqueName="[EverestLoss].[NetofAllCessions].[All]" allUniqueName="[EverestLoss].[NetofAllCessions].[All]" dimensionUniqueName="[EverestLoss]" displayFolder="" count="0" memberValueDatatype="5" unbalanced="0"/>
    <cacheHierarchy uniqueName="[EverestLoss].[Expected_RIPs]" caption="Expected_RIPs" attribute="1" defaultMemberUniqueName="[EverestLoss].[Expected_RIPs].[All]" allUniqueName="[EverestLoss].[Expected_RIPs].[All]" dimensionUniqueName="[EverestLoss]" displayFolder="" count="0" memberValueDatatype="5" unbalanced="0"/>
    <cacheHierarchy uniqueName="[EverestLoss].[MaxWind (mph)]" caption="MaxWind (mph)" attribute="1" defaultMemberUniqueName="[EverestLoss].[MaxWind (mph)].[All]" allUniqueName="[EverestLoss].[MaxWind (mph)].[All]" dimensionUniqueName="[EverestLoss]" displayFolder="" count="0" memberValueDatatype="130" unbalanced="0"/>
    <cacheHierarchy uniqueName="[EverestLoss].[Landfall]" caption="Landfall" attribute="1" defaultMemberUniqueName="[EverestLoss].[Landfall].[All]" allUniqueName="[EverestLoss].[Landfall].[All]" dimensionUniqueName="[EverestLoss]" displayFolder="" count="0" memberValueDatatype="130" unbalanced="0"/>
    <cacheHierarchy uniqueName="[EverestLoss].[Industry_Loss (USDm)]" caption="Industry_Loss (USDm)" attribute="1" defaultMemberUniqueName="[EverestLoss].[Industry_Loss (USDm)].[All]" allUniqueName="[EverestLoss].[Industry_Loss (USDm)].[All]" dimensionUniqueName="[EverestLoss]" displayFolder="" count="0" memberValueDatatype="5" unbalanced="0"/>
    <cacheHierarchy uniqueName="[EverestLoss].[Manual Override]" caption="Manual Override" attribute="1" defaultMemberUniqueName="[EverestLoss].[Manual Override].[All]" allUniqueName="[EverestLoss].[Manual Override].[All]" dimensionUniqueName="[EverestLoss]" displayFolder="" count="0" memberValueDatatype="130" unbalanced="0"/>
    <cacheHierarchy uniqueName="[EverestLoss].[Department_Map]" caption="Department_Map" attribute="1" defaultMemberUniqueName="[EverestLoss].[Department_Map].[All]" allUniqueName="[EverestLoss].[Department_Map].[All]" dimensionUniqueName="[EverestLoss]" displayFolder="" count="0" memberValueDatatype="130" unbalanced="0"/>
    <cacheHierarchy uniqueName="[Measures].[Landfall Location]" caption="Landfall Location" measure="1" displayFolder="" measureGroup="EverestLoss" count="0" oneField="1">
      <fieldsUsage count="1">
        <fieldUsage x="1"/>
      </fieldsUsage>
    </cacheHierarchy>
    <cacheHierarchy uniqueName="[Measures].[Everest Net]" caption="Everest Net" measure="1" displayFolder="" measureGroup="EverestLoss" count="0" oneField="1">
      <fieldsUsage count="1">
        <fieldUsage x="4"/>
      </fieldsUsage>
    </cacheHierarchy>
    <cacheHierarchy uniqueName="[Measures].[Gross Market Share]" caption="Gross Market Share" measure="1" displayFolder="" measureGroup="EverestLoss" count="0" oneField="1">
      <fieldsUsage count="1">
        <fieldUsage x="5"/>
      </fieldsUsage>
    </cacheHierarchy>
    <cacheHierarchy uniqueName="[Measures].[Net Market Share]" caption="Net Market Share" measure="1" displayFolder="" measureGroup="EverestLoss" count="0" oneField="1">
      <fieldsUsage count="1">
        <fieldUsage x="6"/>
      </fieldsUsage>
    </cacheHierarchy>
    <cacheHierarchy uniqueName="[Measures].[__XL_Count EverestLoss]" caption="__XL_Count EverestLoss" measure="1" displayFolder="" measureGroup="EverestLoss" count="0" hidden="1"/>
    <cacheHierarchy uniqueName="[Measures].[__No measures defined]" caption="__No measures defined" measure="1" displayFolder="" count="0" hidden="1"/>
    <cacheHierarchy uniqueName="[Measures].[Sum of Gross]" caption="Sum of Gross" measure="1" displayFolder="" measureGroup="EverestLos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Landfall]" caption="Count of Landfall" measure="1" displayFolder="" measureGroup="EverestLos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Industry_Loss (USDm)]" caption="Sum of Industry_Loss (USDm)" measure="1" displayFolder="" measureGroup="EverestLos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Max of Industry_Loss (USDm)]" caption="Max of Industry_Loss (USDm)" measure="1" displayFolder="" measureGroup="EverestLos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EverestLoss" uniqueName="[EverestLoss]" caption="EverestLoss"/>
    <dimension measure="1" name="Measures" uniqueName="[Measures]" caption="Measures"/>
  </dimensions>
  <measureGroups count="1">
    <measureGroup name="EverestLoss" caption="EverestLoss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il Schwarzenberger" refreshedDate="46087.461296064816" createdVersion="8" refreshedVersion="8" minRefreshableVersion="3" recordCount="1008" xr:uid="{A2593A27-C814-4619-82DC-7D438809285F}">
  <cacheSource type="worksheet">
    <worksheetSource name="LossTable"/>
  </cacheSource>
  <cacheFields count="24">
    <cacheField name="Layerkey" numFmtId="0">
      <sharedItems containsSemiMixedTypes="0" containsString="0" containsNumber="1" containsInteger="1" minValue="2" maxValue="486183" count="1068">
        <n v="448029"/>
        <n v="420186"/>
        <n v="445707"/>
        <n v="456611"/>
        <n v="471725"/>
        <n v="108"/>
        <n v="474075"/>
        <n v="471410"/>
        <n v="467463"/>
        <n v="448798"/>
        <n v="484547"/>
        <n v="109"/>
        <n v="102"/>
        <n v="445969"/>
        <n v="127"/>
        <n v="388342"/>
        <n v="438221"/>
        <n v="483530"/>
        <n v="359086"/>
        <n v="486037"/>
        <n v="480605"/>
        <n v="445987"/>
        <n v="464876"/>
        <n v="469888"/>
        <n v="435695"/>
        <n v="484261"/>
        <n v="468496"/>
        <n v="473719"/>
        <n v="430384"/>
        <n v="147"/>
        <n v="103"/>
        <n v="432034"/>
        <n v="434180"/>
        <n v="139"/>
        <n v="388108"/>
        <n v="463040"/>
        <n v="142"/>
        <n v="427960"/>
        <n v="442098"/>
        <n v="424514"/>
        <n v="447865"/>
        <n v="468871"/>
        <n v="447395"/>
        <n v="431800"/>
        <n v="441909"/>
        <n v="462731"/>
        <n v="435689"/>
        <n v="459195"/>
        <n v="478523"/>
        <n v="446146"/>
        <n v="120"/>
        <n v="483214"/>
        <n v="448492"/>
        <n v="484541"/>
        <n v="426913"/>
        <n v="329067"/>
        <n v="444256"/>
        <n v="122"/>
        <n v="141"/>
        <n v="449439"/>
        <n v="422349"/>
        <n v="471433"/>
        <n v="427961"/>
        <n v="443278"/>
        <n v="445988"/>
        <n v="438659"/>
        <n v="445341"/>
        <n v="479983"/>
        <n v="430854"/>
        <n v="116"/>
        <n v="437878"/>
        <n v="445992"/>
        <n v="445339"/>
        <n v="436977"/>
        <n v="473162"/>
        <n v="484031"/>
        <n v="443387"/>
        <n v="431666"/>
        <n v="464234"/>
        <n v="479468"/>
        <n v="288758"/>
        <n v="468726"/>
        <n v="435835"/>
        <n v="48044"/>
        <n v="449981"/>
        <n v="448494"/>
        <n v="484262"/>
        <n v="114"/>
        <n v="473122"/>
        <n v="479558"/>
        <n v="387391"/>
        <n v="448028"/>
        <n v="434181"/>
        <n v="445991"/>
        <n v="482844"/>
        <n v="431332"/>
        <n v="441513"/>
        <n v="446145"/>
        <n v="435697"/>
        <n v="467040"/>
        <n v="449414"/>
        <n v="448037"/>
        <n v="477259"/>
        <n v="434724"/>
        <n v="475611"/>
        <n v="427752"/>
        <n v="477139"/>
        <n v="431320"/>
        <n v="431739"/>
        <n v="427852"/>
        <n v="144"/>
        <n v="476959"/>
        <n v="464186"/>
        <n v="435399"/>
        <n v="447394"/>
        <n v="468269"/>
        <n v="276751"/>
        <n v="441613"/>
        <n v="297486"/>
        <n v="443180"/>
        <n v="481420"/>
        <n v="427032"/>
        <n v="435275"/>
        <n v="484304"/>
        <n v="2"/>
        <n v="139885"/>
        <n v="445338"/>
        <n v="471373"/>
        <n v="444583"/>
        <n v="128"/>
        <n v="106"/>
        <n v="441843"/>
        <n v="435696"/>
        <n v="288755"/>
        <n v="140"/>
        <n v="434244"/>
        <n v="146"/>
        <n v="477692"/>
        <n v="115"/>
        <n v="437854"/>
        <n v="448237"/>
        <n v="475589"/>
        <n v="456760"/>
        <n v="458895"/>
        <n v="442600"/>
        <n v="448241"/>
        <n v="445706"/>
        <n v="446936"/>
        <n v="484260"/>
        <n v="418693"/>
        <n v="475297"/>
        <n v="104"/>
        <n v="111"/>
        <n v="123"/>
        <n v="288829"/>
        <n v="329411"/>
        <n v="348580"/>
        <n v="388129"/>
        <n v="427334"/>
        <n v="427823"/>
        <n v="430352"/>
        <n v="431335"/>
        <n v="433118"/>
        <n v="434730"/>
        <n v="434875"/>
        <n v="435053"/>
        <n v="436537"/>
        <n v="439158"/>
        <n v="439462"/>
        <n v="441612"/>
        <n v="444587"/>
        <n v="445843"/>
        <n v="448039"/>
        <n v="448495"/>
        <n v="454564"/>
        <n v="463414"/>
        <n v="464924"/>
        <n v="468438"/>
        <n v="468870"/>
        <n v="469841"/>
        <n v="471712"/>
        <n v="472284"/>
        <n v="472467"/>
        <n v="472732"/>
        <n v="475911"/>
        <n v="476659"/>
        <n v="480016"/>
        <n v="481424"/>
        <n v="483407"/>
        <n v="483476"/>
        <n v="484879"/>
        <n v="121"/>
        <n v="485546"/>
        <n v="441791"/>
        <n v="463056"/>
        <n v="288756"/>
        <n v="420177"/>
        <n v="329065"/>
        <n v="446803"/>
        <n v="436002"/>
        <n v="458368"/>
        <n v="445986"/>
        <n v="435996"/>
        <n v="473915"/>
        <n v="358590"/>
        <n v="326823"/>
        <n v="483561"/>
        <n v="474074"/>
        <n v="348467"/>
        <n v="484259"/>
        <n v="439199"/>
        <n v="447864"/>
        <n v="486170"/>
        <n v="437855"/>
        <n v="470053"/>
        <n v="437880"/>
        <n v="113"/>
        <n v="437594"/>
        <n v="479986"/>
        <n v="484924"/>
        <n v="446893"/>
        <n v="107"/>
        <n v="112"/>
        <n v="119"/>
        <n v="126"/>
        <n v="131"/>
        <n v="138"/>
        <n v="145"/>
        <n v="326486"/>
        <n v="420178"/>
        <n v="432368"/>
        <n v="433028"/>
        <n v="434018"/>
        <n v="442927"/>
        <n v="443948"/>
        <n v="444855"/>
        <n v="445351"/>
        <n v="446144"/>
        <n v="446804"/>
        <n v="447863"/>
        <n v="448027"/>
        <n v="448034"/>
        <n v="450201"/>
        <n v="456761"/>
        <n v="462061"/>
        <n v="468837"/>
        <n v="473014"/>
        <n v="474073"/>
        <n v="475196"/>
        <n v="479985"/>
        <n v="480246"/>
        <n v="481623"/>
        <n v="484258"/>
        <n v="484925"/>
        <n v="485540"/>
        <n v="469826"/>
        <n v="473018"/>
        <n v="475727"/>
        <n v="476660"/>
        <n v="476710"/>
        <n v="480314"/>
        <n v="480746"/>
        <n v="483896"/>
        <n v="118"/>
        <n v="326485"/>
        <n v="426935"/>
        <n v="429399"/>
        <n v="431334"/>
        <n v="432222"/>
        <n v="432267"/>
        <n v="433027"/>
        <n v="433117"/>
        <n v="434017"/>
        <n v="434259"/>
        <n v="434658"/>
        <n v="434862"/>
        <n v="436137"/>
        <n v="436194"/>
        <n v="436536"/>
        <n v="437538"/>
        <n v="438407"/>
        <n v="439105"/>
        <n v="446929"/>
        <n v="468532"/>
        <n v="468836"/>
        <n v="441789"/>
        <n v="445970"/>
        <n v="448038"/>
        <n v="449403"/>
        <n v="459057"/>
        <n v="105"/>
        <n v="117"/>
        <n v="124"/>
        <n v="143"/>
        <n v="40373"/>
        <n v="197195"/>
        <n v="358575"/>
        <n v="388306"/>
        <n v="422403"/>
        <n v="424585"/>
        <n v="426751"/>
        <n v="445806"/>
        <n v="483216"/>
        <n v="483235"/>
        <n v="485405"/>
        <n v="486179"/>
        <n v="431319"/>
        <n v="442828"/>
        <n v="469079"/>
        <n v="480541"/>
        <n v="485340"/>
        <n v="430385"/>
        <n v="437966"/>
        <n v="441790"/>
        <n v="445971"/>
        <n v="445990"/>
        <n v="446802"/>
        <n v="468497"/>
        <n v="471244"/>
        <n v="474078"/>
        <n v="480232"/>
        <n v="129"/>
        <n v="426794"/>
        <n v="431801"/>
        <n v="446934"/>
        <n v="448596"/>
        <n v="448888"/>
        <n v="462541"/>
        <n v="474032"/>
        <n v="484776"/>
        <n v="485125"/>
        <n v="445340"/>
        <n v="448493"/>
        <n v="468872"/>
        <n v="475344"/>
        <n v="484305"/>
        <n v="486171"/>
        <n v="478528"/>
        <n v="424644"/>
        <n v="437010"/>
        <n v="444836"/>
        <n v="478527"/>
        <n v="428943"/>
        <n v="431322"/>
        <n v="435795"/>
        <n v="438656"/>
        <n v="468489"/>
        <n v="468971"/>
        <n v="431333"/>
        <n v="432786"/>
        <n v="467753"/>
        <n v="468838"/>
        <n v="471730"/>
        <n v="478529"/>
        <n v="481461"/>
        <n v="485132"/>
        <n v="480091" u="1"/>
        <n v="461246" u="1"/>
        <n v="398589" u="1"/>
        <n v="484607" u="1"/>
        <n v="479987" u="1"/>
        <n v="432268" u="1"/>
        <n v="444856" u="1"/>
        <n v="456612" u="1"/>
        <n v="446837" u="1"/>
        <n v="448584" u="1"/>
        <n v="443705" u="1"/>
        <n v="443706" u="1"/>
        <n v="434878" u="1"/>
        <n v="437624" u="1"/>
        <n v="481624" u="1"/>
        <n v="444098" u="1"/>
        <n v="466237" u="1"/>
        <n v="429095" u="1"/>
        <n v="444393" u="1"/>
        <n v="446996" u="1"/>
        <n v="459072" u="1"/>
        <n v="473167" u="1"/>
        <n v="481625" u="1"/>
        <n v="480235" u="1"/>
        <n v="426752" u="1"/>
        <n v="429773" u="1"/>
        <n v="428236" u="1"/>
        <n v="429334" u="1"/>
        <n v="436026" u="1"/>
        <n v="445545" u="1"/>
        <n v="445798" u="1"/>
        <n v="441614" u="1"/>
        <n v="446329" u="1"/>
        <n v="449699" u="1"/>
        <n v="467804" u="1"/>
        <n v="484569" u="1"/>
        <n v="472960" u="1"/>
        <n v="476322" u="1"/>
        <n v="476711" u="1"/>
        <n v="482808" u="1"/>
        <n v="436030" u="1"/>
        <n v="436031" u="1"/>
        <n v="446805" u="1"/>
        <n v="454199" u="1"/>
        <n v="486183" u="1"/>
        <n v="454200" u="1"/>
        <n v="427529" u="1"/>
        <n v="481502" u="1"/>
        <n v="387234" u="1"/>
        <n v="477520" u="1"/>
        <n v="480793" u="1"/>
        <n v="469750" u="1"/>
        <n v="485499" u="1"/>
        <n v="424448" u="1"/>
        <n v="430938" u="1"/>
        <n v="428100" u="1"/>
        <n v="432866" u="1"/>
        <n v="428099" u="1"/>
        <n v="430725" u="1"/>
        <n v="438737" u="1"/>
        <n v="431668" u="1"/>
        <n v="431045" u="1"/>
        <n v="442466" u="1"/>
        <n v="437607" u="1"/>
        <n v="449714" u="1"/>
        <n v="445695" u="1"/>
        <n v="469756" u="1"/>
        <n v="472765" u="1"/>
        <n v="461593" u="1"/>
        <n v="463146" u="1"/>
        <n v="473444" u="1"/>
        <n v="484461" u="1"/>
        <n v="475195" u="1"/>
        <n v="483207" u="1"/>
        <n v="461594" u="1"/>
        <n v="467198" u="1"/>
        <n v="439979" u="1"/>
        <n v="100" u="1"/>
        <n v="297485" u="1"/>
        <n v="401833" u="1"/>
        <n v="403564" u="1"/>
        <n v="405192" u="1"/>
        <n v="409193" u="1"/>
        <n v="407099" u="1"/>
        <n v="409196" u="1"/>
        <n v="405404" u="1"/>
        <n v="408519" u="1"/>
        <n v="410984" u="1"/>
        <n v="412365" u="1"/>
        <n v="408986" u="1"/>
        <n v="417232" u="1"/>
        <n v="406786" u="1"/>
        <n v="412751" u="1"/>
        <n v="416139" u="1"/>
        <n v="417233" u="1"/>
        <n v="408615" u="1"/>
        <n v="416136" u="1"/>
        <n v="416488" u="1"/>
        <n v="417868" u="1"/>
        <n v="411414" u="1"/>
        <n v="416295" u="1"/>
        <n v="416489" u="1"/>
        <n v="417935" u="1"/>
        <n v="411923" u="1"/>
        <n v="410668" u="1"/>
        <n v="416826" u="1"/>
        <n v="418989" u="1"/>
        <n v="412364" u="1"/>
        <n v="416827" u="1"/>
        <n v="417326" u="1"/>
        <n v="419204" u="1"/>
        <n v="403492" u="1"/>
        <n v="417506" u="1"/>
        <n v="419046" u="1"/>
        <n v="419556" u="1"/>
        <n v="416496" u="1"/>
        <n v="417665" u="1"/>
        <n v="419198" u="1"/>
        <n v="419924" u="1"/>
        <n v="417221" u="1"/>
        <n v="419074" u="1"/>
        <n v="421185" u="1"/>
        <n v="419973" u="1"/>
        <n v="418382" u="1"/>
        <n v="419128" u="1"/>
        <n v="421402" u="1"/>
        <n v="419909" u="1"/>
        <n v="419066" u="1"/>
        <n v="420071" u="1"/>
        <n v="428580" u="1"/>
        <n v="420063" u="1"/>
        <n v="421191" u="1"/>
        <n v="431312" u="1"/>
        <n v="421534" u="1"/>
        <n v="420379" u="1"/>
        <n v="422350" u="1"/>
        <n v="437833" u="1"/>
        <n v="437824" u="1"/>
        <n v="420656" u="1"/>
        <n v="422436" u="1"/>
        <n v="434121" u="1"/>
        <n v="422094" u="1"/>
        <n v="448428" u="1"/>
        <n v="448871" u="1"/>
        <n v="422435" u="1"/>
        <n v="434709" u="1"/>
        <n v="459399" u="1"/>
        <n v="430500" u="1"/>
        <n v="436122" u="1"/>
        <n v="449833" u="1"/>
        <n v="438830" u="1"/>
        <n v="437804" u="1"/>
        <n v="438832" u="1"/>
        <n v="438831" u="1"/>
        <n v="442256" u="1"/>
        <n v="440090" u="1"/>
        <n v="450219" u="1"/>
        <n v="442257" u="1"/>
        <n v="416828" u="1"/>
        <n v="417222" u="1"/>
        <n v="417231" u="1"/>
        <n v="409583" u="1"/>
        <n v="413694" u="1"/>
        <n v="414744" u="1"/>
        <n v="416716" u="1"/>
        <n v="420235" u="1"/>
        <n v="421535" u="1"/>
        <n v="421536" u="1"/>
        <n v="431681" u="1"/>
        <n v="440006" u="1"/>
        <n v="438833" u="1"/>
        <n v="445742" u="1"/>
        <n v="148" u="1"/>
        <n v="414113" u="1"/>
        <n v="448701" u="1"/>
        <n v="436840" u="1"/>
        <n v="447721" u="1"/>
        <n v="406525" u="1"/>
        <n v="416208" u="1"/>
        <n v="417026" u="1"/>
        <n v="417223" u="1"/>
        <n v="420064" u="1"/>
        <n v="432006" u="1"/>
        <n v="422437" u="1"/>
        <n v="414743" u="1"/>
        <n v="418802" u="1"/>
        <n v="420062" u="1"/>
        <n v="434122" u="1"/>
        <n v="433032" u="1"/>
        <n v="433785" u="1"/>
        <n v="448797" u="1"/>
        <n v="412257" u="1"/>
        <n v="418743" u="1"/>
        <n v="436123" u="1"/>
        <n v="432266" u="1"/>
        <n v="435126" u="1"/>
        <n v="436148" u="1"/>
        <n v="290338" u="1"/>
        <n v="421082" u="1"/>
        <n v="417885" u="1"/>
        <n v="440214" u="1"/>
        <n v="440215" u="1"/>
        <n v="411840" u="1"/>
        <n v="419425" u="1"/>
        <n v="410092" u="1"/>
        <n v="419370" u="1"/>
        <n v="358662" u="1"/>
        <n v="440216" u="1"/>
        <n v="414364" u="1"/>
        <n v="428931" u="1"/>
        <n v="443061" u="1"/>
        <n v="448698" u="1"/>
        <n v="442258" u="1"/>
        <n v="416738" u="1"/>
        <n v="420882" u="1"/>
        <n v="416424" u="1"/>
        <n v="417450" u="1"/>
        <n v="420065" u="1"/>
        <n v="436124" u="1"/>
        <n v="441494" u="1"/>
        <n v="361894" u="1"/>
        <n v="361737" u="1"/>
        <n v="361909" u="1"/>
        <n v="367505" u="1"/>
        <n v="367546" u="1"/>
        <n v="364278" u="1"/>
        <n v="364342" u="1"/>
        <n v="367547" u="1"/>
        <n v="371515" u="1"/>
        <n v="371469" u="1"/>
        <n v="371494" u="1"/>
        <n v="374016" u="1"/>
        <n v="378442" u="1"/>
        <n v="375394" u="1"/>
        <n v="376180" u="1"/>
        <n v="385830" u="1"/>
        <n v="385797" u="1"/>
        <n v="394742" u="1"/>
        <n v="394743" u="1"/>
        <n v="394744" u="1"/>
        <n v="397641" u="1"/>
        <n v="394745" u="1"/>
        <n v="398150" u="1"/>
        <n v="372354" u="1"/>
        <n v="372352" u="1"/>
        <n v="387992" u="1"/>
        <n v="386065" u="1"/>
        <n v="398280" u="1"/>
        <n v="362533" u="1"/>
        <n v="372292" u="1"/>
        <n v="370880" u="1"/>
        <n v="370004" u="1"/>
        <n v="371574" u="1"/>
        <n v="378103" u="1"/>
        <n v="384521" u="1"/>
        <n v="377200" u="1"/>
        <n v="371360" u="1"/>
        <n v="376162" u="1"/>
        <n v="395076" u="1"/>
        <n v="18" u="1"/>
        <n v="11" u="1"/>
        <n v="15" u="1"/>
        <n v="14" u="1"/>
        <n v="20" u="1"/>
        <n v="12" u="1"/>
        <n v="17" u="1"/>
        <n v="23" u="1"/>
        <n v="53" u="1"/>
        <n v="27" u="1"/>
        <n v="42" u="1"/>
        <n v="41" u="1"/>
        <n v="43" u="1"/>
        <n v="26" u="1"/>
        <n v="48" u="1"/>
        <n v="44" u="1"/>
        <n v="51" u="1"/>
        <n v="57" u="1"/>
        <n v="45" u="1"/>
        <n v="56" u="1"/>
        <n v="46" u="1"/>
        <n v="47" u="1"/>
        <n v="361722" u="1"/>
        <n v="377239" u="1"/>
        <n v="377696" u="1"/>
        <n v="381290" u="1"/>
        <n v="381497" u="1"/>
        <n v="387324" u="1"/>
        <n v="389740" u="1"/>
        <n v="387158" u="1"/>
        <n v="389931" u="1"/>
        <n v="389222" u="1"/>
        <n v="391814" u="1"/>
        <n v="398186" u="1"/>
        <n v="397338" u="1"/>
        <n v="395063" u="1"/>
        <n v="398300" u="1"/>
        <n v="392759" u="1"/>
        <n v="16" u="1"/>
        <n v="25" u="1"/>
        <n v="55" u="1"/>
        <n v="361523" u="1"/>
        <n v="50" u="1"/>
        <n v="361753" u="1"/>
        <n v="385816" u="1"/>
        <n v="366643" u="1"/>
        <n v="361965" u="1"/>
        <n v="365725" u="1"/>
        <n v="369398" u="1"/>
        <n v="368250" u="1"/>
        <n v="369773" u="1"/>
        <n v="371988" u="1"/>
        <n v="370463" u="1"/>
        <n v="375751" u="1"/>
        <n v="373704" u="1"/>
        <n v="375028" u="1"/>
        <n v="390113" u="1"/>
        <n v="390111" u="1"/>
        <n v="399049" u="1"/>
        <n v="399092" u="1"/>
        <n v="384158" u="1"/>
        <n v="237422" u="1"/>
        <n v="48205" u="1"/>
        <n v="373125" u="1"/>
        <n v="386293" u="1"/>
        <n v="372687" u="1"/>
        <n v="375119" u="1"/>
        <n v="371993" u="1"/>
        <n v="371995" u="1"/>
        <n v="371994" u="1"/>
        <n v="384118" u="1"/>
        <n v="385036" u="1"/>
        <n v="362931" u="1"/>
        <n v="362527" u="1"/>
        <n v="368228" u="1"/>
        <n v="363809" u="1"/>
        <n v="368230" u="1"/>
        <n v="364259" u="1"/>
        <n v="368231" u="1"/>
        <n v="367655" u="1"/>
        <n v="367656" u="1"/>
        <n v="369598" u="1"/>
        <n v="369642" u="1"/>
        <n v="369888" u="1"/>
        <n v="369889" u="1"/>
        <n v="370850" u="1"/>
        <n v="369890" u="1"/>
        <n v="369891" u="1"/>
        <n v="370940" u="1"/>
        <n v="371250" u="1"/>
        <n v="375400" u="1"/>
        <n v="369943" u="1"/>
        <n v="371042" u="1"/>
        <n v="372552" u="1"/>
        <n v="375732" u="1"/>
        <n v="373506" u="1"/>
        <n v="377237" u="1"/>
        <n v="376561" u="1"/>
        <n v="375176" u="1"/>
        <n v="378832" u="1"/>
        <n v="375277" u="1"/>
        <n v="375351" u="1"/>
        <n v="381032" u="1"/>
        <n v="379851" u="1"/>
        <n v="377440" u="1"/>
        <n v="381297" u="1"/>
        <n v="375510" u="1"/>
        <n v="381298" u="1"/>
        <n v="381572" u="1"/>
        <n v="383097" u="1"/>
        <n v="385550" u="1"/>
        <n v="383206" u="1"/>
        <n v="377248" u="1"/>
        <n v="384290" u="1"/>
        <n v="385551" u="1"/>
        <n v="383376" u="1"/>
        <n v="377441" u="1"/>
        <n v="386312" u="1"/>
        <n v="387757" u="1"/>
        <n v="384335" u="1"/>
        <n v="383098" u="1"/>
        <n v="386328" u="1"/>
        <n v="387956" u="1"/>
        <n v="384337" u="1"/>
        <n v="386329" u="1"/>
        <n v="387957" u="1"/>
        <n v="384336" u="1"/>
        <n v="386962" u="1"/>
        <n v="387958" u="1"/>
        <n v="384955" u="1"/>
        <n v="386963" u="1"/>
        <n v="387998" u="1"/>
        <n v="388276" u="1"/>
        <n v="386232" u="1"/>
        <n v="386233" u="1"/>
        <n v="388436" u="1"/>
        <n v="385713" u="1"/>
        <n v="388993" u="1"/>
        <n v="386234" u="1"/>
        <n v="386885" u="1"/>
        <n v="390757" u="1"/>
        <n v="388994" u="1"/>
        <n v="386616" u="1"/>
        <n v="386944" u="1"/>
        <n v="391559" u="1"/>
        <n v="388995" u="1"/>
        <n v="386884" u="1"/>
        <n v="391560" u="1"/>
        <n v="386886" u="1"/>
        <n v="387212" u="1"/>
        <n v="391725" u="1"/>
        <n v="389996" u="1"/>
        <n v="386943" u="1"/>
        <n v="387662" u="1"/>
        <n v="392360" u="1"/>
        <n v="389997" u="1"/>
        <n v="387254" u="1"/>
        <n v="387771" u="1"/>
        <n v="392611" u="1"/>
        <n v="387770" u="1"/>
        <n v="387853" u="1"/>
        <n v="392646" u="1"/>
        <n v="390248" u="1"/>
        <n v="387772" u="1"/>
        <n v="387996" u="1"/>
        <n v="393347" u="1"/>
        <n v="389461" u="1"/>
        <n v="387922" u="1"/>
        <n v="388355" u="1"/>
        <n v="393348" u="1"/>
        <n v="390917" u="1"/>
        <n v="388589" u="1"/>
        <n v="393349" u="1"/>
        <n v="391118" u="1"/>
        <n v="388220" u="1"/>
        <n v="389048" u="1"/>
        <n v="393530" u="1"/>
        <n v="391018" u="1"/>
        <n v="387997" u="1"/>
        <n v="389373" u="1"/>
        <n v="393633" u="1"/>
        <n v="391834" u="1"/>
        <n v="389693" u="1"/>
        <n v="394416" u="1"/>
        <n v="394277" u="1"/>
        <n v="388588" u="1"/>
        <n v="394316" u="1"/>
        <n v="394293" u="1"/>
        <n v="388590" u="1"/>
        <n v="390777" u="1"/>
        <n v="394317" u="1"/>
        <n v="389692" u="1"/>
        <n v="390309" u="1"/>
        <n v="394318" u="1"/>
        <n v="391120" u="1"/>
        <n v="396655" u="1"/>
        <n v="390367" u="1"/>
        <n v="391590" u="1"/>
        <n v="391119" u="1"/>
        <n v="391663" u="1"/>
        <n v="391664" u="1"/>
        <n v="395112" u="1"/>
        <n v="391723" u="1"/>
        <n v="392099" u="1"/>
        <n v="395113" u="1"/>
        <n v="391998" u="1"/>
        <n v="392140" u="1"/>
        <n v="392141" u="1"/>
        <n v="396633" u="1"/>
        <n v="392148" u="1"/>
        <n v="392149" u="1"/>
        <n v="392150" u="1"/>
        <n v="393350" u="1"/>
        <n v="393526" u="1"/>
        <n v="393527" u="1"/>
        <n v="393528" u="1"/>
        <n v="393529" u="1"/>
        <n v="395139" u="1"/>
        <n v="394086" u="1"/>
        <n v="394420" u="1"/>
        <n v="395140" u="1"/>
        <n v="401791" u="1"/>
        <n v="396880" u="1"/>
        <n v="394461" u="1"/>
        <n v="392010" u="1"/>
        <n v="390732" u="1"/>
        <n v="390368" u="1"/>
        <n v="388425" u="1"/>
        <n v="390249" u="1"/>
        <n v="388632" u="1"/>
        <n v="389998" u="1"/>
        <n v="387764" u="1"/>
        <n v="387923" u="1"/>
        <n v="388104" u="1"/>
        <n v="387652" u="1"/>
        <n v="386887" u="1"/>
        <n v="388221" u="1"/>
        <n v="383377" u="1"/>
        <n v="383288" u="1"/>
        <n v="378833" u="1"/>
        <n v="386313" u="1"/>
        <n v="383827" u="1"/>
        <n v="381033" u="1"/>
        <n v="381299" u="1"/>
        <n v="373693" u="1"/>
        <n v="366289" u="1"/>
        <n v="364260" u="1"/>
        <n v="361864" u="1"/>
        <n v="365742" u="1"/>
        <n v="365744" u="1"/>
        <n v="364297" u="1"/>
        <n v="366768" u="1"/>
        <n v="366769" u="1"/>
        <n v="366687" u="1"/>
        <n v="364298" u="1"/>
        <n v="366770" u="1"/>
        <n v="371974" u="1"/>
        <n v="367515" u="1"/>
        <n v="367513" u="1"/>
        <n v="370312" u="1"/>
        <n v="372775" u="1"/>
        <n v="373059" u="1"/>
        <n v="373360" u="1"/>
        <n v="369991" u="1"/>
        <n v="375052" u="1"/>
        <n v="372348" u="1"/>
        <n v="375051" u="1"/>
        <n v="377439" u="1"/>
        <n v="373019" u="1"/>
        <n v="374233" u="1"/>
        <n v="376889" u="1"/>
        <n v="378419" u="1"/>
        <n v="375973" u="1"/>
        <n v="378106" u="1"/>
        <n v="376911" u="1"/>
        <n v="383099" u="1"/>
        <n v="375741" u="1"/>
        <n v="383828" u="1"/>
        <n v="376464" u="1"/>
        <n v="379830" u="1"/>
        <n v="378104" u="1"/>
        <n v="385557" u="1"/>
        <n v="381789" u="1"/>
        <n v="386043" u="1"/>
        <n v="379852" u="1"/>
        <n v="386162" u="1"/>
        <n v="387924" u="1"/>
        <n v="384704" u="1"/>
        <n v="384956" u="1"/>
        <n v="386809" u="1"/>
        <n v="385999" u="1"/>
        <n v="385509" u="1"/>
        <n v="388208" u="1"/>
        <n v="387663" u="1"/>
        <n v="388209" u="1"/>
        <n v="389339" u="1"/>
        <n v="387987" u="1"/>
        <n v="393916" u="1"/>
        <n v="388105" u="1"/>
        <n v="391482" u="1"/>
        <n v="390918" u="1"/>
        <n v="391561" u="1"/>
        <n v="391835" u="1"/>
        <n v="393179" u="1"/>
        <n v="391006" u="1"/>
        <n v="391724" u="1"/>
        <n v="398481" u="1"/>
        <n v="393961" u="1"/>
        <n v="392342" u="1"/>
        <n v="393639" u="1"/>
        <n v="394375" u="1"/>
        <n v="385184" u="1"/>
        <n v="390886" u="1"/>
        <n v="394165" u="1"/>
        <n v="400927" u="1"/>
        <n v="393115" u="1"/>
        <n v="389460" u="1"/>
        <n v="375595" u="1"/>
        <n v="376246" u="1"/>
        <n v="368036" u="1"/>
        <n v="375605" u="1"/>
        <n v="62" u="1"/>
        <n v="61" u="1"/>
        <n v="69" u="1"/>
        <n v="74" u="1"/>
        <n v="71" u="1"/>
        <n v="389035" u="1"/>
        <n v="84" u="1"/>
        <n v="78" u="1"/>
        <n v="83" u="1"/>
        <n v="81" u="1"/>
        <n v="96" u="1"/>
        <n v="98" u="1"/>
        <n v="99" u="1"/>
        <n v="101" u="1"/>
        <n v="361404" u="1"/>
        <n v="63" u="1"/>
        <n v="73" u="1"/>
        <n v="68" u="1"/>
        <n v="82" u="1"/>
        <n v="358624" u="1"/>
        <n v="360676" u="1"/>
        <n v="370562" u="1"/>
        <n v="369831" u="1"/>
        <n v="373425" u="1"/>
        <n v="385939" u="1"/>
        <n v="370561" u="1"/>
        <n v="377586" u="1"/>
        <n v="390500" u="1"/>
        <n v="372041" u="1"/>
        <n v="390189" u="1"/>
        <n v="370761" u="1"/>
        <n v="371289" u="1"/>
        <n v="397643" u="1"/>
        <n v="361907" u="1"/>
        <n v="366302" u="1"/>
        <n v="385169" u="1"/>
        <n v="377005" u="1"/>
        <n v="394077" u="1"/>
        <n v="373420" u="1"/>
        <n v="377135" u="1"/>
        <n v="385756" u="1"/>
        <n v="372858" u="1"/>
        <n v="372859" u="1"/>
        <n v="393722" u="1"/>
        <n v="389033" u="1"/>
        <n v="373450" u="1"/>
        <n v="385346" u="1"/>
        <n v="393074" u="1"/>
        <n v="366219" u="1"/>
        <n v="389032" u="1"/>
        <n v="374002" u="1"/>
        <n v="374001" u="1"/>
        <n v="389933" u="1"/>
        <n v="374231" u="1"/>
        <n v="385349" u="1"/>
        <n v="375009" u="1"/>
        <n v="383532" u="1"/>
        <n v="372313" u="1"/>
        <n v="389501" u="1"/>
        <n v="393768" u="1"/>
        <n v="389049" u="1"/>
        <n v="377925" u="1"/>
        <n v="381300" u="1"/>
        <n v="388426" u="1"/>
        <n v="392696" u="1"/>
        <n v="383908" u="1"/>
        <n v="383903" u="1"/>
        <n v="367185" u="1"/>
        <n v="388356" u="1"/>
        <n v="373767" u="1"/>
        <n v="374003" u="1"/>
        <n v="390369" u="1"/>
        <n v="395029" u="1"/>
        <n v="376755" u="1"/>
        <n v="376753" u="1"/>
        <n v="389788" u="1"/>
        <n v="387653" u="1"/>
        <n v="375010" u="1"/>
        <n v="370855" u="1"/>
        <n v="390781" u="1"/>
        <n v="386968" u="1"/>
        <n v="389999" u="1"/>
        <n v="388633" u="1"/>
        <n v="384601" u="1"/>
        <n v="385558" u="1"/>
        <n v="387959" u="1"/>
        <n v="378105" u="1"/>
        <n v="392985" u="1"/>
        <n v="384190" u="1"/>
        <n v="392343" u="1"/>
        <n v="369880" u="1"/>
        <n v="373361" u="1"/>
        <n v="383829" u="1"/>
        <n v="396657" u="1"/>
        <n v="377895" u="1"/>
        <n v="391385" u="1"/>
        <n v="377744" u="1"/>
        <n v="398442" u="1"/>
        <n v="370021" u="1"/>
        <n v="398440" u="1"/>
        <n v="393640" u="1"/>
        <n v="392736" u="1"/>
        <n v="391121" u="1"/>
        <n v="384112" u="1"/>
        <n v="388996" u="1"/>
        <n v="390734" u="1"/>
        <n v="377438" u="1"/>
        <n v="393650" u="1"/>
        <n v="371267" u="1"/>
        <n v="388222" u="1"/>
        <n v="391277" u="1"/>
        <n v="390244" u="1"/>
        <n v="389254" u="1"/>
        <n v="360677" u="1"/>
        <n v="390253" u="1"/>
        <n v="376470" u="1"/>
        <n v="386016" u="1"/>
        <n v="396808" u="1"/>
        <n v="387654" u="1"/>
        <n v="386964" u="1"/>
        <n v="387664" u="1"/>
        <n v="364299" u="1"/>
        <n v="363798" u="1"/>
        <n v="389340" u="1"/>
        <n v="389364" u="1"/>
        <n v="388495" u="1"/>
        <n v="396881" u="1"/>
        <n v="377218" u="1"/>
        <n v="369944" u="1"/>
        <n v="369945" u="1"/>
        <n v="391386" u="1"/>
        <n v="375401" u="1"/>
      </sharedItems>
    </cacheField>
    <cacheField name="EventID" numFmtId="0">
      <sharedItems containsSemiMixedTypes="0" containsString="0" containsNumber="1" containsInteger="1" minValue="270022109" maxValue="280066590" count="48">
        <n v="280014790"/>
        <n v="280066590"/>
        <n v="280037801"/>
        <n v="280047328" u="1"/>
        <n v="280015359" u="1"/>
        <n v="280035047" u="1"/>
        <n v="280007656" u="1"/>
        <n v="280038543" u="1"/>
        <n v="280027733" u="1"/>
        <n v="280044395" u="1"/>
        <n v="280044982" u="1"/>
        <n v="280010380" u="1"/>
        <n v="280032262" u="1"/>
        <n v="280004189" u="1"/>
        <n v="280036724" u="1"/>
        <n v="280000002" u="1"/>
        <n v="280013538" u="1"/>
        <n v="280000094" u="1"/>
        <n v="280000092" u="1"/>
        <n v="280001788" u="1"/>
        <n v="280000395" u="1"/>
        <n v="280002620" u="1"/>
        <n v="280000001" u="1"/>
        <n v="270056377" u="1"/>
        <n v="270239231" u="1"/>
        <n v="270217829" u="1"/>
        <n v="270168681" u="1"/>
        <n v="270022109" u="1"/>
        <n v="270132729" u="1"/>
        <n v="270060232" u="1"/>
        <n v="270023652" u="1"/>
        <n v="270256976" u="1"/>
        <n v="270237027" u="1"/>
        <n v="270125346" u="1"/>
        <n v="270044821" u="1"/>
        <n v="270124033" u="1"/>
        <n v="270209949" u="1"/>
        <n v="270251256" u="1"/>
        <n v="270078782" u="1"/>
        <n v="270153198" u="1"/>
        <n v="270148777" u="1"/>
        <n v="270253431" u="1"/>
        <n v="270184630" u="1"/>
        <n v="270130971" u="1"/>
        <n v="270025474" u="1"/>
        <n v="270085582" u="1"/>
        <n v="270233063" u="1"/>
        <n v="270156879" u="1"/>
      </sharedItems>
    </cacheField>
    <cacheField name="Department" numFmtId="164">
      <sharedItems containsBlank="1" count="32">
        <s v="Treaty Property"/>
        <s v="Canada Fac"/>
        <s v="US Fac"/>
        <s v="Bermuda"/>
        <s v="London Fac"/>
        <s v="EI Recovery"/>
        <s v="EI EIID"/>
        <s v="London"/>
        <s v="Canada"/>
        <s v="EI Canada"/>
        <s v="ME Africa Treaty"/>
        <s v="LatAm Fac"/>
        <s v="EI"/>
        <s v="Zurich"/>
        <s v="EI Syndicate"/>
        <s v="Cessions Recovery"/>
        <s v="EI Singapore"/>
        <s v="Singapore Fac"/>
        <s v="EI Chile" u="1"/>
        <s v="Parametric Solutions" u="1"/>
        <s v="EI Australia" u="1"/>
        <s v="Brazil Fac" u="1"/>
        <s v="International Miami" u="1"/>
        <s v="Marine" u="1"/>
        <m u="1"/>
        <s v="Singapore" u="1"/>
        <s v="WEATHER" u="1"/>
        <s v="Cat Bond Recovery" u="1"/>
        <s v="EIG Recovery" u="1"/>
        <s v="EIG EIID" u="1"/>
        <s v="EIG Singapore" u="1"/>
        <s v="EIG Syndicate" u="1"/>
      </sharedItems>
    </cacheField>
    <cacheField name="Company" numFmtId="164">
      <sharedItems containsBlank="1" count="671">
        <s v="TP25 Hanover July"/>
        <s v="TP25 Lancashire Onshore Energy PU Layers"/>
        <s v="TP25 Farmers Insurance Group Per Risk"/>
        <s v="TP25 Starr Construction Per Risk"/>
        <s v="TP26 Cincinnati"/>
        <s v="QA Canada Fac"/>
        <s v="TP26 Tokio Marine America"/>
        <s v="AP26 Obsidian and Partner SRU CORE"/>
        <s v="BM26 Ren Re 1458"/>
        <s v="UKF25 AIG MM Facility"/>
        <s v="TP26 Sutton PBC Final"/>
        <s v="TP25 Old Republic Layers"/>
        <s v="QA London Fac"/>
        <s v="QA EI NA QS"/>
        <s v="BM25 Aspen Mercury QS RMS"/>
        <s v="TP26 FM Global Data Center Program"/>
        <s v="QA EI Marine QS buy"/>
        <s v="QA EI EIID Property v2"/>
        <s v="AP26 AXA Bermuda QS"/>
        <s v="TP25 MS Transverse Insurance Company Per Risk FOT"/>
        <s v="UKF25 Swiss AXA XL"/>
        <s v="TP26 Trisura Specialty Ins"/>
        <s v="TP25 Nationwide Mutual PPR"/>
        <s v="TP26 AIG Global Per Risk"/>
        <s v="UK26 Blenheim Eng"/>
        <s v="CAN26 INTACT PER RISK"/>
        <s v="TP25 Vault Reciprocal"/>
        <s v="QA US Fac"/>
        <s v="TP25 Markel Personal Lines"/>
        <s v="TP25 Crum &amp; Forster Per Risk Final"/>
        <s v="QA EI Canada Energy"/>
        <s v="TP26 Lancashire US DF QS"/>
        <s v="TP25 Assurant PPR"/>
        <s v="AP25 Heritage"/>
        <s v="QA EI EIID Aviation"/>
        <s v="TP25 OCIL DF Everen"/>
        <s v="TP26 Brotherhood Mutual RMS Per Risk"/>
        <s v="TP25 Travelers Engineering PPR"/>
        <s v="TP25 Partner Re Engineering Risk XL"/>
        <s v="TP25 Security First Layers"/>
        <s v="TP25 MS Transverse Dec"/>
        <s v="TP25 Markel May AIR Layers"/>
        <s v="UK25 Arch Eng"/>
        <s v="UK26 Apollo Eng"/>
        <s v="TP25 Hartford Steam Boiler"/>
        <s v="TP26 Arch Insurance Corporate PPR"/>
        <s v="TP25 FM Global Per Risk Group"/>
        <s v="TP26 Ategrity Specialty QS and PPR"/>
        <s v="TP25 Palms Insurance Company Combined QS"/>
        <s v="QA EI EIID Energy"/>
        <s v="TP25 Kingstone 7-1"/>
        <s v="UK25 Hiscox Energy QS"/>
        <s v="TP25 Beazley Per Risk"/>
        <s v="AP26 Obsidian SRU Excess"/>
        <s v="AP25 Accredited Specialty Orchid"/>
        <s v="TP25 CRC Insurisk Canopius xAuto QS"/>
        <s v="TP25 Travelers Per Risk"/>
        <s v="BM26 Aegis Power QS"/>
        <s v="MEA25 SOMPO RENEWABLES"/>
        <s v="QA LatAm Fac"/>
        <s v="AP25 TRISURA SPECIALTY HONEYCOMB "/>
        <s v="TP25 Liberty Mutual Global Per Risk"/>
        <s v="AP25 AMHERST ASIC"/>
        <s v="TP26 Fidelis DF Risk"/>
        <s v="UK26 Canopius Eng"/>
        <s v="BM25 Arcadian DF"/>
        <s v="AP25 PMIC"/>
        <s v="TP25 Kemah Capital CommQS"/>
        <s v="BM26 Hiscox Specialty QS"/>
        <s v="QA EI All Risks Staffing"/>
        <s v="TP26 Starr C&amp;S"/>
        <s v="QA EI WHOLESALE"/>
        <s v="TP25 Canopius US Insurance July Inland Marine Per Risk"/>
        <s v="TP25 Dellwood Per Risk"/>
        <s v="AP26 Emerald Bay Origin Specialty"/>
        <s v="QA EI Mexico Property"/>
        <s v="UK26_Inigo_QS"/>
        <s v="TP25 Sompo GRS Per Risk"/>
        <s v="AP25 Obsidian SRU COC"/>
        <s v="TP26 Employers Mutual"/>
        <s v="UKF25 RI Prop Facility EDM"/>
        <s v="BM25 Zurich ORCA Per Risk AIR (L4 Update)"/>
        <s v="UKF25 Generali GC&amp;C"/>
        <s v="TP25 Richmond National"/>
        <s v="UK26 Zurich Eng"/>
        <s v="TP25 PURE Palomar February Combined"/>
        <s v="FRA26_AxaGlobalReMarine_HullCargoQS"/>
        <s v="TP25 Coaction PPR"/>
        <s v="AP25 Honeycomb"/>
        <s v="BM25 Palms Insurance Company Combined QS"/>
        <s v="TP26 Ark Syndicate SME QS"/>
        <s v="AP25 Transverse MSI"/>
        <s v="TP25 Vantage Specialty Large Property Per Risk"/>
        <s v="QA EI JEM"/>
        <s v="TP25 US Coastal Northeast"/>
        <s v="QA EI Syndicate Property"/>
        <s v="TP25 FM Global SS: CRT SS"/>
        <s v="TP26 Aspen US - QS"/>
        <s v="AP25 Ategrity Habcap"/>
        <s v="TP25 Mitsui Sumitomo Per Risk"/>
        <s v="GER26_AGCSLowCarbon_QS"/>
        <s v="AF"/>
        <s v="QA EI RETAIL"/>
        <s v="TP26 Tokio Marine_Lloyds US Binders QS"/>
        <s v="TP25 Sutton National June Extrap"/>
        <s v="QA EI SIG"/>
        <s v="UK25_AWAC_PropertyQS"/>
        <s v="AP26 Starr IM Prop"/>
        <s v="TP25 AXIS Per Risk"/>
        <s v="AP25 Honeycomb Specialty Builders"/>
        <s v="TP26 MS Transverse Eirion"/>
        <s v="AP25 Coaction ES AB"/>
        <s v="CAN25 AWAC"/>
        <s v="AP25 CNA HOSPITAL LARGE RISK CORP"/>
        <s v="BM25 Nephila Per Risk"/>
        <s v="TP26 Navigators Inland Marine Per Risk"/>
        <s v="QA EI Life Science"/>
        <s v="QA EI Energy QS Buy"/>
        <s v="QA EI Syndicate Marine"/>
        <s v="QA EI AMRISC"/>
        <s v="TP25 BrightShore XL"/>
        <s v="TP25 Skyward QS"/>
        <s v="TP25 PURE PPR"/>
        <s v="AP25 Helix Partner Re"/>
        <s v="AP25 ASIC HabCap"/>
        <s v="TP25 Lancashire Onshore Energy XOL"/>
        <s v="TP25 Hartford Members"/>
        <s v="TP25 Aegis May"/>
        <s v="TP25 Accredited Specialty June"/>
        <s v="TP25 Spinnaker MSI Homeowners"/>
        <s v="AP25 Liberty Mutual AFB"/>
        <s v="TP25 Convex QS"/>
        <s v="TP26 Florida Pen Net QS"/>
        <s v="TP26 Westfield ES Layers"/>
        <s v="TP25 Narragansett Layers"/>
        <s v="AP26 WSI CAU"/>
        <s v="UK26 Axis Cons"/>
        <s v="UK26 Lancashire Eng"/>
        <s v="TP26 Crum &amp; Forster ES - excl Residential Flood"/>
        <s v="TP26 Hiscox Binders QS"/>
        <s v="AP26 OBSIDIAN AMRISC"/>
        <s v="TP26 Arch Insurance MidCorp Per Risk"/>
        <s v="TP26 Liberty Mutual Global Per Risk 1-1 Buffer Layer"/>
        <s v="TP26 Blenheim Per Risk"/>
        <s v="TP26 Inigo DF Per Risk"/>
        <s v="TP26 Specialty Builders Kemah"/>
        <s v="TP25 Auto Owners PPR"/>
        <s v="BM26 Arch 1955 Regearing"/>
        <s v="QA EI All Risks 51"/>
        <s v="QA EI Singapore Property"/>
        <s v="TP25 Hartford Fire PARE"/>
        <s v="TP25 AXIS QS"/>
        <s v="UK25 Starr Construction QS"/>
        <s v="GER26_HDI_EngSurplus"/>
        <s v="QA EI EIID Marine"/>
        <s v="QA EI Syndicate Per Risk Buy"/>
        <s v="AP26 Starr Middle Market"/>
        <s v="QA EI SAFEHOLD"/>
        <s v="TP25 Accredited Specialty June Per Risk"/>
        <s v="BM26 Apollo 1969 Regearing"/>
        <s v="CH26_AXISRenewableEnergy_QS"/>
        <s v="TP25 Victor Ins Exchange Cat and QS"/>
        <s v="TP25 MS Transverse NP Per Risk"/>
        <s v="TP26 Fortegra Alchemy"/>
        <s v="AP25 Cincinnati"/>
        <s v="QA Singapore Fac"/>
        <s v="QA EI PerSe"/>
        <s v="BM25 AWAC QS"/>
        <s v="TP25 MS Transverse AmRisc Trouvaille Per Risk"/>
        <s v="TP25 GIC DF"/>
        <s v="TP25 American European ShoreOne"/>
        <s v="AP25 Westport"/>
        <s v="TP25 Hartford Fire ES QS"/>
        <s v="LAF25 MARLIN EMEA"/>
        <s v="TP26 Secura Per Risk"/>
        <s v="TP26 RLI"/>
        <s v="UK26 TMHCC Eng"/>
        <s v="UK26 Axa Eng"/>
        <s v="TP26 Sompo Intl QS"/>
        <s v="TP26 FCCI Per Risk Layers"/>
        <s v="UK26 QBE Natural Resources QS"/>
        <s v="TP26 Intact Financial Corporation US Per Risk"/>
        <s v="TP26 Mid Hudson Co-Op Insurance Company"/>
        <s v="TP26 Donegal Mutual"/>
        <s v="BM26 Convex DF"/>
        <s v="TP26 Arbella Mutual"/>
        <s v="TP26 Travelers SST"/>
        <s v="QA EI MIDDLE MARKET"/>
        <s v="TP25 Ark 4020 DF Per Risk"/>
        <s v="AP25 FM MCT"/>
        <s v="AP25 PSBA"/>
        <s v="TP25 Partner Re Onshore XOL"/>
        <s v="TP25 Swyfft Benchmark"/>
        <s v="TP25 Travelers Agribusiness"/>
        <s v="TP25 Homeowners of America April"/>
        <s v="TP25 Palms QS May: QS FOT"/>
        <s v="TP25 North Light Allstate Per Risk"/>
        <s v="AP25 Curotech Emerald Bay QS Broker Projected"/>
        <s v="TP25 CNA SRP"/>
        <s v="TP25 MS Transverse June"/>
        <s v="TP25 FM Global QS FOT"/>
        <s v="GER26_AGCSOnshore_QS"/>
        <s v="AP25 Skyward Specialty"/>
        <s v="BM26 Climate Resiliency 100%QS"/>
        <s v="QA EI Canada Property"/>
        <s v="QA EI INLAND MARINE"/>
        <s v="QA EI Syndicate Energy"/>
        <s v="QA EI Global Per Risk Buy"/>
        <s v="AP25 Obsidian Arris"/>
        <s v="TP25 Energy Insurance Mutual PPR"/>
        <s v="TP25 Vermont Mutual"/>
        <s v="BM26 Hamilton DF QS"/>
        <s v="TP26 United Fire Per Risk Layers"/>
        <s v="TP26 StarStone QS"/>
        <s v="BM26 Hiscox Binders QS"/>
        <s v="UK25 CNA Eirion"/>
        <s v="AP26 Millers Capital"/>
        <s v="GER26_AGCS_TMQS"/>
        <s v="CH26_Navata_MarineEnergyQS"/>
        <s v="AP25 AWAC"/>
        <s v="BM26 Aegis DF QS"/>
        <s v="AP26 GAIC AFA"/>
        <s v="TP26 Lloyds 4000 Hamilton Per Risk"/>
        <s v="AP25 ACIC"/>
        <s v="TP25 Liberty Mutual E&amp;S QS"/>
        <s v="AP25 MS Transverse Eirion"/>
        <s v="TP26 RB Jones"/>
        <s v="UK26 AIG Eng"/>
        <s v="BM26 Vave QS Layers"/>
        <s v="UK26 Sompo Intl Eng"/>
        <s v="TP26 Aspen Risk on Fac"/>
        <s v="QA EI Aviation Buys"/>
        <s v="TP25 Great Bay Extrap"/>
        <s v="UKF25 AXA XL MM QS Prop Facility"/>
        <s v="BM26 Convex WA QS"/>
        <s v="TP25 Fortegra Corporate Cat"/>
        <s v="UK26 AGCS Eng"/>
        <s v="TP26 Fidelis Per Risk"/>
        <s v="TP25 Kin Ins xFL"/>
        <s v="TP26 Cumberland Mutual"/>
        <s v="AP26 Trisura BP"/>
        <s v="TP26 AIG - Corporate Cat"/>
        <s v="AP26 GuideOne Insurance Company" u="1"/>
        <s v="BM26 BISL Brace Layers" u="1"/>
        <s v="QA EI LA QS" u="1"/>
        <s v="AP26 Texas Farm Bureau" u="1"/>
        <s v="UK25_FidelisRenewableEnergy_QS" u="1"/>
        <s v="TP25 Probitas DF July" u="1"/>
        <s v="TP25 Barnstable Extrap" u="1"/>
        <s v="TP25 Orion180" u="1"/>
        <s v="AP25 CORE" u="1"/>
        <s v="TP26 NY Central Mutual CAT XOL" u="1"/>
        <s v="TP25 Sutton CA HO" u="1"/>
        <s v="TP25 Obsidian Bamboo QS" u="1"/>
        <s v="TP25 Obsidian QS Final" u="1"/>
        <s v="AP25 TRAVELERS NORTHFIELD" u="1"/>
        <s v="TP25 New London" u="1"/>
        <s v="TP25 Heritage June" u="1"/>
        <s v="TP25 Plymouth Rock" u="1"/>
        <s v="TP25 Ocean Harbor" u="1"/>
        <s v="TP25 Sutton National CCI" u="1"/>
        <s v="TP25 American European" u="1"/>
        <s v="TP26 Hartford Fire - Cat and Agg" u="1"/>
        <s v="TP26 Greater NY Mutual" u="1"/>
        <s v="AP25 Vantage CIBA" u="1"/>
        <s v="QA EI US Energy &amp; Construction" u="1"/>
        <s v="AP25 CCG" u="1"/>
        <s v="TP26 Starr Multisegment Per Risk" u="1"/>
        <s v="QA EI Chile Marine" u="1"/>
        <s v="TP26 Ocean Harbor Casualty" u="1"/>
        <s v="TP26 American Family Mutual" u="1"/>
        <s v="WEA26 Brotherhood SCS &amp; WT" u="1"/>
        <s v="QA EI Australia Energy" u="1"/>
        <s v="TP25 Surechoice July" u="1"/>
        <s v="TP25 Allied Trust" u="1"/>
        <s v="TPRET25 Ark Bermuda" u="1"/>
        <s v="TP25 Gulf States" u="1"/>
        <s v="CAN25 TOKIO MARINE SSRU QS" u="1"/>
        <s v="CAN25 Millennium SSRU QS" u="1"/>
        <s v="TP25 Centauri National" u="1"/>
        <s v="TP25 Auros SageSure" u="1"/>
        <s v="BM25 AWAC Cat XL" u="1"/>
        <s v="TP26 West Bend Per Risk" u="1"/>
        <s v="TP26 Germania" u="1"/>
        <s v="TP26 Brotherhood Mutual" u="1"/>
        <s v="MEA25 Arch Per Risks" u="1"/>
        <s v="GER26_AGCSMarineEnergy_CatXL" u="1"/>
        <s v="TP26 Arch Insurance Per Risk" u="1"/>
        <s v="AP25 Fortegra Specialty" u="1"/>
        <s v="TP25 USAA" u="1"/>
        <s v="QA Brazil Fac" u="1"/>
        <s v="QA EI EIID Property" u="1"/>
        <s v="UK24 Arch Eng" u="1"/>
        <s v="BM25 Canopius WA QS" u="1"/>
        <s v="BM25 AGCS Corporate Property QS" u="1"/>
        <s v="BM25 Apollo 1969 Regearing" u="1"/>
        <s v="JAM25 General Accident" u="1"/>
        <s v="BAR25 Sagicor QS" u="1"/>
        <s v="UK25 SCOR Onshore Energy QS" u="1"/>
        <s v="JAM25 IRONROCK QS" u="1"/>
        <s v="TP25 Probitas Caribbean &amp; Mexico" u="1"/>
        <s v="BM25 Blenheim 5886 Regearing" u="1"/>
        <s v="TP25 Gencon" u="1"/>
        <s v="BM25 Canopius 4444 Regearing" u="1"/>
        <s v="UK25 Liberty Mutual Eng" u="1"/>
        <s v="CAN25 Intact Per Risks" u="1"/>
        <s v="BM25 Arch 1955 Regearing" u="1"/>
        <s v="CAR25 Sagicor" u="1"/>
        <s v="JAM25 BCIC Property QS and Surplus and Condo QS" u="1"/>
        <s v="TRI25 TATIL Programs" u="1"/>
        <s v="BM25 Aegis DF QS" u="1"/>
        <s v="MEA25 AIG Onshore Energy QS" u="1"/>
        <s v="GER25_AgcsOnshore_QS" u="1"/>
        <s v="UK25 AGCS Cons" u="1"/>
        <s v="Jam25 General Accident Combined" u="1"/>
        <s v="CH25_AXIS_RenewableEnergy_QS" u="1"/>
        <s v="BM25 Convex Property QS" u="1"/>
        <s v="TP25 Starr C&amp;S" u="1"/>
        <s v="CAN24 AWAC Property QS" u="1"/>
        <s v="TP25 Hiscox Binders QS" u="1"/>
        <s v="TP25 Canopius DF QS Layers" u="1"/>
        <s v="BM25 Hiscox Specialty QS" u="1"/>
        <s v="TP25 Sompo Intl QS" u="1"/>
        <s v="TP25 Liberty Onshore Energy QS" u="1"/>
        <s v="GER25_AgcsOffshore_QS" u="1"/>
        <s v="JAM25 IRONROCK CAT XL" u="1"/>
        <s v="UK25 Lloyds QBE Eng" u="1"/>
        <s v="UK25_Carbon_QS" u="1"/>
        <s v="BM25 Canopius DF QS Layers" u="1"/>
        <s v="LAF25 Marlin LatAm " u="1"/>
        <s v="BM25 Convex WA QS" u="1"/>
        <s v="BM25 Hiscox Binders QS" u="1"/>
        <s v="JAM25 GK GENERAL PROPERTY" u="1"/>
        <s v="Ber25 Coralisle Cat Comb" u="1"/>
        <s v="CAR25 M&amp;C QS/SS" u="1"/>
        <s v="GER25_AGCS_LowCarbonQS" u="1"/>
        <s v="CB25 LLA Parametric" u="1"/>
        <s v="UK25 Lancashire Eng" u="1"/>
        <s v="UK25 Inigo DF" u="1"/>
        <s v="JAM25 ADVANTAGE GENERAL" u="1"/>
        <s v="JAM25 BCIC Cat XL" u="1"/>
        <s v="BM25 TMK 510 1880 CB XL" u="1"/>
        <s v="JAM25 GK ENG QS SURPLUS CATAMOUNT" u="1"/>
        <s v="JAM24 ADVANTAGE GENERAL 100% MOTOR QS" u="1"/>
        <s v="CAR25 GUARDIAN HO QS AIR" u="1"/>
        <s v="TP25 Nephila Synd 2358 Year End Stub Cover" u="1"/>
        <s v="CAR25 GULF AIR" u="1"/>
        <s v="CAR25 GUARDIAN CAT XL" u="1"/>
        <s v="POR25_MapfreMGR_FireEngQS" u="1"/>
        <s v="JAM25 ADVANTAGE GENERAL CAT XL" u="1"/>
        <s v="CAR25 CCRIF" u="1"/>
        <s v="Jam24 General Accident HO QS July" u="1"/>
        <s v="LAF25 Marlin Caribbean" u="1"/>
        <s v="UK25 Axa Engineering QS and Per Risk" u="1"/>
        <s v="TP25 Hartford Cat and Agg" u="1"/>
        <s v="CH25_Markel_RenewEnergy&amp;DownstreamQS" u="1"/>
        <s v="TP25 BLENHEIM DF" u="1"/>
        <s v="GER25_HDI_PROPERTY QS" u="1"/>
        <s v="BM25 Beazley Smart Tracker" u="1"/>
        <s v="TPRET25 Cincinnati Retro May updated mapping" u="1"/>
        <s v="BM25 Hamilton DF QS" u="1"/>
        <s v="UK25_Ascot_Eng" u="1"/>
        <s v="Lat25 Mapfre Circ Cat" u="1"/>
        <s v="TP25 Fortegra Alchemy" u="1"/>
        <s v="REG25 LMI" u="1"/>
        <s v="CAN25 STARR QS" u="1"/>
        <s v="TP25 Fidelis DF April" u="1"/>
        <s v="TP25 CHAUCER DF" u="1"/>
        <s v="TP25 ATRIUM DF" u="1"/>
        <s v="BM25 ATRIUM DF" u="1"/>
        <s v="GER25_MSIG_Surplus" u="1"/>
        <s v="TP25 Fidelis DF 2nd Event" u="1"/>
        <s v="TPRet25 QBE Retro Cat Comb" u="1"/>
        <s v="BEL25 RF&amp;G CAT XL" u="1"/>
        <s v="BM25 Dale 4/1 xUS" u="1"/>
        <s v="QA MARINE BOUND" u="1"/>
        <s v="TPRET25 Hannover Re" u="1"/>
        <s v="TP25 Trident Insurance Services LLC" u="1"/>
        <s v="UK25 ECCLES SURPLUS" u="1"/>
        <s v="TP25 Ark DF" u="1"/>
        <s v="TP25 Brotherhood Mutual - Per Risk" u="1"/>
        <s v="TP25 FARADAY DF" u="1"/>
        <s v="QA EI Marine XOL Buy" u="1"/>
        <s v="BM25 ACT" u="1"/>
        <s v="Can25 BFL Trisura Comb" u="1"/>
        <s v="TP25 Best Meridian Rokstone" u="1"/>
        <m u="1"/>
        <s v="GER25_AGCS_TMQS" u="1"/>
        <s v="ITA25_Generali_CATXL" u="1"/>
        <s v="TP25 Dale DF" u="1"/>
        <s v="TP25 Syndicate 2987 Brit" u="1"/>
        <s v="BM24 Beat Synd 4242 Regearing" u="1"/>
        <s v="BM24 Arch 1955 Regearing" u="1"/>
        <s v="BM24 Canopius 4444 Regearing" u="1"/>
        <s v="BM24 Convex Prop QS" u="1"/>
        <s v="BM24 Hamilton DF QS" u="1"/>
        <s v="BM24 Apollo 1969 Regearing" u="1"/>
        <s v="BM24 Aegis DF QS" u="1"/>
        <s v="BM24 Argenta 2121" u="1"/>
        <s v="BM24 Aegis Power QS" u="1"/>
        <s v="BM24 Argo DF QS" u="1"/>
        <s v="BM24 Aspen Mercury QS" u="1"/>
        <s v="BM24 Convex WA QS" u="1"/>
        <s v="BM24 Hiscox Binders QS" u="1"/>
        <s v="BM24 Blenheim 5886" u="1"/>
        <s v="BM24 Canopius DF QS" u="1"/>
        <s v="BM24 AWAC QS" u="1"/>
        <s v="BM24 Palms Ins QS Layers" u="1"/>
        <s v="BM24 Zurich ORCA Per Risk AIR" u="1"/>
        <s v="BM24 Nephila Per Risk Layers" u="1"/>
        <s v="BM24 Arcadian DF" u="1"/>
        <s v="BM24 TMK 510 1880 DF" u="1"/>
        <s v="BM24 Argo Risk XL" u="1"/>
        <s v="BM24 Atrium D&amp;F" u="1"/>
        <s v="CAN23 AWAC PROPERTY QS" u="1"/>
        <s v="CAN24 STARR PROP QS" u="1"/>
        <s v="CAN24 INTACT PER RISK" u="1"/>
        <s v="GER24_HDI_ENG_QS" u="1"/>
        <s v="CH24_AXIS_Energy_Marine_QS" u="1"/>
        <s v="GER24_AGCS_Natual_Resources_QS" u="1"/>
        <s v="GER24_AGCS_LowCarbon QS" u="1"/>
        <s v="CH24_Markel_Marine" u="1"/>
        <s v="GER24_HDI_PROPERTY QS" u="1"/>
        <s v="GER24_AGCS_TMQS" u="1"/>
        <s v="GER24_MSIG_Surplus" u="1"/>
        <s v="AP24 Obsidian SRU Excess" u="1"/>
        <s v="AP24 K2 Intl Prop D&amp;F" u="1"/>
        <s v="AP24 GAIC AFA" u="1"/>
        <s v="AP24 Helix Partner Re" u="1"/>
        <s v="AP24 AXA XL Neptune Flood" u="1"/>
        <s v="AP24 Partner Re SRU Core" u="1"/>
        <s v="UKF24 UNICORN" u="1"/>
        <s v="LATAM23 MARLIN EMEA" u="1"/>
        <s v="AP24 Obsidian SRU COC" u="1"/>
        <s v="AP24 AWAC" u="1"/>
        <s v="WWF23 Dynamic" u="1"/>
        <s v="AP24 Skyward Specialty" u="1"/>
        <s v="AP24 MS Transverse Eirion" u="1"/>
        <s v="AP24 Helix Partner Re MMBL" u="1"/>
        <s v="UKF24 RI Prop Facility" u="1"/>
        <s v="FP24 FirstKey Homes" u="1"/>
        <s v="UKF23 AXA XL MM" u="1"/>
        <s v="AP23 Members of RiskBound Prop" u="1"/>
        <s v="AP24 ASIC HabCap" u="1"/>
        <s v="UK24 Intact Higland Eng" u="1"/>
        <s v="UK23 Arch Eng V2" u="1"/>
        <s v="UK24 Axis" u="1"/>
        <s v="UK24 AGCS Cons" u="1"/>
        <s v="UK24 Sompo Eng" u="1"/>
        <s v="UK24 Zurich Eng - gr" u="1"/>
        <s v="UK24 Canopius Eng" u="1"/>
        <s v="UK24 HDI Eng" u="1"/>
        <s v="UK24_AIG_Eng" u="1"/>
        <s v="UK24 Axa Eng" u="1"/>
        <s v="UK24 Lancashire Eng" u="1"/>
        <s v="UK24 Palomar Builders Risk" u="1"/>
        <s v="UK24 Starr Construction QS" u="1"/>
        <s v="UK24 Palms Eng" u="1"/>
        <s v="MEA24 AIG Onshore Energy" u="1"/>
        <s v="MEA24 SOMPO RENEWABLES" u="1"/>
        <s v="MEA24 TRAVELERS RENEWABLES" u="1"/>
        <s v="MEX24 Axa Nat Cat QS" u="1"/>
        <s v="MEX24 AXA SEGUROS PROPERTY CAT XL" u="1"/>
        <s v="JAP24 TMNF SS" u="1"/>
        <s v="JAP24 SJNK Overseas Risk" u="1"/>
        <s v="TP23 Arch Insurance Per Risk Program" u="1"/>
        <s v="TP24 Westfield QS Layers" u="1"/>
        <s v="TP24 RLI" u="1"/>
        <s v="TP23 Arch Insurance Corporate" u="1"/>
        <s v="TP24 Apex One" u="1"/>
        <s v="TP24 Axa Per Risk" u="1"/>
        <s v="TP24 Aspen Risk on Fac" u="1"/>
        <s v="TP24 Aspen US QS" u="1"/>
        <s v="TP24 FCCI Per Risk" u="1"/>
        <s v="TP24 Navigators Inland Marine" u="1"/>
        <s v="TP24 Ategrity Specialty" u="1"/>
        <s v="TP24 Crum and Forster E&amp;S Layers" u="1"/>
        <s v="TP24 Assurant Per Risk" u="1"/>
        <s v="TP24 Tokio Marine America PerRisk" u="1"/>
        <s v="TP24 TMK US Binders QS" u="1"/>
        <s v="TP24 Hiscox Binders QS" u="1"/>
        <s v="TP24 Travelers SST" u="1"/>
        <s v="TP24 Ascot Binders" u="1"/>
        <s v="TP24 Liberty Onshore Energy QS" u="1"/>
        <s v="TP24 Lancashire Energy" u="1"/>
        <s v="TP24 Condo Owners Reciprocal" u="1"/>
        <s v="TP24 Sompo Intl QS" u="1"/>
        <s v="TP24 AIG Personal Flood QS" u="1"/>
        <s v="TP24 Geovera Proj " u="1"/>
        <s v="TP24 AIG Glatfelter Per Risk" u="1"/>
        <s v="TP24 Slide" u="1"/>
        <s v="TP24 Canopius DF QS" u="1"/>
        <s v="TP24 Palms ES QS" u="1"/>
        <s v="TP24 Ocean Harbor" u="1"/>
        <s v="TP24 Vault Reciprocal" u="1"/>
        <s v="TP24 SafePoint FL QS and CAT" u="1"/>
        <s v="TP24 UPCIC 2" u="1"/>
        <s v="TP24 Peoples Trust Insurance Company" u="1"/>
        <s v="TP24 AXIS QS" u="1"/>
        <s v="TP24 Crum &amp; Forster" u="1"/>
        <s v="TP24 Vyrd" u="1"/>
        <s v="TP24 Topa" u="1"/>
        <s v="TP24 Nationwide Per Risk" u="1"/>
        <s v="TP24 Mitsui Sumitomo Per Risk" u="1"/>
        <s v="TP24 American Integrity Insurance Company of Florida" u="1"/>
        <s v="TP24 Palms Ins QS Layers" u="1"/>
        <s v="TP24 Loggerhead" u="1"/>
        <s v="TP24 Florida Peninsula Layers" u="1"/>
        <s v="TP24 Markel Personal Lines" u="1"/>
        <s v="TP24 Markel May" u="1"/>
        <s v="TP24 Olympus Ins Co Proj" u="1"/>
        <s v="TP24 Palms QS May" u="1"/>
        <s v="TP24 Liberty Mutual Global Per Risk" u="1"/>
        <s v="TP24 Homeowners Choice PC" u="1"/>
        <s v="TP24 Liberty Mutual EnS QS" u="1"/>
        <s v="TP24 Skyward QS" u="1"/>
        <s v="TP24 USCPC (Florida)" u="1"/>
        <s v="TP24 Hartford Members" u="1"/>
        <s v="TP24 FM Global SS" u="1"/>
        <s v="TP24 American Coastal June" u="1"/>
        <s v="TP24 FM Global PPR Expiring" u="1"/>
        <s v="TP24 Allstate CastleKey" u="1"/>
        <s v="TP24 Monarch Layers" u="1"/>
        <s v="TP24 Florida Family" u="1"/>
        <s v="TP24 Victor Ins" u="1"/>
        <s v="TP24 Tower Hill CAT" u="1"/>
        <s v="TP24 Southern Oak" u="1"/>
        <s v="TP24 Heritage June" u="1"/>
        <s v="TP24 American Traditions" u="1"/>
        <s v="TP24 Hanover July" u="1"/>
        <s v="TP24 Accredited Specialty July" u="1"/>
        <s v="TP24 CNA SRP" u="1"/>
        <s v="TP24 Spinnaker MSI Homeowners" u="1"/>
        <s v="TP24 Security First" u="1"/>
        <s v="TP24 Travelers Per Risk" u="1"/>
        <s v="TP24 Victor Ins Combined" u="1"/>
        <s v="TP24 Hartford Fire PARE PPR" u="1"/>
        <s v="TP24 Transverse June" u="1"/>
        <s v="TP24 Argo Inland Marine Per Risk" u="1"/>
        <s v="TP24 Fortegra May" u="1"/>
        <s v="TP24 Old Republic Per Risk" u="1"/>
        <s v="TP24 Trusted Resource Underwriters Exchange" u="1"/>
        <s v="TP24 FM Global" u="1"/>
        <s v="TP24 CNA Per Risk Layers" u="1"/>
        <s v="TP24 OCIL DF Everen Layers" u="1"/>
        <s v="Tp24 Travelers Engineering Per Risk" u="1"/>
        <s v="TP24 Hartford Fire ES QS" u="1"/>
        <s v="Tp24 Starr Global Construction Per Risk" u="1"/>
        <s v="TP24 Sutton RiskSmith" u="1"/>
        <s v="TP24 Husdon Insurance Company" u="1"/>
        <s v="TP24 Bankers" u="1"/>
        <s v="TP24 FCCI" u="1"/>
        <s v="TP24 Travelers IM Agg" u="1"/>
        <s v="TP24 Florida Pen Net QS" u="1"/>
        <s v="TP24 ACT APP CAT XL" u="1"/>
        <s v="TP24 Apollo DF" u="1"/>
        <s v="TP24 Fortegra Alchemy" u="1"/>
        <s v="TP24 Gencon" u="1"/>
        <s v="TP24 Fidelis DF" u="1"/>
        <s v="TP24 Dale DF" u="1"/>
        <s v="TP24 Federated Mutual" u="1"/>
        <s v="ILW24 Meacock Synd" u="1"/>
        <s v="TPRET24 Navigators" u="1"/>
        <s v="TP24 Pennsylvania Lumbermans Mutual" u="1"/>
        <s v="TP24 BLENHEIM DF" u="1"/>
        <s v="TPRET24 Ark" u="1"/>
        <s v="TP24 Great American AFG" u="1"/>
        <s v="TP24 Westfield Combined CAT" u="1"/>
        <s v="TP24 Starr Multisegment Per Risk" u="1"/>
        <s v="TP24 Cincinnati Per Risk" u="1"/>
        <s v="TP24 Hartford Fire - Per Risk Agg" u="1"/>
        <s v="TP24 Brotherhood Mutual Per Risk" u="1"/>
        <s v="TP24 Inigo DF" u="1"/>
        <s v="TPRET24 Canopius" u="1"/>
        <s v="TP24 Aegis DF" u="1"/>
        <s v="TP24 Liberty Onshore takeout for Hamilton" u="1"/>
        <s v="TP24 Beazley Cat" u="1"/>
        <s v="TP24 Fidelis DF April" u="1"/>
        <s v="TP24 Atrium D&amp;F" u="1"/>
        <s v="TP24 Cincinnati DF - AIR" u="1"/>
        <s v="CB24 LLA Parametric" u="1"/>
        <s v="TP24 GIC DF" u="1"/>
        <s v="TP24 Ki 1618 Cat XL" u="1"/>
        <s v="TP24 AEGIS May" u="1"/>
        <s v="TP24 Sutton National June" u="1"/>
        <s v="TPRET24 Dale" u="1"/>
        <s v="TP24 Best Meridian Rokstone" u="1"/>
        <s v="TP24 Munich Re DF" u="1"/>
        <s v="TPRET24 Partner Re" u="1"/>
        <s v="TP24 RLI June" u="1"/>
        <s v="TPRET24 QBE RE NA JP" u="1"/>
        <s v="ILW24 Convex" u="1"/>
        <s v="TP24 Old Republic" u="1"/>
        <s v="WEA24 Elementum" u="1"/>
        <s v="Cat Bond - Fall 2023 Resets - recalc with new ind curve" u="1"/>
        <s v="POR24_MAPFRE_MGR_FIRE &amp; ENG QS" u="1"/>
        <s v="FP24 TL Co" u="1"/>
        <s v="AP24 Zurich UL" u="1"/>
        <s v="TP24 Travelers MM UL Final" u="1"/>
        <s v="TP24 American Family Mutual S.I." u="1"/>
        <s v="TP24 Hartford Fire - Cat and Agg" u="1"/>
        <s v="TP24 Travelers National Prop UL CAT XOL" u="1"/>
        <s v="QA EIG Marine QS buy" u="1"/>
        <s v="QA EIG Energy QS Buy" u="1"/>
        <s v="AP23 Asta McGill AUML" u="1"/>
        <s v="QA EIG EIID Property" u="1"/>
        <s v="QA EIG EIID Marine" u="1"/>
        <s v="QA EIG EIID Energy" u="1"/>
        <s v="QA EIG Singapore Property" u="1"/>
        <s v="QA EIG Syndicate Marine" u="1"/>
        <s v="QA EIG Syndicate Property" u="1"/>
        <s v="UK23 Starr Construction QS" u="1"/>
        <s v="FP23 GOLDOLLER MANAGEMENT SERVICES" u="1"/>
        <s v="TP23 Kemah Capital" u="1"/>
        <s v="BM24 Ren Re S1458" u="1"/>
        <s v="BM24 QBE Global Cat XL" u="1"/>
        <s v="BM24 Hiscox DF" u="1"/>
        <s v="BM24 Canopius DF Layers" u="1"/>
        <s v="BM24 Munich Re DF" u="1"/>
        <s v="BM24 MS Amlin DF" u="1"/>
        <s v="BM24 Aspen Mercury Cat XL" u="1"/>
        <s v="BM24 Convex DF" u="1"/>
        <s v="BM24 Argo Group" u="1"/>
        <s v="CAN24 NORTHBRIDGE SSRU QS" u="1"/>
        <s v="BEL24_COMURA_PROPERTY XL" u="1"/>
        <s v="UK24 Catalytic Eng" u="1"/>
        <s v="UK24_Carbon" u="1"/>
        <s v="UK24 Allied World Eng" u="1"/>
        <s v="UK24 Lloyds QBE Eng" u="1"/>
        <s v="TP24 Talbot DF" u="1"/>
        <s v="TP24 Canopius DF Layers" u="1"/>
        <s v="TPRET24 MAP Synd 2791" u="1"/>
        <s v="TP24 Hiscox DF" u="1"/>
        <s v="TPRET24 Beazley Retro" u="1"/>
        <s v="TPRET24 Patria" u="1"/>
        <s v="TPRET24 SCOR Layers" u="1"/>
        <s v="TP24 Brotherhood Mutual" u="1"/>
        <s v="TPRET24 ASPEN" u="1"/>
        <s v="TP24 Scor Syndicate 2015 DF" u="1"/>
        <s v="TP24 MS Amlin DF" u="1"/>
        <s v="TP24 AXIS Cat XL" u="1"/>
        <s v="ILW24 ANDI" u="1"/>
        <s v="TPRET24 Allied World" u="1"/>
        <s v="TPRET24 TOA RE" u="1"/>
        <s v="TP24 Spinnaker Amrisc" u="1"/>
        <s v="TPRET24 Convex" u="1"/>
        <s v="TPRET24 IQUW" u="1"/>
        <s v="TP24 Apollo DF July" u="1"/>
        <s v="TPRET24 Lancashire DF" u="1"/>
        <s v="TP24 Ascot Inland Marine" u="1"/>
        <s v="TP24 Hagerty Cat XL" u="1"/>
        <s v="TP24 Hamilton DF" u="1"/>
        <s v="TP24 Velocity CAT" u="1"/>
        <s v="TP24 Travelers DF" u="1"/>
        <s v="TP24 Mitsui Sumitomo" u="1"/>
        <s v="TP24 Tokio Marine America" u="1"/>
        <s v="BM24 Beat - Alcor Satinwood" u="1"/>
        <s v="ILW24 Everen" u="1"/>
        <s v="TP24 FARADAY DF" u="1"/>
        <s v="ILW24 Scor" u="1"/>
        <s v="TP24 AEGIS June" u="1"/>
        <s v="TP24 IQUW DF" u="1"/>
        <s v="TP24 Ascot Binders July" u="1"/>
        <s v="TP24 Assurant" u="1"/>
        <s v="TP24 Vault Reciprocal Exchange" u="1"/>
        <s v="TP24 National General" u="1"/>
        <s v="TP24 Kemah" u="1"/>
        <s v="TP24 Transverse NP Comb" u="1"/>
        <s v="TP24 USAA Supplement" u="1"/>
        <s v="TP24 Great American Alt Markets XOL" u="1"/>
        <s v="TP24 Inigo DF Per Risk" u="1"/>
      </sharedItems>
    </cacheField>
    <cacheField name="Subtype" numFmtId="164">
      <sharedItems containsBlank="1" count="8">
        <s v="RSK"/>
        <s v="PR"/>
        <s v="CAT"/>
        <s v="AGG"/>
        <s v="RPP" u="1"/>
        <s v="CTR" u="1"/>
        <m u="1"/>
        <s v="ILW" u="1"/>
      </sharedItems>
    </cacheField>
    <cacheField name="Contract" numFmtId="164">
      <sharedItems containsBlank="1" count="988">
        <s v="TP10020985-2025-2"/>
        <s v="TP10001623-2025-1"/>
        <s v="TP10023041-2025-2"/>
        <s v="TP10000725-2025-5"/>
        <s v="TP10022842-2026-1"/>
        <s v="QA Canada Fac"/>
        <s v="TP0289276A-2026-3"/>
        <s v="AP10000951-2026"/>
        <s v="TP10024857-2026-1"/>
        <s v="AP10001008-2025-1"/>
        <s v="TP10022343-2026-1"/>
        <s v="TP0292748A-2025-2"/>
        <s v="QA London Fac"/>
        <s v="EINAQS"/>
        <s v="TP10022536-2025-1"/>
        <s v="TP10025023-2026-1"/>
        <s v="EIGMarineQS"/>
        <s v="EIID"/>
        <s v="AP10001352-2026-1"/>
        <s v="TP10024459-2025-2"/>
        <s v="AP10001286-2026-1"/>
        <s v="TP10023444-2026-1"/>
        <s v="TP0299423A-2025-1"/>
        <s v="TP0289341A-2026-4"/>
        <s v="TP10018880-2026-1"/>
        <s v="TP10021471-2026-1"/>
        <s v="TP10000736-2025-1"/>
        <s v="QA US Fac"/>
        <s v="TP10019621-2025-1"/>
        <s v="TP0291686A-2025-1"/>
        <s v="EvCanEnergy"/>
        <s v="TP10023847-2026-1"/>
        <s v="TP10022706-2025-1"/>
        <s v="AP10000697-2025-1"/>
        <s v="EIIDAviation"/>
        <s v="TP10022219-2025-2"/>
        <s v="TP10022854-2026-2"/>
        <s v="TP10018044-2025-1"/>
        <s v="TP10023098-2025-1"/>
        <s v="TP0260566A-2025-1"/>
        <s v="TP10023417-2025-1"/>
        <s v="TP0307803B-2025-2"/>
        <s v="TP10019846-2025-1"/>
        <s v="TP10021450-2026-1"/>
        <s v="TP10000457-2025-3"/>
        <s v="TP10021318-2026-1"/>
        <s v="TP0226773A-2025-1"/>
        <s v="TP10003585-2026-1"/>
        <s v="TP10024088-2025-1"/>
        <s v="EIID Energy"/>
        <s v="TP0308847A-2025-1"/>
        <s v="TP10023389-2025-1"/>
        <s v="TP10022788-2025-2"/>
        <s v="AP10000763-2026-2"/>
        <s v="TP10022706-2025-2"/>
        <s v="AP10000741-2025-1"/>
        <s v="TP10024459-2025-3"/>
        <s v="TP10024428-2025-1"/>
        <s v="TP0299349A-2025-4"/>
        <s v="TP0800852A-2026-1"/>
        <s v="TP10018102-2025-1"/>
        <s v="QA LatAm Fac"/>
        <s v="AP10001180-2025-1"/>
        <s v="TP00001242-2025-4"/>
        <s v="TP0276789A-2025-2"/>
        <s v="AP10001174-2025-1"/>
        <s v="TP10018557-2026-5"/>
        <s v="TP0007812L-2026-1"/>
        <s v="TP10022146-2025-1"/>
        <s v="AP10000667-2025-1"/>
        <s v="TP10025001-2026-1"/>
        <s v="TP10000817-2026-1"/>
        <s v="EI000000"/>
        <s v="TP10023954-2026-1"/>
        <s v="TP0290967A-2025-1"/>
        <s v="EF0000000A-2015-1"/>
        <s v="TP10021961-2025-2"/>
        <s v="TP00001432-2025-3"/>
        <s v="TP0289341A-2026-5"/>
        <s v="TP10025117-2025-1"/>
        <s v="AP10001078-2026-1"/>
        <s v="EIMexicoProperty"/>
        <s v="TP10020985-2025-1"/>
        <s v="TP0287158A-2025-2"/>
        <s v="TP00001242-2025-3"/>
        <s v="TP10024037-2026-1"/>
        <s v="TP10001600-2025-4"/>
        <s v="AP10000734-2025"/>
        <s v="TP10000457-2025-2"/>
        <s v="TP0299424A-2025-3"/>
        <s v="TP10022357-2026-1"/>
        <s v="AP10000968-2025-1"/>
        <s v="TP00001412-2025-2"/>
        <s v="AP10001333-2025-1"/>
        <s v="TP10023081-2025-1"/>
        <s v="TP10018843-2026-1"/>
        <s v="TP10024083-2025-1"/>
        <s v="EV0105487A-2026-1"/>
        <s v="TP10024207-2025-3"/>
        <s v="AP10000937-2025-1"/>
        <s v="TP10024123-2025-1"/>
        <s v="TP10023895-2026-1"/>
        <s v="AP10000760-2025-1"/>
        <s v="TP10022945-2025-1"/>
        <s v="TP10018044-2025-3"/>
        <s v="TP10003464-2026-1"/>
        <s v="TP0300387A-2025-2"/>
        <s v="Synd"/>
        <s v="TP0203948A-2025-1"/>
        <s v="TP10001072-2026-1"/>
        <s v="AP10001139-2025-1"/>
        <s v="TP0297955A-2025-3"/>
        <s v="EV10000338-2026-1"/>
        <s v="NULL"/>
        <s v="EN0000000-2017-1"/>
        <s v="TP0308760A-2025-1"/>
        <s v="TP10003230-2026-1"/>
        <s v="TP10020985-2025-3"/>
        <s v="TP10024344-2025-1"/>
        <s v="TP0304504A-2025-2"/>
        <s v="TP10024285-2025-1"/>
        <s v="AP10001357-2026-1"/>
        <s v="TP0299225A-2025-2"/>
        <s v="AP10001235-2025-1"/>
        <s v="TP10023702-2026-1"/>
        <s v="AP10001251-2025-1"/>
        <s v="TP0299870A-2025-1"/>
        <s v="AP0297831C-2025-1"/>
        <s v="AP10001235-2025-2"/>
        <s v="TP10023041-2025-1"/>
        <s v="TP10001721-2025-2"/>
        <s v="TP0289341A-2026-3"/>
        <s v="TP10022788-2025-1"/>
        <s v="TP10002291-2026-1"/>
        <s v="ENBUY"/>
        <s v="SyndCargo"/>
        <s v="EIAmrisc"/>
        <s v="TP10023508-2025-1"/>
        <s v="TP10020108-2025-1"/>
        <s v="TP10023180-2025-2"/>
        <s v="TP10001600-2025-2"/>
        <s v="AP10000657-2025-2"/>
        <s v="AP10000691-2025-1"/>
        <s v="TP10001275-2025-1"/>
        <s v="TP0303202A-2025-1"/>
        <s v="TP00001290-2025-3"/>
        <s v="TP10019729-2025-1"/>
        <s v="TP10022162-2025-1"/>
        <s v="TP0297894A-2025-1"/>
        <s v="TP10020985-2025-4"/>
        <s v="AP10000710-2025-1"/>
        <s v="TP0800777A-2025-4"/>
        <s v="TP00001432-2025-4"/>
        <s v="TP10024754-2025-1"/>
        <s v="TP10000740-2026-1"/>
        <s v="TP10021335-2026-1"/>
        <s v="TP10022818-2025-1"/>
        <s v="TP10022854-2026-1"/>
        <s v="TP10003574-2026-1"/>
        <s v="AP10000607-2026-1"/>
        <s v="TP0007645L-2026-1"/>
        <s v="TP10020098-2026-1"/>
        <s v="TP10020395-2026-1"/>
        <s v="TP0288820A-2026-1"/>
        <s v="AP10001351-2026-2"/>
        <s v="TP10023893-2026-1"/>
        <s v="TP10025303-2026-1"/>
        <s v="TP10025160-2026-1"/>
        <s v="TP10023855-2026-1"/>
        <s v="TP10018794-2026-1"/>
        <s v="TP10023678-2026-1"/>
        <s v="TP10024307-2025-3"/>
        <s v="TP10018260-2026-1"/>
        <s v="TP10001628-2025-1"/>
        <s v="Singapore"/>
        <s v="TP0285875A-2025-3"/>
        <s v="TP10019050-2025-1"/>
        <s v="TP10018577-2025-1"/>
        <s v="TP10024459-2025-1"/>
        <s v="TP10001498-2025-1"/>
        <s v="EP0105441A-2026-1"/>
        <s v="EIIDCargo"/>
        <s v="RR00"/>
        <s v="AP10000478-2026-1"/>
        <s v="TP0296557A-2026-2"/>
        <s v="EISafehold"/>
        <s v="TP0289341A-2026-2"/>
        <s v="TP10023216-2025-1"/>
        <s v="TP10022219-2025-1"/>
        <s v="TP10002128-2026-1"/>
        <s v="TP0299227A-2025-4"/>
        <s v="EV10000039-2026-1"/>
        <s v="AP10001180-2025-2"/>
        <s v="TP10021909-2025-1"/>
        <s v="TP10019925-2025-2"/>
        <s v="TP10021282-2026-2"/>
        <s v="AP10000684-2025-C-1"/>
        <s v="QA Singapore Fac"/>
        <s v="EI00"/>
        <s v="TP10001628-2025-5"/>
        <s v="TP0800930A-2025-1"/>
        <s v="TP10024310-2025-2"/>
        <s v="TP10001387-2025-1"/>
        <s v="TP10018157-2025-2"/>
        <s v="AP10000937-2025-5"/>
        <s v="AP10000081-2025-1"/>
        <s v="TP10002900-2025-1"/>
        <s v="TP10000457-2025-1"/>
        <s v="TP00001416-2025-4"/>
        <s v="TP10022219-2025-3"/>
        <s v="TP10020985-2025-5"/>
        <s v="TP00001412-2025-1"/>
        <s v="AP10000529-2025-1"/>
        <s v="AP10001301-2025-1"/>
        <s v="TP10023546-2026-1"/>
        <s v="TP0281700A-2026-2"/>
        <s v="TP10018854-2026-1"/>
        <s v="TP0296556A-2026-1"/>
        <s v="TP10018870-2026-1"/>
        <s v="TP10019925-2025-1"/>
        <s v="TP10018563-2026-1"/>
        <s v="TP10022527-2026-1"/>
        <s v="TP0289341A-2026-1"/>
        <s v="TP10025250-2026-1"/>
        <s v="TP10025357-2026-1"/>
        <s v="TP10023851-2026-1"/>
        <s v="TP10024032-2026-1"/>
        <s v="TP10018504-2026-1"/>
        <s v="AP10001351-2026-3"/>
        <s v="TP0281090A-2026-1"/>
        <s v="TP0281071A-2026-1"/>
        <s v="AP10001351-2026-1"/>
        <s v="AP10000925-2026"/>
        <s v="EI000"/>
        <s v="TP10001239-2025-1"/>
        <s v="AP10000643-2025-1"/>
        <s v="TP10001600-2025-1"/>
        <s v="AP10000901-2025-1"/>
        <s v="TP10023095-2025-1"/>
        <s v="TP10024310-2025-1"/>
        <s v="AP10000657-2025-1"/>
        <s v="TP10001387-2025-3"/>
        <s v="TP10024309-2025-1"/>
        <s v="TP10018965-2025-1"/>
        <s v="TP0291655A-2025-2"/>
        <s v="TP10020731-2025-1"/>
        <s v="TP10002500-2025-1"/>
        <s v="TP00001290-2025-2"/>
        <s v="AP10001023-2025-1"/>
        <s v="TP10020469-2025-1"/>
        <s v="TP10022235-2025-1"/>
        <s v="TP10023186-2025-1"/>
        <s v="EV0105443A-2026-1"/>
        <s v="TP0281699A-2026-1"/>
        <s v="TP10024307-2025-1"/>
        <s v="TP0308748A-2025-3"/>
        <s v="TP00001412-2025-3"/>
        <s v="AP10001001-2025-1"/>
        <s v="TP10024863-2026-1"/>
        <s v="EC1234567A-2015-1"/>
        <s v="EIM000000-2019-1"/>
        <s v="EISyndEnergy"/>
        <s v="EIPPR"/>
        <s v="AP10000831-2025-1"/>
        <s v="TP10020503-2025-1"/>
        <s v="TP10023180-2025-3"/>
        <s v="TP10022424-2025-7"/>
        <s v="TP10003635-2026-1"/>
        <s v="TP10023647-2026-1"/>
        <s v="TP10023849-2026-1"/>
        <s v="TP10022875-2026-1"/>
        <s v="TP10024207-2025-2"/>
        <s v="TP10023343-2025-1"/>
        <s v="AP10000286-2026-2"/>
        <s v="EV10000104-2026-1"/>
        <s v="EV0105452A-2026-1"/>
        <s v="TP10000736-2025-2"/>
        <s v="AP10000966-2025-1"/>
        <s v="TP10024307-2025-2"/>
        <s v="TP00001442-2025-4"/>
        <s v="TP0301562A-2025-1"/>
        <s v="TP0285874A-2025-2"/>
        <s v="TP10021465-2026-1"/>
        <s v="AP10000612-2026-1"/>
        <s v="TP10024032-2026-2"/>
        <s v="TP10022414-2026-1"/>
        <s v="AP10000625-2025-1"/>
        <s v="TP10023098-2025-2"/>
        <s v="TP10001721-2025-1"/>
        <s v="TP10020926-2025-1"/>
        <s v="AP10001010-2025-1"/>
        <s v="TP10024510-2026-1"/>
        <s v="TP0007578L-2026-1"/>
        <s v="TP10022728-2026-1"/>
        <s v="TP10018794-2026-2"/>
        <s v="TP0276790A-2025-3"/>
        <s v="TP0226783A-2025-2"/>
        <s v="TP10022854-2026-3"/>
        <s v="TP10021549-2026-1"/>
        <s v="EV10000338-2026-2"/>
        <s v="TP10021695-2026-1"/>
        <s v="TP10018696-2026-2"/>
        <s v="AviationBuys"/>
        <s v="TP10022036-2025-1"/>
        <s v="AP10000745-2025-1"/>
        <s v="TP10018696-2026-1"/>
        <s v="TP10024071-2026-1"/>
        <s v="TP10024207-2025-1"/>
        <s v="TP0290965A-2025-3"/>
        <s v="TP10024375-2025-1"/>
        <s v="TP10018834-2026-1"/>
        <s v="TP10023726-2026-1"/>
        <s v="TP10001600-2025-5"/>
        <s v="TP10023158-2025-1"/>
        <s v="TP10022445-2026-1"/>
        <s v="TP00001051-2026-3"/>
        <s v="TP10022842-2026-2"/>
        <s v="TP10018696-2026-3"/>
        <s v="AP10001068-2026-1"/>
        <s v="TP10024031-2026-1"/>
        <s v="AP10000869-2026-1" u="1"/>
        <s v="TP10022218-2026-1" u="1"/>
        <s v="EILAQS" u="1"/>
        <s v="AP10001101-2026-1" u="1"/>
        <s v="TP10019925-2025-3" u="1"/>
        <s v="TP10023095-2025-2" u="1"/>
        <s v="AP10000081-2025-2" u="1"/>
        <s v="TP10000725-2025-3" u="1"/>
        <s v="EV10000156-2025-1" u="1"/>
        <s v="TP10022200-2025-1" u="1"/>
        <s v="TP10022027-2025-1" u="1"/>
        <s v="TP10022027-2025-2" u="1"/>
        <s v="TP00001274-2025-7" u="1"/>
        <s v="TP10021721-2025-1" u="1"/>
        <s v="TP10022527-2026-2" u="1"/>
        <s v="AP10000894-2025-1" u="1"/>
        <s v="TP10023656-2026-1" u="1"/>
        <s v="TP10022897-2025-1" u="1"/>
        <s v="TP10023541-2025-1" u="1"/>
        <s v="TP10023072-2025-1" u="1"/>
        <s v="AP10000565-2025-1" u="1"/>
        <s v="TP10018557-2026-4" u="1"/>
        <s v="TP10022527-2026-3" u="1"/>
        <s v="TP10022414-2026-2" u="1"/>
        <s v="TP10023180-2025-4" u="1"/>
        <s v="TP0298159A-2025-4" u="1"/>
        <s v="TP0298798A-2025-3" u="1"/>
        <s v="TP10024508-2025-1" u="1"/>
        <s v="TP10020748-2025-7" u="1"/>
        <s v="TP10022077-2025-1" u="1"/>
        <s v="TP10022424-2025-1" u="1"/>
        <s v="TP0303558A-2025-4" u="1"/>
        <s v="TP0276941A-2025-1" u="1"/>
        <s v="TP10023460-2025-1" u="1"/>
        <s v="TP10022445-2026-2" u="1"/>
        <s v="TP10022344-2026-1" u="1"/>
        <s v="AP10000869-2026-2" u="1"/>
        <s v="TP10021481-2026-1" u="1"/>
        <s v="TP0281091A-2026-2" u="1"/>
        <s v="TP0296448A-2026-2" u="1"/>
        <s v="TP10020748-2025-2" u="1"/>
        <s v="TP10020748-2025-8" u="1"/>
        <s v="TP10024643-2025-1" u="1"/>
        <s v="AP10000859-2025-1" u="1"/>
        <s v="USENC" u="1"/>
        <s v="AP10000859-2025-2" u="1"/>
        <s v="AP10000881-2025-1" u="1"/>
        <s v="TP0275344A-2026-1" u="1"/>
        <s v="EIChileMarine" u="1"/>
        <s v="TP10022449-2026-1" u="1"/>
        <s v="TP10025077-2026-1" u="1"/>
        <s v="TP10022502-2026-1" u="1"/>
        <s v="TP10024925-2026-1" u="1"/>
        <s v="EIAustraliaEnergy" u="1"/>
        <s v="TP10024111-2025-2" u="1"/>
        <s v="TP10021797-2025-2" u="1"/>
        <s v="TP10021821-2025-1" u="1"/>
        <s v="TP10021797-2025-1" u="1"/>
        <s v="TP0297833A-2025-3" u="1"/>
        <s v="TP10023146-2025-4" u="1"/>
        <s v="TP10024256-2025-1" u="1"/>
        <s v="TP10024206-2025-1" u="1"/>
        <s v="TP10024470-2025-1" u="1"/>
        <s v="TP10024394-2025-2" u="1"/>
        <s v="TP10024394-2025-6" u="1"/>
        <s v="TP10024578-2025-1" u="1"/>
        <s v="TP10022607-2026-2" u="1"/>
        <s v="TP10018875-2026-1" u="1"/>
        <s v="TP0288485A-2026-1" u="1"/>
        <s v="TP0271691A-2025-1" u="1"/>
        <s v="EV10000153-2026-5" u="1"/>
        <s v="TP10003679-2026-1" u="1"/>
        <s v="TP10018869-2026-1" u="1"/>
        <s v="TP10018249-2026-1" u="1"/>
        <s v="TP0288502A-2026-4" u="1"/>
        <s v="AP10001266-2025-2" u="1"/>
        <s v="TP10024599-2025-1" u="1"/>
        <s v="QA Brazil Fac" u="1"/>
        <s v="TP10019846-2024-1" u="1"/>
        <s v="TP10023589-2025-1" u="1"/>
        <s v="TP10023534-2025-1" u="1"/>
        <s v="TP10021695-2025-1" u="1"/>
        <s v="TP0275208A-2025-1" u="1"/>
        <s v="TP10002128-2025-1" u="1"/>
        <s v="TP0259356A-2025-1" u="1"/>
        <s v="TP10023634-2025-1" u="1"/>
        <s v="TP10022403-2025-1" u="1"/>
        <s v="TP10022644-2025-1" u="1"/>
        <s v="TP10018257-2025-1" u="1"/>
        <s v="TP0280885A-2025-2" u="1"/>
        <s v="TP10002887-2025-1" u="1"/>
        <s v="TP10023731-2025-1" u="1"/>
        <s v="TP10021471-2025-2" u="1"/>
        <s v="TP0280886A-2025-3" u="1"/>
        <s v="TP10018260-2025-1" u="1"/>
        <s v="TP10021471-2025-1" u="1"/>
        <s v="TP0281174A-2025-1" u="1"/>
        <s v="TP10023743-2025-1" u="1"/>
        <s v="TP0212649A-2025-1" u="1"/>
        <s v="TP10021465-2025-1" u="1"/>
        <s v="TP0259306A-2025-2" u="1"/>
        <s v="TP10002373-2025-1" u="1"/>
        <s v="EV0105443A-2025-1" u="1"/>
        <s v="TP10018834-2025-1" u="1"/>
        <s v="TP0280950A-2025-1" u="1"/>
        <s v="EV10000039-2025-1" u="1"/>
        <s v="TP10022644-2025-2" u="1"/>
        <s v="TP0280951A-2025-2" u="1"/>
        <s v="TP10018504-2025-1" u="1"/>
        <s v="TP10023954-2025-1" u="1"/>
        <s v="TP0299870A-2024-1" u="1"/>
        <s v="TP0288820A-2025-1" u="1"/>
        <s v="TP10001283-2025-1" u="1"/>
        <s v="TP10000817-2025-1" u="1"/>
        <s v="TP0263490A-2025-1" u="1"/>
        <s v="TP10018563-2025-1" u="1"/>
        <s v="TP10022669-2025-1" u="1"/>
        <s v="EV10000387-2025-1" u="1"/>
        <s v="TP10022608-2025-1" u="1"/>
        <s v="TP0007592L-2025-1" u="1"/>
        <s v="TP10022714-2025-1" u="1"/>
        <s v="TP10001163-2025-1" u="1"/>
        <s v="AP10000464-2025-1" u="1"/>
        <s v="TP10002757-2025-1" u="1"/>
        <s v="TP10024021-2025-1" u="1"/>
        <s v="TP10022875-2025-1" u="1"/>
        <s v="TP10023957-2025-1" u="1"/>
        <s v="TP10018908-2025-1" u="1"/>
        <s v="TP10021887-2025-1" u="1"/>
        <s v="TP0288394A-2025-2" u="1"/>
        <s v="EV10000338-2025-1" u="1"/>
        <s v="TP10004259-2025-1" u="1"/>
        <s v="TP0290713A-2025-2" u="1"/>
        <s v="TP10020098-2025-1" u="1"/>
        <s v="TP10024037-2025-1" u="1"/>
        <s v="TP10003955-2025-1" u="1"/>
        <s v="TP0261975A-2025-2" u="1"/>
        <s v="TP0260739A-2025-1" u="1"/>
        <s v="TP10024020-2025-2" u="1"/>
        <s v="TP10019157-2025-1" u="1"/>
        <s v="TP0290728A-2025-1" u="1"/>
        <s v="TM10000026-2025-1" u="1"/>
        <s v="TP10000568-2025-5" u="1"/>
        <s v="TP10024020-2025-1" u="1"/>
        <s v="TP0288766A-2025-1" u="1"/>
        <s v="TP10024889-2025-1" u="1"/>
        <s v="TP0297507A-2025-1" u="1"/>
        <s v="TP10000735-2025-2" u="1"/>
        <s v="EP0105477A-2025-1" u="1"/>
        <s v="TP0269347A-2025-2" u="1"/>
        <s v="TP0261975A-2025-1" u="1"/>
        <s v="TP0307292A-2025-4" u="1"/>
        <s v="TP0283558A-2025-3" u="1"/>
        <s v="TP0291260A-2025-1" u="1"/>
        <s v="TP10022232-2024-1" u="1"/>
        <s v="AP10000713-2025-1" u="1"/>
        <s v="TP0291262A-2025-2" u="1"/>
        <s v="TP0280952A-2025-3" u="1"/>
        <s v="TP10022608-2025-2" u="1"/>
        <s v="TP0280884A-2025-1" u="1"/>
        <s v="TP10018870-2025-1" u="1"/>
        <s v="TP10022449-2025-1" u="1"/>
        <s v="EV10000229-2025-1" u="1"/>
        <s v="TP10001285-2025-2" u="1"/>
        <s v="EP0105427A-2025-1" u="1"/>
        <s v="TP0290714A-2025-3" u="1"/>
        <s v="TP00000246-2025-1" u="1"/>
        <s v="TP10023243-2025-1" u="1"/>
        <s v="TP10022147-2025-1" u="1"/>
        <s v="TP00000175-2025-1" u="1"/>
        <s v="TP10023947-2025-1" u="1"/>
        <s v="TP10003635-2025-1" u="1"/>
        <s v="TP10000568-2025-3" u="1"/>
        <s v="TP10023164-2025-1" u="1"/>
        <s v="TP10023349-2025-1" u="1"/>
        <s v="TP10021281-2025-1" u="1"/>
        <s v="TP0301366A-2025-2" u="1"/>
        <s v="TP10003622-2025-1" u="1"/>
        <s v="TP10022608-2025-3" u="1"/>
        <s v="TP00000238-2025-3" u="1"/>
        <s v="TP10018986-2025-1" u="1"/>
        <s v="TP10024020-2025-3" u="1"/>
        <s v="EV10000229-2025-2" u="1"/>
        <s v="TP0306139A-2025-2" u="1"/>
        <s v="TP0288392A-2025-1" u="1"/>
        <s v="TP10019157-2025-2" u="1"/>
        <s v="TP10000303-2025-1" u="1"/>
        <s v="TP10021908-2025-1" u="1"/>
        <s v="EP0105416A-2025-1" u="1"/>
        <s v="TP10021649-2025-1" u="1"/>
        <s v="TP0275197A-2025-4" u="1"/>
        <s v="TP10000735-2025-3" u="1"/>
        <s v="TP0264439A-2025-1" u="1"/>
        <s v="TP0249832A-2025-1" u="1"/>
        <s v="TP10023035-2025-1" u="1"/>
        <s v="MA0000000" u="1"/>
        <s v="TP10023687-2025-1" u="1"/>
        <s v="TP0231270A-2025-2" u="1"/>
        <s v="TP10023554-2025-1" u="1"/>
        <s v="TP10023554-2025-2" u="1"/>
        <s v="TP0006098L-2025-1" u="1"/>
        <s v="TP10000857-2025-1" u="1"/>
        <s v="TP10022854-2025-1" u="1"/>
        <s v="TP10003901-2025-1" u="1"/>
        <s v="EIGMarineXL1" u="1"/>
        <s v="TP10023554-2025-3" u="1"/>
        <s v="TP10022747-2025-1" u="1"/>
        <s v="TP10022170-2025-1" u="1"/>
        <s v="TP10020933-2025-3" u="1"/>
        <s v="TP10000568-2025-2" u="1"/>
        <s v="TP0303329A-2025-3" u="1"/>
        <s v="TP10004288-2025-1" u="1"/>
        <m u="1"/>
        <s v="EV10000104-2025-1" u="1"/>
        <s v="EP0206186A-2025-2" u="1"/>
        <s v="TP10003651-2025-1" u="1"/>
        <s v="TP00000238-2025-4" u="1"/>
        <s v="TP10000735-2025-4" u="1"/>
        <s v="TP10024292-2025-1" u="1"/>
        <s v="TP0800711A-2024-1" u="1"/>
        <s v="TP10018260-2024-1" u="1"/>
        <s v="TP10002887-2024-1" u="1"/>
        <s v="TP10018504-2024-1" u="1"/>
        <s v="TP10003635-2024-1" u="1"/>
        <s v="TP10002128-2024-1" u="1"/>
        <s v="TP10021465-2024-1" u="1"/>
        <s v="TP10022312-2024-1" u="1"/>
        <s v="TP0800852A-2024-1" u="1"/>
        <s v="TP10021408-2024-1" u="1"/>
        <s v="TP10022536-2024-1" u="1"/>
        <s v="TP10002757-2024-1" u="1"/>
        <s v="TP10022875-2024-1" u="1"/>
        <s v="TP10018257-2024-1" u="1"/>
        <s v="TP10001163-2024-1" u="1"/>
        <s v="TP0800930A-2024-1" u="1"/>
        <s v="TP10019664-2024-1" u="1"/>
        <s v="TP00001412-2024-1" u="1"/>
        <s v="TP00001412-2024-2" u="1"/>
        <s v="TP00001412-2024-3" u="1"/>
        <s v="TP10001721-2024-1" u="1"/>
        <s v="TP0800777A-2024-4" u="1"/>
        <s v="TP10022146-2024-1" u="1"/>
        <s v="TP0800856A-2024-2" u="1"/>
        <s v="TP0800847A-2024-1" u="1"/>
        <s v="TP0800995A-2024-1" u="1"/>
        <s v="TP10021908-2024-1" u="1"/>
        <s v="TP10023399-2024-1" u="1"/>
        <s v="TP0299870A-2023-1" u="1"/>
        <s v="TP10003622-2024-1" u="1"/>
        <s v="TP10021471-2024-2" u="1"/>
        <s v="EP0105441A-2024-1" u="1"/>
        <s v="EV10000039-2024-1" u="1"/>
        <s v="EV0105443A-2024-1" u="1"/>
        <s v="EV10000338-2024-1" u="1"/>
        <s v="EV10000229-2024-1" u="1"/>
        <s v="EP0105427A-2024-1" u="1"/>
        <s v="EV10000104-2024-1" u="1"/>
        <s v="EP0105416A-2024-1" u="1"/>
        <s v="AP10000763-2024-1" u="1"/>
        <s v="AP10000217-2024-1" u="1"/>
        <s v="AP10000612-2024-1" u="1"/>
        <s v="AP10000657-2024" u="1"/>
        <s v="AP10000811-2024-1" u="1"/>
        <s v="AP10000925-2024" u="1"/>
        <s v="AP10000610-2024" u="1"/>
        <s v="AP10000529-2023" u="1"/>
        <s v="AP10000734-2024" u="1"/>
        <s v="AP10000966-2024" u="1"/>
        <s v="AP10000516-2023-1" u="1"/>
        <s v="AP10001001-2024-1" u="1"/>
        <s v="AP10001010-2024-1" u="1"/>
        <s v="AP10000963-2024" u="1"/>
        <s v="AP10000968-2024" u="1"/>
        <s v="FP10105451-2024" u="1"/>
        <s v="AP10000745-2023" u="1"/>
        <s v="AP10000562-2023-1" u="1"/>
        <s v="AP10000691-2024" u="1"/>
        <s v="TP10022011-2024" u="1"/>
        <s v="TP10019846-2023-1" u="1"/>
        <s v="TP0007645L-2024-1" u="1"/>
        <s v="TP10018834-2024-1" u="1"/>
        <s v="TP10021549-2024-1" u="1"/>
        <s v="TP10018843-2024-1" u="1"/>
        <s v="TP0007812L-2024-1" u="1"/>
        <s v="TP0007860L-2024-1" u="1"/>
        <s v="TP0007578L-2024-1" u="1"/>
        <s v="TP10018870-2024-1" u="1"/>
        <s v="TP10020098-2024" u="1"/>
        <s v="TP10021960-2024-2" u="1"/>
        <s v="TP10021960-2024-1" u="1"/>
        <s v="TP10018577-2024-1" u="1"/>
        <s v="TP10022965-2024-1" u="1"/>
        <s v="TP10002373-2024-1" u="1"/>
        <s v="TP10018102-2024-1" u="1"/>
        <s v="TP0304996A-2024-1" u="1"/>
        <s v="TP0296444A-2024-1" u="1"/>
        <s v="TP10019864-2024-1" u="1"/>
        <s v="TP10019864-2024-2" u="1"/>
        <s v="TP10019864-2024-3" u="1"/>
        <s v="TP10021811-2024-1" u="1"/>
        <s v="TP0282797A-2024-1" u="1"/>
        <s v="TP10018249-2023-1" u="1"/>
        <s v="TP10021335-2024-1" u="1"/>
        <s v="TP0281699A-2024-1" u="1"/>
        <s v="TP10021318-2023-1" u="1"/>
        <s v="TP0281700A-2024-2" u="1"/>
        <s v="TP10022377-2024-1" u="1"/>
        <s v="TP00001051-2024-3" u="1"/>
        <s v="TP10002019-2024-1" u="1"/>
        <s v="TP10002019-2024-2" u="1"/>
        <s v="TP10018696-2024-1" u="1"/>
        <s v="TP10001072-2024-1" u="1"/>
        <s v="TP10022527-2024-1" u="1"/>
        <s v="TP10022527-2024-2" u="1"/>
        <s v="TP10002291-2024-1" u="1"/>
        <s v="TP10022527-2024-3" u="1"/>
        <s v="TP10022527-2024-4" u="1"/>
        <s v="TP10003574-2024-1" u="1"/>
        <s v="TP10020395-2024-1" u="1"/>
        <s v="TP10022706-2024-1" u="1"/>
        <s v="TP0296556A-2024-1" u="1"/>
        <s v="TP10003230-2024-1" u="1"/>
        <s v="TP0288820A-2024-1" u="1"/>
        <s v="TP0281071A-2024-1" u="1"/>
        <s v="TP0296383A-2024-1" u="1"/>
        <s v="TP00001105-2024-4" u="1"/>
        <s v="TP10022669-2024-1" u="1"/>
        <s v="TP10001623-2024-1" u="1"/>
        <s v="TP10022887-2024-1" u="1"/>
        <s v="TP10018563-2024-1" u="1"/>
        <s v="TP10002508-2024-1" u="1"/>
        <s v="TP10022974-2024-1" u="1"/>
        <s v="TP10003855-2024-1" u="1"/>
        <s v="TP10021558-2024-3" u="1"/>
        <s v="TP10020761-2024-3" u="1"/>
        <s v="TP10001283-2024-1" u="1"/>
        <s v="TP10020761-2024-4" u="1"/>
        <s v="TP10021807-2024-1" u="1"/>
        <s v="TP10020748-2024-5" u="1"/>
        <s v="TP10000736-2024-1" u="1"/>
        <s v="TP10022760-2024-1" u="1"/>
        <s v="TP10003585-2024-1" u="1"/>
        <s v="TP10022865-2024-3" u="1"/>
        <s v="TP10000736-2024-2" u="1"/>
        <s v="TP10022865-2024-1" u="1"/>
        <s v="TP10021558-2024-1" u="1"/>
        <s v="TP10023002-2024-1" u="1"/>
        <s v="TP10001498-2024-1" u="1"/>
        <s v="TP0299173A-2024-2" u="1"/>
        <s v="TP10020748-2024-3" u="1"/>
        <s v="TP0291686A-2024-1" u="1"/>
        <s v="TP10020935-2024-1" u="1"/>
        <s v="TP0299175A-2024-6" u="1"/>
        <s v="TP0287158A-2024-2" u="1"/>
        <s v="TP10020935-2024-2" u="1"/>
        <s v="TP0299174A-2024-4" u="1"/>
        <s v="TP10023118-2024-1" u="1"/>
        <s v="TP10020935-2024-3" u="1"/>
        <s v="TP10021955-2024-1" u="1"/>
        <s v="TP10023118-2024-2" u="1"/>
        <s v="TP0299424A-2024-3" u="1"/>
        <s v="TP10020761-2024-2" u="1"/>
        <s v="TP0297953A-2024-1" u="1"/>
        <s v="TP0297954A-2024-2" u="1"/>
        <s v="TP10023142-2024-1" u="1"/>
        <s v="TP10019598-2024-1" u="1"/>
        <s v="TP10021879-2024-1" u="1"/>
        <s v="TP0297955A-2024-3" u="1"/>
        <s v="TP00001339-2024-4" u="1"/>
        <s v="TP10023264-2024-1" u="1"/>
        <s v="TP10021879-2024-2" u="1"/>
        <s v="TP10019621-2024-1" u="1"/>
        <s v="TP0307803B-2024-2" u="1"/>
        <s v="TP10023157-2024-4" u="1"/>
        <s v="TP10021879-2024-3" u="1"/>
        <s v="TP00001339-2024-6" u="1"/>
        <s v="TP10023157-2024-5" u="1"/>
        <s v="TP00001339-2024-5" u="1"/>
        <s v="TP10020731-2024-1" u="1"/>
        <s v="TP0301562A-2024-1" u="1"/>
        <s v="TP10021187-2024-4" u="1"/>
        <s v="TP0290967A-2024-1" u="1"/>
        <s v="TP10023107-2024-1" u="1"/>
        <s v="TP10020926-2024-1" u="1"/>
        <s v="TP10021187-2024-5" u="1"/>
        <s v="TP10020108-2024-1" u="1"/>
        <s v="TP10023119-2024-2" u="1"/>
        <s v="TP00001242-2024-6" u="1"/>
        <s v="TP10023119-2024-1" u="1"/>
        <s v="TP0303202A-2024-1" u="1"/>
        <s v="TP0203948A-2024-1" u="1"/>
        <s v="TP10021914-2024-1" u="1"/>
        <s v="TP10023119-2024-3" u="1"/>
        <s v="TP0299423A-2024-1" u="1"/>
        <s v="TP00001432-2024-4" u="1"/>
        <s v="TP0276495B-2024-1" u="1"/>
        <s v="TP10020970-2024-1" u="1"/>
        <s v="TP10001470-2024-4" u="1"/>
        <s v="TP0226773A-2024-1" u="1"/>
        <s v="TP10021907-2024-1" u="1"/>
        <s v="TP10021212-2024-2" u="1"/>
        <s v="TP0226783A-2024-2" u="1"/>
        <s v="TP10023217-2024-1" u="1"/>
        <s v="TP0298798A-2024-3" u="1"/>
        <s v="TP00001361-2024-6" u="1"/>
        <s v="TP10020985-2024-2" u="1"/>
        <s v="TP10023216-2024-1" u="1"/>
        <s v="TP0304504A-2024-2" u="1"/>
        <s v="TP10020469-2024-1" u="1"/>
        <s v="TP10022162-2024-1" u="1"/>
        <s v="TP10021088-2024-1" u="1"/>
        <s v="TP0298698A-2024-7" u="1"/>
        <s v="TP0308760A-2024-1" u="1"/>
        <s v="TP10021909-2024-1" u="1"/>
        <s v="TP10021212-2024-5" u="1"/>
        <s v="TP10023119-2024-5" u="1"/>
        <s v="TP0285874A-2024-2" u="1"/>
        <s v="TP10021212-2024-3" u="1"/>
        <s v="TP10019729-2024-1" u="1"/>
        <s v="TP10023119-2024-6" u="1"/>
        <s v="TP0298697A-2024-5" u="1"/>
        <s v="TP10022235-2024-1" u="1"/>
        <s v="TP10023119-2024-7" u="1"/>
        <s v="TP10023217-2024-3" u="1"/>
        <s v="TP10001519-2024-1" u="1"/>
        <s v="TP10023192-2024-1" u="1"/>
        <s v="TP0260566A-2024-1" u="1"/>
        <s v="TP10023217-2024-2" u="1"/>
        <s v="TP10023157-2024-2" u="1"/>
        <s v="TP10023157-2024-3" u="1"/>
        <s v="TP00001442-2024-1" u="1"/>
        <s v="TP00001242-2024-3" u="1"/>
        <s v="TP10023161-2024-1" u="1"/>
        <s v="TP0292748A-2024-2" u="1"/>
        <s v="TP10023186-2024-1" u="1"/>
        <s v="TP0304232A-2024-5" u="1"/>
        <s v="TP0304232A-2024-3" u="1"/>
        <s v="TP10023313-2024-1" u="1"/>
        <s v="TP00001361-2024-5" u="1"/>
        <s v="TP00001361-2024-3" u="1"/>
        <s v="TP00001361-2024-4" u="1"/>
        <s v="TP00001432-2024-3" u="1"/>
        <s v="TP10020985-2024-3" u="1"/>
        <s v="TP10020985-2024-4" u="1"/>
        <s v="TP10020985-2024-5" u="1"/>
        <s v="TP10020985-2024-1" u="1"/>
        <s v="TP10018044-2024-3" u="1"/>
        <s v="TP10002900-2024-1" u="1"/>
        <s v="TP0276789A-2024-2" u="1"/>
        <s v="TP10018044-2024-1" u="1"/>
        <s v="TP10000725-2024-5" u="1"/>
        <s v="TP0285875A-2024-3" u="1"/>
        <s v="TP10020410-2024-1" u="1"/>
        <s v="TP10019676-2024-1" u="1"/>
        <s v="TP10023106-2024-1" u="1"/>
        <s v="TP10023192-2024-2" u="1"/>
        <s v="TP10023142-2024-2" u="1"/>
        <s v="TP10021914-2024-3" u="1"/>
        <s v="TP10021076-2024-4" u="1"/>
        <s v="TP10021187-2024-6" u="1"/>
        <s v="TP10023113-2024-1" u="1"/>
        <s v="TP10020970-2024-2" u="1"/>
        <s v="TP0210324A-2024-1" u="1"/>
        <s v="TP10023106-2024-2" u="1"/>
        <s v="TP0261323A-2024-1" u="1"/>
        <s v="TP0298799A-2024-4" u="1"/>
        <s v="TP10022865-2024-2" u="1"/>
        <s v="TP10020748-2024-2" u="1"/>
        <s v="TP10022887-2024-2" u="1"/>
        <s v="TP10023002-2024-2" u="1"/>
        <s v="TP0175016A-2024-1" u="1"/>
        <s v="TP10022974-2024-2" u="1"/>
        <s v="TP10020761-2024-5" u="1"/>
        <s v="TP10000696-2024-1" u="1"/>
        <s v="TP10000740-2024-1" u="1"/>
        <s v="TP10022377-2024-2" u="1"/>
        <s v="TP10022314-2024-1" u="1"/>
        <s v="TP10003614-2024-2" u="1"/>
        <s v="TP10003614-2024-1" u="1"/>
        <s v="TP10021281-2024-1" u="1"/>
        <s v="TP0280884A-2024-1" u="1"/>
        <s v="TP0280885A-2024-2" u="1"/>
        <s v="TP10021649-2024-1" u="1"/>
        <s v="TP10021281-2024-2" u="1"/>
        <s v="TP0280886A-2024-3" u="1"/>
        <s v="TP10003651-2024-1" u="1"/>
        <s v="TP10003129-2024-4" u="1"/>
        <s v="TP10003129-2024-3" u="1"/>
        <s v="TP0274415A-2024-1" u="1"/>
        <s v="TP10021987-2024-1" u="1"/>
        <s v="TP10003717-2024-3" u="1"/>
        <s v="TP10022676-2024-1" u="1"/>
        <s v="TP0281702A-2024-2" u="1"/>
        <s v="TP10001285-2024-2" u="1"/>
        <s v="TP10000857-2024-1" u="1"/>
        <s v="TP10001285-2024-1" u="1"/>
        <s v="TP10022712-2024-2" u="1"/>
        <s v="TP10004288-2024-1" u="1"/>
        <s v="TP10022581-2024-1" u="1"/>
        <s v="TP0275344A-2024-1" u="1"/>
        <s v="TP10022842-2024-1" u="1"/>
        <s v="TP10021668-2024-1" u="1"/>
        <s v="TP10022854-2024-3" u="1"/>
        <s v="TP10018792-2024-1" u="1"/>
        <s v="TP10020748-2024-4" u="1"/>
        <s v="TP0288455A-2024-1" u="1"/>
        <s v="TP0218676A-2024-2" u="1"/>
        <s v="TP0258887A-2024-1" u="1"/>
        <s v="TP10022956-2024-1" u="1"/>
        <s v="TP10022854-2024-1" u="1"/>
        <s v="TP0272361A-2024-3" u="1"/>
        <s v="TP10018986-2024-1" u="1"/>
        <s v="TP10000303-2024-1" u="1"/>
        <s v="TP10003855-2024-2" u="1"/>
        <s v="TP10019240-2024-1" u="1"/>
        <s v="TP10020970-2024-3" u="1"/>
        <s v="TP10002509-2024-1" u="1"/>
        <s v="TP10021955-2024-2" u="1"/>
        <s v="TP10004259-2024-1" u="1"/>
        <s v="TP10001388-2024-1" u="1"/>
        <s v="TP10021761-2024-1" u="1"/>
        <s v="TP0292824A-2024-2" u="1"/>
        <s v="TP10023107-2024-2" u="1"/>
        <s v="TP0292827A-2024-3" u="1"/>
        <s v="TP10022021-2024-1" u="1"/>
        <s v="TP0299389B-2024-1" u="1"/>
        <s v="TP10020933-2024-3" u="1"/>
        <s v="TP0308523A-2024-2" u="1"/>
        <s v="TP10022134-2024-3" u="1"/>
        <s v="TP10021907-2024-2" u="1"/>
        <s v="TP10023157-2024-6" u="1"/>
        <s v="TP10021088-2024-2" u="1"/>
        <s v="TP10023263-2024-1" u="1"/>
        <s v="TP10022130-2024-3" u="1"/>
        <s v="TP00001242-2024-4" u="1"/>
        <s v="TP10023410-2024-1" u="1"/>
        <s v="TP10022149-2024-2" u="1"/>
        <s v="TP10023245-2024-1" u="1"/>
        <s v="TP10021152-2024-2" u="1"/>
        <s v="TP0304449A-2024-1" u="1"/>
        <s v="CB0000005L-2023-1" u="1"/>
        <s v="EP0105477A-2024-1" u="1"/>
        <s v="FP10104644-2024" u="1"/>
        <s v="AP10000079-2024" u="1"/>
        <s v="TP0276495A-2024-2" u="1"/>
        <s v="TP10018570-2024-1" u="1"/>
        <s v="TP10022502-2024-1" u="1"/>
        <s v="TP10022449-2024-1" u="1"/>
        <s v="TP10003482-2024-1" u="1"/>
        <s v="TP10022875-2024" u="1"/>
        <s v="FP" u="1"/>
        <s v="AP10000685-2023" u="1"/>
        <s v="TP0007578L-2024" u="1"/>
        <s v="TP10018577-2023-1" u="1"/>
        <s v="TP10019846-2023" u="1"/>
        <s v="TP0285495A-2024-1" u="1"/>
        <s v="FP10091866-2023-1" u="1"/>
        <s v="TP10022234-2023-1" u="1"/>
        <s v="TP0800728A-2024-5" u="1"/>
        <s v="TP10022416-2024-1" u="1"/>
        <s v="TP10018763-2024-1" u="1"/>
        <s v="TP10022987-2024-1" u="1"/>
        <s v="TP0800728A-2024-1" u="1"/>
        <s v="TP10022416-2024-2" u="1"/>
        <s v="TP10004218-2024-1" u="1"/>
        <s v="TP0800925A-2024-1" u="1"/>
        <s v="TP10023191-2024-1" u="1"/>
        <s v="TP10003120-2024-1" u="1"/>
        <s v="TP10021633-2024-1" u="1"/>
        <s v="TP10001721-2024-2" u="1"/>
        <s v="TP10003095-2024-1" u="1"/>
        <s v="EP0207159A-2024-1" u="1"/>
        <s v="TP10021876-2024-1" u="1"/>
        <s v="TP10022714-2024-1" u="1"/>
        <s v="TP0007750L-2024-1" u="1"/>
        <s v="TP0007592L-2024-1" u="1"/>
        <s v="TP0301793A-2024-1" u="1"/>
        <s v="TP0308776A-2024-1" u="1"/>
        <s v="TP10021528-2024-1" u="1"/>
        <s v="TP10021528-2024-2" u="1"/>
        <s v="TP10020930-2024-2" u="1"/>
        <s v="TP0301113A-2024-1" u="1"/>
        <s v="TP10000277-2024-1" u="1"/>
        <s v="TP10022231-2024-1" u="1"/>
        <s v="TP0306404A-2024-2" u="1"/>
        <s v="TP10020930-2024-1" u="1"/>
        <s v="TP0288502A-2024-4" u="1"/>
        <s v="TP0288485A-2024-1" u="1"/>
        <s v="TP10004137-2024-1" u="1"/>
        <s v="TP10022579-2024-1" u="1"/>
        <s v="TP10000277-2024-2" u="1"/>
        <s v="TP10022415-2024-1" u="1"/>
        <s v="TP0288417A-2024-1" u="1"/>
        <s v="TP10000431-2024-1" u="1"/>
        <s v="TP0276546A-2024-1" u="1"/>
        <s v="TP10023293-2024-1" u="1"/>
        <s v="TP00001361-2024-7" u="1"/>
        <s v="TP10022693-2024-1" u="1"/>
        <s v="TP10020761-2024-6" u="1"/>
        <s v="TP10023142-2024-3" u="1"/>
        <s v="TP10022015-2024-1" u="1"/>
        <s v="TP10022139-2024-1" u="1"/>
        <s v="TP10020739-2024-1" u="1"/>
        <s v="TP10018521-2024-1" u="1"/>
        <s v="TP10001470-2024-3" u="1"/>
        <s v="TP10020456-2024-1" u="1"/>
        <s v="TP0306230A-2024-7" u="1"/>
        <s v="TP10023192-2024-3" u="1"/>
        <s v="TP0299501A-2024-1" u="1"/>
        <s v="TP10003149-2024-1" u="1"/>
        <s v="TP0271461A-2024-1" u="1"/>
        <s v="TP10023183-2024-1" u="1"/>
        <s v="TP10023106-2024-3" u="1"/>
        <s v="TP10022415-2024-2" u="1"/>
        <s v="TP10021506-2024-1" u="1"/>
        <s v="TP10019178-2024-1" u="1"/>
        <s v="TP10002594-2024-2" u="1"/>
        <s v="TP10021187-2024-7" u="1"/>
        <s v="TP10021076-2024-2" u="1"/>
        <s v="TP10022969-2024-4" u="1"/>
        <s v="TP0272362A-2024-6" u="1"/>
        <s v="TP10020935-2024-7" u="1"/>
        <s v="TP10022854-2024-2" u="1"/>
        <s v="TP10022179-2024-1" u="1"/>
        <s v="TP0290624A-2024-2" u="1"/>
        <s v="TP10023305-2024-1" u="1"/>
        <s v="TP0301036A-2024-1" u="1"/>
        <s v="TP10022676-2024-2" u="1"/>
        <s v="TP0283320A-2024-3" u="1"/>
        <s v="TP10001519-2024-2" u="1"/>
        <s v="TP10001628-2024-1" u="1"/>
        <s v="TP0304232A-2024-4" u="1"/>
        <s v="TP10022657-2024-1" u="1"/>
        <s v="TP10023406-2024-1" u="1"/>
        <s v="TP10003901-2024-1" u="1"/>
        <s v="TP10023407-2024-1" u="1"/>
        <s v="TP10021152-2024-3" u="1"/>
        <s v="TP0284329A-2024-1" u="1"/>
        <s v="TP10023217-2024-4" u="1"/>
        <s v="TP10020754-2024-1" u="1"/>
        <s v="TP10021879-2024-4" u="1"/>
        <s v="TP10022198-2024-2" u="1"/>
        <s v="TP10022712-2024-1" u="1"/>
        <s v="TP10022149-2024-3" u="1"/>
        <s v="TP10021339-2024-1" u="1"/>
        <s v="TP0298799A-2024-5" u="1"/>
        <s v="TP10021261-2024-1" u="1"/>
        <s v="TP10019366-2024-1" u="1"/>
        <s v="TP10001602-2024-1" u="1"/>
        <s v="TP10022234-2023-2" u="1"/>
        <s v="TP10021914-2024-4" u="1"/>
        <s v="TP0258887A-2024-3" u="1"/>
        <s v="TP10001388-2024-2" u="1"/>
        <s v="TP10023300-2024-1" u="1"/>
        <s v="TP10023106-2024-4" u="1"/>
        <s v="TP10023118-2024-3" u="1"/>
        <s v="TP10023107-2024-3" u="1"/>
        <s v="TP10021281-2024-3" u="1"/>
        <s v="TP10019922-2023-1" u="1"/>
        <s v="TP10022021-2024-2" u="1"/>
        <s v="TP10021998-2024-1" u="1"/>
        <s v="TP0291231A-2024-1" u="1"/>
        <s v="TP00001416-2024-4" u="1"/>
        <s v="TP10018794-2024-1" u="1"/>
        <s v="TP0296557A-2024-2" u="1"/>
        <s v="TP0289276A-2024-3" u="1"/>
        <s v="TP0304232A-2024-1" u="1"/>
        <s v="TP10022706-2024-2" u="1"/>
      </sharedItems>
    </cacheField>
    <cacheField name="Everest Limit" numFmtId="164">
      <sharedItems containsSemiMixedTypes="0" containsString="0" containsNumber="1" minValue="-581822064.94468796" maxValue="2443408102" count="662">
        <n v="2370062.3813999998"/>
        <n v="2250000"/>
        <n v="900000"/>
        <n v="1000000"/>
        <n v="27010805.971677601"/>
        <n v="71136509.881500006"/>
        <n v="52500000"/>
        <n v="7669590.4588918304"/>
        <n v="1125000"/>
        <n v="87372584.063106105"/>
        <n v="152353276.241009"/>
        <n v="84868955.288334802"/>
        <n v="-337886333.38"/>
        <n v="22336875"/>
        <n v="99996000"/>
        <n v="-21336730.800000001"/>
        <n v="1012412391.53"/>
        <n v="650000"/>
        <n v="829182.49450000003"/>
        <n v="2500000"/>
        <n v="13500000"/>
        <n v="6000000"/>
        <n v="8000000"/>
        <n v="7200000"/>
        <n v="8744441.9860839806"/>
        <n v="525000"/>
        <n v="1347147300"/>
        <n v="266144997.75758201"/>
        <n v="16877119"/>
        <n v="66506138"/>
        <n v="394874353.98000002"/>
        <n v="8250000"/>
        <n v="103566650"/>
        <n v="180000"/>
        <n v="13000000"/>
        <n v="21503083.149999999"/>
        <n v="350000"/>
        <n v="700000"/>
        <n v="1800000"/>
        <n v="1500000"/>
        <n v="12000000"/>
        <n v="375000"/>
        <n v="5250000"/>
        <n v="2245050"/>
        <n v="9217500"/>
        <n v="3750000"/>
        <n v="4157913.60481088"/>
        <n v="3000000"/>
        <n v="7500000"/>
        <n v="22732750"/>
        <n v="100178784.83"/>
        <n v="4000000"/>
        <n v="63556412.625237398"/>
        <n v="58990116"/>
        <n v="3032192.2302246098"/>
        <n v="800000"/>
        <n v="9000000"/>
        <n v="200000"/>
        <n v="500000"/>
        <n v="746029.98149999999"/>
        <n v="9375000"/>
        <n v="11250000"/>
        <n v="3062500"/>
        <n v="10000000"/>
        <n v="88718863.125521794"/>
        <n v="20000000"/>
        <n v="6875000"/>
        <n v="5174783.8514999999"/>
        <n v="1250000"/>
        <n v="600000"/>
        <n v="3375000"/>
        <n v="5913368.0010000002"/>
        <n v="12500000"/>
        <n v="8500000"/>
        <n v="1020000"/>
        <n v="26250000"/>
        <n v="324867092.31"/>
        <n v="35000000"/>
        <n v="18000000"/>
        <n v="803852369.37632203"/>
        <n v="2000000"/>
        <n v="625000"/>
        <n v="352227968.97000003"/>
        <n v="1410737.5386000001"/>
        <n v="3300000"/>
        <n v="17100000"/>
        <n v="5229116.5109999999"/>
        <n v="1875000"/>
        <n v="6500000"/>
        <n v="8810414.67189789"/>
        <n v="6250000"/>
        <n v="41724794.761047699"/>
        <n v="3813046.875"/>
        <n v="14875000"/>
        <n v="7216882.2856000001"/>
        <n v="542972.55599999998"/>
        <n v="5683187.5"/>
        <n v="1313664008"/>
        <n v="7000000"/>
        <n v="1700000"/>
        <n v="118073386.87"/>
        <n v="475000"/>
        <n v="465335789.79000002"/>
        <n v="67500000"/>
        <n v="2063250"/>
        <n v="9985136.6281509399"/>
        <n v="0"/>
        <n v="1127187540.1500001"/>
        <n v="19175000"/>
        <n v="280000"/>
        <n v="53671848.623498403"/>
        <n v="23293518.515325401"/>
        <n v="4500000"/>
        <n v="11326690.76"/>
        <n v="58298719"/>
        <n v="1299970306"/>
        <n v="45686581.967204303"/>
        <n v="750000"/>
        <n v="10500000"/>
        <n v="5094000"/>
        <n v="17215620.1601028"/>
        <n v="24995559"/>
        <n v="150000"/>
        <n v="562500"/>
        <n v="124695899.280228"/>
        <n v="494435487.81273699"/>
        <n v="60795147.652807899"/>
        <n v="13173969.359999999"/>
        <n v="-53237924.369999997"/>
        <n v="94035376.159999996"/>
        <n v="281765820.48000002"/>
        <n v="3920000"/>
        <n v="2750000"/>
        <n v="3150000"/>
        <n v="2705205.46"/>
        <n v="1575000"/>
        <n v="330000"/>
        <n v="285000"/>
        <n v="787500"/>
        <n v="50000000"/>
        <n v="4950000"/>
        <n v="15000000"/>
        <n v="9600000"/>
        <n v="1050000"/>
        <n v="300000"/>
        <n v="825000"/>
        <n v="15150393.960000001"/>
        <n v="73500000"/>
        <n v="2800000"/>
        <n v="3200000"/>
        <n v="2021042.6874333001"/>
        <n v="175000"/>
        <n v="1690451.1705"/>
        <n v="46647943.011836402"/>
        <n v="8750000"/>
        <n v="37355599.248012401"/>
        <n v="1391867.3"/>
        <n v="1162775.0745000001"/>
        <n v="202012148.33000001"/>
        <n v="5775000"/>
        <n v="594927.44550000003"/>
        <n v="7312500"/>
        <n v="12334580.540657099"/>
        <n v="45172943.490000002"/>
        <n v="-2092219.9"/>
        <n v="450000"/>
        <n v="7972746.9500000002"/>
        <n v="82329301.432682499"/>
        <n v="25000000"/>
        <n v="5000000"/>
        <n v="572880433.78864801"/>
        <n v="16151628.977281"/>
        <n v="112658565.33570901"/>
        <n v="689002647.25189602"/>
        <n v="140720073.28258401"/>
        <n v="48587349.7713634"/>
        <n v="16348609.506002501"/>
        <n v="25670000"/>
        <n v="1930756483"/>
        <n v="32450004.57"/>
        <n v="704434.61609999998"/>
        <n v="7800000"/>
        <n v="4375000"/>
        <n v="1452718.6726500001"/>
        <n v="5625000"/>
        <n v="16910088.359999999"/>
        <n v="1200000"/>
        <n v="40000000"/>
        <n v="15495000"/>
        <n v="210000"/>
        <n v="31500000"/>
        <n v="9800000"/>
        <n v="53352382.411124997"/>
        <n v="154904533.31820899"/>
        <n v="226363672.53999999"/>
        <n v="312500"/>
        <n v="42089350.185000002"/>
        <n v="337500"/>
        <n v="875000"/>
        <n v="6975000"/>
        <n v="2100000"/>
        <n v="1725000"/>
        <n v="39658812.313482799"/>
        <n v="2438994.2000000002"/>
        <n v="212006444.00703099"/>
        <n v="166785782.88660601"/>
        <n v="83656552.490421593"/>
        <n v="89508914"/>
        <n v="1133398288.04"/>
        <n v="188117955.44999999"/>
        <n v="95285572.239999995"/>
        <n v="-206418014.86000001"/>
        <n v="8400000"/>
        <n v="14700000"/>
        <n v="817989.91020000004"/>
        <n v="850000"/>
        <n v="17500000"/>
        <n v="5000100"/>
        <n v="6750000"/>
        <n v="87500"/>
        <n v="473527.0416"/>
        <n v="62314120.225133099"/>
        <n v="6499999.7999999998"/>
        <n v="20904000"/>
        <n v="42500000"/>
        <n v="12114900"/>
        <n v="3403678.8454999998"/>
        <n v="24000000"/>
        <n v="14528700.2574757"/>
        <n v="2906060.2170000002"/>
        <n v="-11501738.939999999"/>
        <n v="2062500"/>
        <n v="13215622.007846801"/>
        <n v="4339224.6660000002"/>
        <n v="65700000"/>
        <n v="127842"/>
        <n v="3812500"/>
        <n v="2900000"/>
        <n v="23494439.125061002"/>
        <n v="4092128.8162500001"/>
        <n v="1550000"/>
        <n v="4674193.0109999999"/>
        <n v="20401388.353999998" u="1"/>
        <n v="-157500006.65000001" u="1"/>
        <n v="22500000" u="1"/>
        <n v="15700000" u="1"/>
        <n v="1375000" u="1"/>
        <n v="250000" u="1"/>
        <n v="4999950" u="1"/>
        <n v="2940000" u="1"/>
        <n v="3250000" u="1"/>
        <n v="974814.09950000001" u="1"/>
        <n v="1198710.8160000001" u="1"/>
        <n v="10150000" u="1"/>
        <n v="2080000" u="1"/>
        <n v="1425000" u="1"/>
        <n v="630000" u="1"/>
        <n v="1300000" u="1"/>
        <n v="9905976.3910000008" u="1"/>
        <n v="6562500" u="1"/>
        <n v="672943.39" u="1"/>
        <n v="35962671.079999998" u="1"/>
        <n v="30000000" u="1"/>
        <n v="41212286.409999996" u="1"/>
        <n v="9500000" u="1"/>
        <n v="1120000" u="1"/>
        <n v="1093055.2482604999" u="1"/>
        <n v="546527.62413024995" u="1"/>
        <n v="400000" u="1"/>
        <n v="2300000" u="1"/>
        <n v="3817846.3578224201" u="1"/>
        <n v="1674429.0090000001" u="1"/>
        <n v="5500000" u="1"/>
        <n v="54751073.992669001" u="1"/>
        <n v="97882387.402377501" u="1"/>
        <n v="-55164736.850000001" u="1"/>
        <n v="-581822064.94468796" u="1"/>
        <n v="1221622509.1500001" u="1"/>
        <n v="103045567.92" u="1"/>
        <n v="136538075.47" u="1"/>
        <n v="1086772514.95" u="1"/>
        <n v="1121804627.1800001" u="1"/>
        <n v="54000000" u="1"/>
        <n v="359770613.5" u="1"/>
        <n v="57024290.579999998" u="1"/>
        <n v="7039853.8112640399" u="1"/>
        <n v="14491577.944916099" u="1"/>
        <n v="46350309.329999998" u="1"/>
        <n v="-348669932.76999998" u="1"/>
        <n v="24300375" u="1"/>
        <n v="82118941.661578998" u="1"/>
        <n v="-24759415.210000001" u="1"/>
        <n v="43608974.429262497" u="1"/>
        <n v="17401764.706050001" u="1"/>
        <n v="300251427.69" u="1"/>
        <n v="49555518.175403297" u="1"/>
        <n v="1900000" u="1"/>
        <n v="59868392.207334898" u="1"/>
        <n v="3158703.7801742498" u="1"/>
        <n v="1710000" u="1"/>
        <n v="50102778.190807201" u="1"/>
        <n v="3230492.5024509402" u="1"/>
        <n v="3112500" u="1"/>
        <n v="19284163.227750201" u="1"/>
        <n v="34341870" u="1"/>
        <n v="4567500" u="1"/>
        <n v="37500000" u="1"/>
        <n v="31133319.267700002" u="1"/>
        <n v="35199269.056320198" u="1"/>
        <n v="191128.39392618" u="1"/>
        <n v="21250000" u="1"/>
        <n v="1092162.2510067499" u="1"/>
        <n v="15506364.0117645" u="1"/>
        <n v="45000000" u="1"/>
        <n v="8707443.0076000001" u="1"/>
        <n v="12675000" u="1"/>
        <n v="1100000" u="1"/>
        <n v="22400000" u="1"/>
        <n v="426879.41696492" u="1"/>
        <n v="1115892.6971942701" u="1"/>
        <n v="13061238.5682" u="1"/>
        <n v="38472924.289999999" u="1"/>
        <n v="7310315.3158501396" u="1"/>
        <n v="18384476.600000001" u="1"/>
        <n v="3470170" u="1"/>
        <n v="9381621.2510220204" u="1"/>
        <n v="75000000" u="1"/>
        <n v="9450000" u="1"/>
        <n v="20520000" u="1"/>
        <n v="6806250" u="1"/>
        <n v="31745241.918924998" u="1"/>
        <n v="1123366.8867498001" u="1"/>
        <n v="21824456.2095" u="1"/>
        <n v="27669849.7467902" u="1"/>
        <n v="2700000" u="1"/>
        <n v="624092.71486099996" u="1"/>
        <n v="18463875" u="1"/>
        <n v="36175465.828850001" u="1"/>
        <n v="11472277.7680948" u="1"/>
        <n v="56700000" u="1"/>
        <n v="4650000" u="1"/>
        <n v="3885000" u="1"/>
        <n v="15746056.18" u="1"/>
        <n v="9750000" u="1"/>
        <n v="5215074.7485572305" u="1"/>
        <n v="489132.66527231003" u="1"/>
        <n v="380000" u="1"/>
        <n v="1866630983" u="1"/>
        <n v="22000000" u="1"/>
        <n v="1935959.79809761" u="1"/>
        <n v="1600000" u="1"/>
        <n v="5200000" u="1"/>
        <n v="2381736.7000000002" u="1"/>
        <n v="14200000" u="1"/>
        <n v="718602362.908494" u="1"/>
        <n v="175316887.54199401" u="1"/>
        <n v="481741596.31360799" u="1"/>
        <n v="178207557.04635999" u="1"/>
        <n v="811887392.10552597" u="1"/>
        <n v="614278320.28317499" u="1"/>
        <n v="150483681.57464299" u="1"/>
        <n v="1456218798" u="1"/>
        <n v="6650000" u="1"/>
        <n v="5937500" u="1"/>
        <n v="2625000" u="1"/>
        <n v="809292.22799599997" u="1"/>
        <n v="55500000" u="1"/>
        <n v="1248185.4297219999" u="1"/>
        <n v="1501997133" u="1"/>
        <n v="2460483.3652339098" u="1"/>
        <n v="677912.67446321005" u="1"/>
        <n v="1744295.2438008799" u="1"/>
        <n v="22509812.91" u="1"/>
        <n v="7315200.9427920002" u="1"/>
        <n v="25593522.891998298" u="1"/>
        <n v="9625000" u="1"/>
        <n v="-7500000" u="1"/>
        <n v="3510000" u="1"/>
        <n v="321613475.79956001" u="1"/>
        <n v="2875000" u="1"/>
        <n v="12075000" u="1"/>
        <n v="3519926.90563202" u="1"/>
        <n v="4999999.95" u="1"/>
        <n v="67045596.019093297" u="1"/>
        <n v="60479387.250230901" u="1"/>
        <n v="62597264.986412503" u="1"/>
        <n v="24500000" u="1"/>
        <n v="121256824.985155" u="1"/>
        <n v="7425000" u="1"/>
        <n v="17603746.909535699" u="1"/>
        <n v="3937500" u="1"/>
        <n v="4620000" u="1"/>
        <n v="19855000" u="1"/>
        <n v="49200000" u="1"/>
        <n v="6375000" u="1"/>
        <n v="58102349.807465501" u="1"/>
        <n v="13902452.119200001" u="1"/>
        <n v="5062500" u="1"/>
        <n v="281250" u="1"/>
        <n v="14008099.2758274" u="1"/>
        <n v="90000000" u="1"/>
        <n v="5336418.7717437698" u="1"/>
        <n v="11620492.1007156" u="1"/>
        <n v="16250000" u="1"/>
        <n v="6825979.1147499997" u="1"/>
        <n v="8600000" u="1"/>
        <n v="2275591.6274999999" u="1"/>
        <n v="2988126.5401840201" u="1"/>
        <n v="4150175.7502555801" u="1"/>
        <n v="-12155943.57" u="1"/>
        <n v="-48698028.140000001" u="1"/>
        <n v="-334076680.42000002" u="1"/>
        <n v="-197504447.99000001" u="1"/>
        <n v="31664790.227023501" u="1"/>
        <n v="18273969.287276801" u="1"/>
        <n v="6461917.5429821499" u="1"/>
        <n v="133264023.987514" u="1"/>
        <n v="52618092.217076197" u="1"/>
        <n v="23696712.993469398" u="1"/>
        <n v="34555610.631433196" u="1"/>
        <n v="129708476.556062" u="1"/>
        <n v="1137376309.1459999" u="1"/>
        <n v="55240926.497693896" u="1"/>
        <n v="133540569.888165" u="1"/>
        <n v="89505218.368838295" u="1"/>
        <n v="179973046.16501299" u="1"/>
        <n v="210965966.27191299" u="1"/>
        <n v="2009441620" u="1"/>
        <n v="37240342" u="1"/>
        <n v="910685897.08660901" u="1"/>
        <n v="149965879.810642" u="1"/>
        <n v="1674003664.8115599" u="1"/>
        <n v="208832169.43915799" u="1"/>
        <n v="2223908363" u="1"/>
        <n v="1884115539" u="1"/>
        <n v="58543477.200000003" u="1"/>
        <n v="17463509.335000001" u="1"/>
        <n v="31000000" u="1"/>
        <n v="73505669.936112896" u="1"/>
        <n v="16761324.1" u="1"/>
        <n v="21974087.319572199" u="1"/>
        <n v="2704357.96" u="1"/>
        <n v="4200000" u="1"/>
        <n v="34964274.579999998" u="1"/>
        <n v="45684247.020000003" u="1"/>
        <n v="332014060.02044702" u="1"/>
        <n v="17543010.515785798" u="1"/>
        <n v="89213470.062176898" u="1"/>
        <n v="189521848.55261701" u="1"/>
        <n v="12450527.250766801" u="1"/>
        <n v="714204466.70117903" u="1"/>
        <n v="2563637.7292499999" u="1"/>
        <n v="3500000" u="1"/>
        <n v="1145924880.1800001" u="1"/>
        <n v="11844249.42" u="1"/>
        <n v="956512973.45000005" u="1"/>
        <n v="74425469.849999994" u="1"/>
        <n v="318292945.72000003" u="1"/>
        <n v="21280704.329999998" u="1"/>
        <n v="2438994.13" u="1"/>
        <n v="202061608.37" u="1"/>
        <n v="71410857.079999998" u="1"/>
        <n v="1167363.5900000001" u="1"/>
        <n v="292560413.95999998" u="1"/>
        <n v="48372029.710000001" u="1"/>
        <n v="231665494.88" u="1"/>
        <n v="352094360.99000001" u="1"/>
        <n v="24431323" u="1"/>
        <n v="14766916.220000001" u="1"/>
        <n v="168755643.75999999" u="1"/>
        <n v="3007956.22065" u="1"/>
        <n v="19637578.770968501" u="1"/>
        <n v="21304235.517978702" u="1"/>
        <n v="1350000" u="1"/>
        <n v="47250000" u="1"/>
        <n v="354200" u="1"/>
        <n v="792000" u="1"/>
        <n v="22208716.289999999" u="1"/>
        <n v="63900746.700000003" u="1"/>
        <n v="211366818.47" u="1"/>
        <n v="7437500" u="1"/>
        <n v="3150000.0010000002" u="1"/>
        <n v="18300000" u="1"/>
        <n v="1043675.118126" u="1"/>
        <n v="5211009.9859999996" u="1"/>
        <n v="843750" u="1"/>
        <n v="13800000" u="1"/>
        <n v="8300351.5005111704" u="1"/>
        <n v="2200000" u="1"/>
        <n v="100000" u="1"/>
        <n v="14280000" u="1"/>
        <n v="32937500" u="1"/>
        <n v="17050000" u="1"/>
        <n v="3437500" u="1"/>
        <n v="325000" u="1"/>
        <n v="8925000" u="1"/>
        <n v="780000" u="1"/>
        <n v="11050000" u="1"/>
        <n v="9268301.4127999991" u="1"/>
        <n v="22100000" u="1"/>
        <n v="7812500" u="1"/>
        <n v="262500" u="1"/>
        <n v="5940000" u="1"/>
        <n v="29340000" u="1"/>
        <n v="12750000" u="1"/>
        <n v="2275000" u="1"/>
        <n v="969300" u="1"/>
        <n v="1625000" u="1"/>
        <n v="2584800" u="1"/>
        <n v="10875000" u="1"/>
        <n v="5287500" u="1"/>
        <n v="2600000" u="1"/>
        <n v="15294375" u="1"/>
        <n v="4800000" u="1"/>
        <n v="3591250" u="1"/>
        <n v="25064000" u="1"/>
        <n v="5525000" u="1"/>
        <n v="223184" u="1"/>
        <n v="855000" u="1"/>
        <n v="2400000" u="1"/>
        <n v="3324000" u="1"/>
        <n v="11750000" u="1"/>
        <n v="28000000" u="1"/>
        <n v="1312500" u="1"/>
        <n v="12375000" u="1"/>
        <n v="3850000" u="1"/>
        <n v="1500000.0005000001" u="1"/>
        <n v="3600000" u="1"/>
        <n v="230880" u="1"/>
        <n v="7635000" u="1"/>
        <n v="1263120" u="1"/>
        <n v="840000" u="1"/>
        <n v="2185000" u="1"/>
        <n v="125000" u="1"/>
        <n v="8625000" u="1"/>
        <n v="35000" u="1"/>
        <n v="9275000" u="1"/>
        <n v="12027787.199999999" u="1"/>
        <n v="4875000" u="1"/>
        <n v="2018750" u="1"/>
        <n v="1750000" u="1"/>
        <n v="12950000" u="1"/>
        <n v="20970000" u="1"/>
        <n v="1275000" u="1"/>
        <n v="5190750" u="1"/>
        <n v="249999.91" u="1"/>
        <n v="1749999.75" u="1"/>
        <n v="1574999.7749999999" u="1"/>
        <n v="14000000" u="1"/>
        <n v="20125000" u="1"/>
        <n v="5595000" u="1"/>
        <n v="44999999.975000001" u="1"/>
        <n v="2925000" u="1"/>
        <n v="79999999.5" u="1"/>
        <n v="2475000" u="1"/>
        <n v="1540000" u="1"/>
        <n v="302812.5" u="1"/>
        <n v="1999999.9979999999" u="1"/>
        <n v="712500" u="1"/>
        <n v="-275000000" u="1"/>
        <n v="10350198.952966001" u="1"/>
        <n v="4842500" u="1"/>
        <n v="7380000" u="1"/>
        <n v="115456965.633875" u="1"/>
        <n v="55323244.739331" u="1"/>
        <n v="59603162.734927498" u="1"/>
        <n v="63838724.759838" u="1"/>
        <n v="57586585.630644903" u="1"/>
        <n v="16761738.584286099" u="1"/>
        <n v="13815120.5599308" u="1"/>
        <n v="5262903.07044983" u="1"/>
        <n v="11240834.7129822" u="1"/>
        <n v="-321046255.42000002" u="1"/>
        <n v="-212703536.94999999" u="1"/>
        <n v="-9842151.9600000009" u="1"/>
        <n v="-45117637.200000003" u="1"/>
        <n v="136739394.46028799" u="1"/>
        <n v="106080517.93947101" u="1"/>
        <n v="1458388695.4096701" u="1"/>
        <n v="264965729.88420299" u="1"/>
        <n v="1143141645.76226" u="1"/>
        <n v="21256163.799873602" u="1"/>
        <n v="2772380.79" u="1"/>
        <n v="81812771.116805196" u="1"/>
        <n v="67618092.217076197" u="1"/>
        <n v="180342015.28576899" u="1"/>
        <n v="127208476.556062" u="1"/>
        <n v="321166706.08520502" u="1"/>
        <n v="2443408102" u="1"/>
        <n v="1656431372.8115599" u="1"/>
        <n v="2189142642" u="1"/>
        <n v="2025073807" u="1"/>
        <n v="55446740" u="1"/>
        <n v="143845226.05883801" u="1"/>
        <n v="125348842.888165" u="1"/>
        <n v="189795678.16501299" u="1"/>
        <n v="62940342" u="1"/>
        <n v="273850834.76999998" u="1"/>
        <n v="1086015186.1700001" u="1"/>
        <n v="107696429.39" u="1"/>
        <n v="56763315.719999999" u="1"/>
        <n v="102087101.15000001" u="1"/>
        <n v="220634662.38" u="1"/>
        <n v="20266466.989999998" u="1"/>
        <n v="4015161.86" u="1"/>
        <n v="13008956.49" u="1"/>
        <n v="1213300.52" u="1"/>
        <n v="27543667.5" u="1"/>
        <n v="2322820.6" u="1"/>
        <n v="833922476.05999994" u="1"/>
        <n v="24454765.059999999" u="1"/>
        <n v="72698785.120000005" u="1"/>
        <n v="445685891.38999999" u="1"/>
        <n v="45155596.579999998" u="1"/>
        <n v="276695461.50999999" u="1"/>
        <n v="18995992.184705399" u="1"/>
        <n v="20608196.9738007" u="1"/>
        <n v="932284.65411809995" u="1"/>
        <n v="5552000" u="1"/>
        <n v="4014583.82606507" u="1"/>
        <n v="8029167.6521301297" u="1"/>
        <n v="2890500.3547668499" u="1"/>
        <n v="89644524.132914901" u="1"/>
        <n v="182675786.67865801" u="1"/>
        <n v="668944152.62077296" u="1"/>
        <n v="12043751.4781952" u="1"/>
        <n v="82522496.675014406" u="1"/>
        <n v="226378103.65000001" u="1"/>
        <n v="23071131.73" u="1"/>
        <n v="71795076.989999995" u="1"/>
        <n v="57800000" u="1"/>
        <n v="2812500" u="1"/>
        <n v="10233422.636985799" u="1"/>
        <n v="8430626.0347366408" u="1"/>
        <n v="10012043.781657601" u="1"/>
        <n v="3319590.7473564199" u="1"/>
        <n v="35000000.25" u="1"/>
        <n v="16500000" u="1"/>
        <n v="7600000" u="1"/>
        <n v="3325000" u="1"/>
        <n v="5950000" u="1"/>
        <n v="20812500" u="1"/>
        <n v="1999999.9998000001" u="1"/>
        <n v="4550000" u="1"/>
        <n v="26000000" u="1"/>
        <n v="680000" u="1"/>
        <n v="595000" u="1"/>
        <n v="11000000" u="1"/>
        <n v="3120000" u="1"/>
        <n v="172500" u="1"/>
        <n v="7040000" u="1"/>
        <n v="550000" u="1"/>
        <n v="6125000" u="1"/>
        <n v="4425000" u="1"/>
        <n v="3260000" u="1"/>
        <n v="13125000" u="1"/>
        <n v="3901125" u="1"/>
        <n v="983250" u="1"/>
        <n v="2450000" u="1"/>
        <n v="637500" u="1"/>
        <n v="11400000" u="1"/>
        <n v="3877200" u="1"/>
      </sharedItems>
    </cacheField>
    <cacheField name="100% Limit" numFmtId="164">
      <sharedItems containsSemiMixedTypes="0" containsString="0" containsNumber="1" minValue="-581822064.94468796" maxValue="3383635945.2114801" count="421">
        <n v="67716068.040000007"/>
        <n v="50000000"/>
        <n v="45000000"/>
        <n v="0"/>
        <n v="75000000"/>
        <n v="2371216996.0500002"/>
        <n v="1050000000"/>
        <n v="153391809.17783701"/>
        <n v="10000000"/>
        <n v="20000000"/>
        <n v="-337886333.38"/>
        <n v="99275000"/>
        <n v="1950000000"/>
        <n v="-21336730.800000001"/>
        <n v="1012412391.53"/>
        <n v="65000000"/>
        <n v="16583649.890000001"/>
        <n v="90000000"/>
        <n v="120000000"/>
        <n v="200000000"/>
        <n v="72000000"/>
        <n v="43722209.9304199"/>
        <n v="241101700"/>
        <n v="394874353.98000002"/>
        <n v="110000000"/>
        <n v="9000000"/>
        <n v="160000000"/>
        <n v="21503083.149999999"/>
        <n v="14000000"/>
        <n v="15000000"/>
        <n v="40000000"/>
        <n v="5000000"/>
        <n v="30000000"/>
        <n v="16630000"/>
        <n v="150000000"/>
        <n v="300000000"/>
        <n v="227327500"/>
        <n v="100178784.83"/>
        <n v="134764099.12109399"/>
        <n v="60000000"/>
        <n v="1000000"/>
        <n v="14920599.630000001"/>
        <n v="62500000"/>
        <n v="375000000"/>
        <n v="43750000"/>
        <n v="100000000"/>
        <n v="250000000"/>
        <n v="275000000"/>
        <n v="68997118.019999996"/>
        <n v="25000000"/>
        <n v="33750000"/>
        <n v="32852044.449999999"/>
        <n v="85000000"/>
        <n v="1020000"/>
        <n v="2000000000"/>
        <n v="324867092.31"/>
        <n v="500000000"/>
        <n v="450000000"/>
        <n v="352227968.97000003"/>
        <n v="43407308.880000003"/>
        <n v="1140000000"/>
        <n v="34860776.740000002"/>
        <n v="130000000"/>
        <n v="80000000"/>
        <n v="352416586.875916"/>
        <n v="125000000"/>
        <n v="278165298.40698397"/>
        <n v="46218750"/>
        <n v="350000000"/>
        <n v="180422057.13999999"/>
        <n v="6033028.4000000004"/>
        <n v="35000000"/>
        <n v="7500000"/>
        <n v="118073386.87"/>
        <n v="465335789.79000002"/>
        <n v="750000000"/>
        <n v="91700000"/>
        <n v="58736097.812652603"/>
        <n v="1127187540.1500001"/>
        <n v="295000000"/>
        <n v="8000000"/>
        <n v="11326690.76"/>
        <n v="105000000"/>
        <n v="25470000"/>
        <n v="127523112.297058"/>
        <n v="510000000"/>
        <n v="13173969.359999999"/>
        <n v="-53237924.369999997"/>
        <n v="94035376.159999996"/>
        <n v="281765820.48000002"/>
        <n v="39200000"/>
        <n v="21000000"/>
        <n v="10820821.84"/>
        <n v="3000000"/>
        <n v="11000000"/>
        <n v="6000000"/>
        <n v="22500000"/>
        <n v="1000000000"/>
        <n v="99000000"/>
        <n v="126253283"/>
        <n v="490000000"/>
        <n v="70000000"/>
        <n v="202104268.74333"/>
        <n v="3500000"/>
        <n v="67618046.819999993"/>
        <n v="1105195244.02404"/>
        <n v="1391867.3"/>
        <n v="25839446.100000001"/>
        <n v="202012148.33000001"/>
        <n v="11898548.91"/>
        <n v="975000000"/>
        <n v="411152684.688568"/>
        <n v="45172943.490000002"/>
        <n v="-2092219.9"/>
        <n v="7972746.9500000002"/>
        <n v="968580016.855088"/>
        <n v="193897106.56999999"/>
        <n v="32450004.57"/>
        <n v="15654102.58"/>
        <n v="390000000"/>
        <n v="175000000"/>
        <n v="41506247.789999999"/>
        <n v="112500000"/>
        <n v="16910088.359999999"/>
        <n v="12000000"/>
        <n v="400000000"/>
        <n v="800000000"/>
        <n v="516500000"/>
        <n v="900000000"/>
        <n v="700000000"/>
        <n v="226363672.53999999"/>
        <n v="2500000"/>
        <n v="168357400.74000001"/>
        <n v="4500000"/>
        <n v="465000000"/>
        <n v="721069314.79059601"/>
        <n v="37500000"/>
        <n v="24389942"/>
        <n v="1133398288.04"/>
        <n v="188117955.44999999"/>
        <n v="95285572.239999995"/>
        <n v="-206418014.86000001"/>
        <n v="280000000"/>
        <n v="9088776.7799999993"/>
        <n v="135000000"/>
        <n v="5919088.0199999996"/>
        <n v="402000000"/>
        <n v="210000000"/>
        <n v="68073576.909999996"/>
        <n v="225000000"/>
        <n v="968580017.16504502"/>
        <n v="19373734.780000001"/>
        <n v="-11501738.939999999"/>
        <n v="176208293.437958"/>
        <n v="28928164.440000001"/>
        <n v="1314000000"/>
        <n v="2556840"/>
        <n v="469888782.501221"/>
        <n v="32737030.530000001"/>
        <n v="31161286.739999998"/>
        <n v="102006941.77" u="1"/>
        <n v="-157500006.65000001" u="1"/>
        <n v="19496281.989999998" u="1"/>
        <n v="14983885.199999999" u="1"/>
        <n v="140000000" u="1"/>
        <n v="52000000" u="1"/>
        <n v="7000000" u="1"/>
        <n v="1260000" u="1"/>
        <n v="99059763.909999996" u="1"/>
        <n v="672943.39" u="1"/>
        <n v="35962671.079999998" u="1"/>
        <n v="41212286.409999996" u="1"/>
        <n v="28000000" u="1"/>
        <n v="10930552.482604999" u="1"/>
        <n v="9108793.7355041709" u="1"/>
        <n v="29368048.906326301" u="1"/>
        <n v="16744290.09" u="1"/>
        <n v="55000000" u="1"/>
        <n v="-55164736.850000001" u="1"/>
        <n v="-581822064.94468796" u="1"/>
        <n v="1221622509.1500001" u="1"/>
        <n v="103045567.92" u="1"/>
        <n v="136538075.47" u="1"/>
        <n v="1086772514.95" u="1"/>
        <n v="1121804627.1800001" u="1"/>
        <n v="1350000000" u="1"/>
        <n v="359770613.5" u="1"/>
        <n v="57024290.579999998" u="1"/>
        <n v="234661793.708801" u="1"/>
        <n v="966105196.32774103" u="1"/>
        <n v="46350309.329999998" u="1"/>
        <n v="-348669932.76999998" u="1"/>
        <n v="226050000" u="1"/>
        <n v="966105196.01857603" u="1"/>
        <n v="-24759415.210000001" u="1"/>
        <n v="918083672.19500005" u="1"/>
        <n v="122117647.06" u="1"/>
        <n v="300251427.69" u="1"/>
        <n v="707935973.93433297" u="1"/>
        <n v="4750000" u="1"/>
        <n v="3236129308.50459" u="1"/>
        <n v="28715488.910675" u="1"/>
        <n v="4275000" u="1"/>
        <n v="1102371357.3334899" u="1"/>
        <n v="21536616.683006302" u="1"/>
        <n v="385683264.55500501" u="1"/>
        <n v="343418700" u="1"/>
        <n v="478974142.57999998" u="1"/>
        <n v="469323587.417602" u="1"/>
        <n v="1092162.2510067399" u="1"/>
        <n v="6240927.1486099996" u="1"/>
        <n v="1500000000" u="1"/>
        <n v="114861955.6427" u="1"/>
        <n v="435372150.38" u="1"/>
        <n v="1100000" u="1"/>
        <n v="2995645.0313327699" u="1"/>
        <n v="27897317.4298568" u="1"/>
        <n v="435374618.94" u="1"/>
        <n v="38472924.289999999" u="1"/>
        <n v="73103153.158501402" u="1"/>
        <n v="187596700" u="1"/>
        <n v="17350850" u="1"/>
        <n v="93816212.5102202" u="1"/>
        <n v="540000000" u="1"/>
        <n v="45600000" u="1"/>
        <n v="82500000" u="1"/>
        <n v="295304575.99000001" u="1"/>
        <n v="11233668.867497999" u="1"/>
        <n v="89079413.099999994" u="1"/>
        <n v="69174624.366975605" u="1"/>
        <n v="198750000" u="1"/>
        <n v="176465686.97" u="1"/>
        <n v="254939505.957663" u="1"/>
        <n v="2000000" u="1"/>
        <n v="4000000" u="1"/>
        <n v="31000000" u="1"/>
        <n v="25900000" u="1"/>
        <n v="15746056.18" u="1"/>
        <n v="29800427.134612702" u="1"/>
        <n v="3432509.93173551" u="1"/>
        <n v="950000" u="1"/>
        <n v="70398538.112640396" u="1"/>
        <n v="26000000" u="1"/>
        <n v="23817367" u="1"/>
        <n v="35500000" u="1"/>
        <n v="600000000" u="1"/>
        <n v="5679243.7052350901" u="1"/>
        <n v="12481854.297219999" u="1"/>
        <n v="123024168.261695" u="1"/>
        <n v="1936893.3556091699" u="1"/>
        <n v="1744295.2438008799" u="1"/>
        <n v="22509812.91" u="1"/>
        <n v="636104429.80799997" u="1"/>
        <n v="301100269.31762701" u="1"/>
        <n v="-7500000" u="1"/>
        <n v="459447822.57080001" u="1"/>
        <n v="11500000" u="1"/>
        <n v="117330896.85440101" u="1"/>
        <n v="558713300.15911102" u="1"/>
        <n v="1209587745.0046201" u="1"/>
        <n v="3383635945.2114801" u="1"/>
        <n v="1212568274.10291" u="1"/>
        <n v="1094953086.2419" u="1"/>
        <n v="56250000" u="1"/>
        <n v="154000000" u="1"/>
        <n v="984000000" u="1"/>
        <n v="425000000" u="1"/>
        <n v="830033568.67807901" u="1"/>
        <n v="463415070.63999999" u="1"/>
        <n v="44000000" u="1"/>
        <n v="11250000" u="1"/>
        <n v="103763698.339462" u="1"/>
        <n v="88940312.862396196" u="1"/>
        <n v="387349736.690521" u="1"/>
        <n v="273039164.58999997" u="1"/>
        <n v="86000000" u="1"/>
        <n v="45511832.549999997" u="1"/>
        <n v="66402812.004089303" u="1"/>
        <n v="207508787.512779" u="1"/>
        <n v="-12155943.57" u="1"/>
        <n v="-48698028.140000001" u="1"/>
        <n v="-334076680.42000002" u="1"/>
        <n v="-197504447.99000001" u="1"/>
        <n v="58543477.200000003" u="1"/>
        <n v="69854037.340000004" u="1"/>
        <n v="310000000" u="1"/>
        <n v="1763994958.8699999" u="1"/>
        <n v="16761324.1" u="1"/>
        <n v="21974087.319572199" u="1"/>
        <n v="27043579.600000001" u="1"/>
        <n v="34964274.579999998" u="1"/>
        <n v="45684247.020000003" u="1"/>
        <n v="332014060.02044702" u="1"/>
        <n v="166007030.010223" u="1"/>
        <n v="34181836.390000001" u="1"/>
        <n v="1145924880.1800001" u="1"/>
        <n v="11844249.42" u="1"/>
        <n v="956512973.45000005" u="1"/>
        <n v="74425469.849999994" u="1"/>
        <n v="318292945.72000003" u="1"/>
        <n v="21280704.329999998" u="1"/>
        <n v="2438994.13" u="1"/>
        <n v="202061608.37" u="1"/>
        <n v="71410857.079999998" u="1"/>
        <n v="1167363.5900000001" u="1"/>
        <n v="292560413.95999998" u="1"/>
        <n v="48372029.710000001" u="1"/>
        <n v="231665494.88" u="1"/>
        <n v="352094360.99000001" u="1"/>
        <n v="24431323" u="1"/>
        <n v="14766916.220000001" u="1"/>
        <n v="168755643.75999999" u="1"/>
        <n v="22281157.190000001" u="1"/>
        <n v="347567765.85785002" u="1"/>
        <n v="22000000" u="1"/>
        <n v="22208716.289999999" u="1"/>
        <n v="63900746.700000003" u="1"/>
        <n v="211366818.47" u="1"/>
        <n v="63000000.020000003" u="1"/>
        <n v="104367511.8126" u="1"/>
        <n v="130275249.65000001" u="1"/>
        <n v="230000000" u="1"/>
        <n v="83003515.005111605" u="1"/>
        <n v="119000000" u="1"/>
        <n v="620000000" u="1"/>
        <n v="13750000" u="1"/>
        <n v="13000000" u="1"/>
        <n v="5200000" u="1"/>
        <n v="170000000" u="1"/>
        <n v="66000000" u="1"/>
        <n v="326000000" u="1"/>
        <n v="17500000" u="1"/>
        <n v="12500000" u="1"/>
        <n v="145000000" u="1"/>
        <n v="35250000" u="1"/>
        <n v="203925000" u="1"/>
        <n v="35912500" u="1"/>
        <n v="482000000" u="1"/>
        <n v="55250000" u="1"/>
        <n v="5920000" u="1"/>
        <n v="17100000" u="1"/>
        <n v="66480000" u="1"/>
        <n v="235000000" u="1"/>
        <n v="24000000" u="1"/>
        <n v="30000000.010000002" u="1"/>
        <n v="8550000" u="1"/>
        <n v="180000000" u="1"/>
        <n v="2308800" u="1"/>
        <n v="12631200" u="1"/>
        <n v="43700000" u="1"/>
        <n v="132500000" u="1"/>
        <n v="601389360" u="1"/>
        <n v="10500000" u="1"/>
        <n v="20187500" u="1"/>
        <n v="185000000" u="1"/>
        <n v="233000000" u="1"/>
        <n v="8500000" u="1"/>
        <n v="115000000" u="1"/>
        <n v="144000000" u="1"/>
        <n v="7700000" u="1"/>
        <n v="6375000" u="1"/>
        <n v="-275000000" u="1"/>
        <n v="230004421.17702201" u="1"/>
        <n v="74500000" u="1"/>
        <n v="1154569679.43014" u="1"/>
        <n v="790332067.70472801" u="1"/>
        <n v="3221792580.2663498" u="1"/>
        <n v="531989372.99865001" u="1"/>
        <n v="1151731712.6129" u="1"/>
        <n v="1042580167.04968" u="1"/>
        <n v="102334226.369858" u="1"/>
        <n v="87715051.174163803" u="1"/>
        <n v="374694490.43273902" u="1"/>
        <n v="-321046255.42000002" u="1"/>
        <n v="-212703536.94999999" u="1"/>
        <n v="-9842151.9600000009" u="1"/>
        <n v="-45117637.200000003" u="1"/>
        <n v="21256163.799873602" u="1"/>
        <n v="2772380.79" u="1"/>
        <n v="321166706.08520502" u="1"/>
        <n v="273850834.76999998" u="1"/>
        <n v="1086015186.1700001" u="1"/>
        <n v="107696429.39" u="1"/>
        <n v="56763315.719999999" u="1"/>
        <n v="102087101.15000001" u="1"/>
        <n v="220634662.38" u="1"/>
        <n v="20266466.989999998" u="1"/>
        <n v="4015161.86" u="1"/>
        <n v="13008956.49" u="1"/>
        <n v="1213300.52" u="1"/>
        <n v="27543667.5" u="1"/>
        <n v="2322820.6" u="1"/>
        <n v="833922476.05999994" u="1"/>
        <n v="24454765.059999999" u="1"/>
        <n v="72698785.120000005" u="1"/>
        <n v="445685891.38999999" u="1"/>
        <n v="45155596.579999998" u="1"/>
        <n v="276695461.50999999" u="1"/>
        <n v="336212251.056732" u="1"/>
        <n v="93228465.411809996" u="1"/>
        <n v="55520000" u="1"/>
        <n v="80291676.521301404" u="1"/>
        <n v="160583353.04260299" u="1"/>
        <n v="64233341.217041098" u="1"/>
        <n v="200729191.30325401" u="1"/>
        <n v="226378103.65000001" u="1"/>
        <n v="23071131.73" u="1"/>
        <n v="71795076.989999995" u="1"/>
        <n v="1700000000" u="1"/>
        <n v="51167113.184928797" u="1"/>
        <n v="37469449.043274" u="1"/>
        <n v="222489861.814614" u="1"/>
        <n v="44261209.964752302" u="1"/>
        <n v="34000000" u="1"/>
        <n v="4875000" u="1"/>
        <n v="23400000" u="1"/>
        <n v="5950000" u="1"/>
        <n v="6900000" u="1"/>
        <n v="81500000" u="1"/>
        <n v="10300000" u="1"/>
        <n v="2250000" u="1"/>
      </sharedItems>
    </cacheField>
    <cacheField name="Retention" numFmtId="164">
      <sharedItems containsSemiMixedTypes="0" containsString="0" containsNumber="1" containsInteger="1" minValue="0" maxValue="50000000000" count="99">
        <n v="0"/>
        <n v="10000000"/>
        <n v="4000000"/>
        <n v="20000000"/>
        <n v="30000000"/>
        <n v="22500000"/>
        <n v="5000000"/>
        <n v="15000000"/>
        <n v="25000000" u="1"/>
        <n v="35000000" u="1"/>
        <n v="55000000" u="1"/>
        <n v="150000000" u="1"/>
        <n v="93000000" u="1"/>
        <n v="75000000" u="1"/>
        <n v="3000000" u="1"/>
        <n v="200000000" u="1"/>
        <n v="60000000" u="1"/>
        <n v="40000000" u="1"/>
        <n v="100000" u="1"/>
        <n v="100000000" u="1"/>
        <n v="18000000" u="1"/>
        <n v="12000000" u="1"/>
        <n v="500000000" u="1"/>
        <n v="70000000" u="1"/>
        <n v="8000000" u="1"/>
        <n v="250000000" u="1"/>
        <n v="425000000" u="1"/>
        <n v="4500000" u="1"/>
        <n v="1450000000" u="1"/>
        <n v="12500000" u="1"/>
        <n v="450000000" u="1"/>
        <n v="2000000" u="1"/>
        <n v="1425000000" u="1"/>
        <n v="540000000" u="1"/>
        <n v="16000000" u="1"/>
        <n v="23000000" u="1"/>
        <n v="50000000" u="1"/>
        <n v="1090000000" u="1"/>
        <n v="3250000000" u="1"/>
        <n v="7000000" u="1"/>
        <n v="45000000" u="1"/>
        <n v="17500000" u="1"/>
        <n v="7500000" u="1"/>
        <n v="3500000" u="1"/>
        <n v="155000000" u="1"/>
        <n v="180000000" u="1"/>
        <n v="11250000" u="1"/>
        <n v="130000000" u="1"/>
        <n v="215000000" u="1"/>
        <n v="111000000" u="1"/>
        <n v="135000000" u="1"/>
        <n v="11500000" u="1"/>
        <n v="120000000" u="1"/>
        <n v="24000000" u="1"/>
        <n v="265000000" u="1"/>
        <n v="27600000" u="1"/>
        <n v="10500000" u="1"/>
        <n v="33520000" u="1"/>
        <n v="104500000" u="1"/>
        <n v="6000000" u="1"/>
        <n v="245000000" u="1"/>
        <n v="140000000" u="1"/>
        <n v="85000000" u="1"/>
        <n v="405000000" u="1"/>
        <n v="93700000" u="1"/>
        <n v="385000000" u="1"/>
        <n v="2500000" u="1"/>
        <n v="56000000" u="1"/>
        <n v="175000000" u="1"/>
        <n v="290000000" u="1"/>
        <n v="437000000" u="1"/>
        <n v="110000000" u="1"/>
        <n v="15000000000" u="1"/>
        <n v="80000000" u="1"/>
        <n v="106000000" u="1"/>
        <n v="43000000" u="1"/>
        <n v="185000000" u="1"/>
        <n v="600000000" u="1"/>
        <n v="20000000000" u="1"/>
        <n v="400000000" u="1"/>
        <n v="125000000" u="1"/>
        <n v="37500000" u="1"/>
        <n v="170000000" u="1"/>
        <n v="40000000000" u="1"/>
        <n v="470000000" u="1"/>
        <n v="6500000" u="1"/>
        <n v="310000000" u="1"/>
        <n v="28000000" u="1"/>
        <n v="225000000" u="1"/>
        <n v="47500000" u="1"/>
        <n v="50000000000" u="1"/>
        <n v="20500000" u="1"/>
        <n v="138700000" u="1"/>
        <n v="90000000" u="1"/>
        <n v="32500000" u="1"/>
        <n v="410000000" u="1"/>
        <n v="198027583" u="1"/>
        <n v="370000000" u="1"/>
        <n v="210000000" u="1"/>
      </sharedItems>
    </cacheField>
    <cacheField name="Aggregate Deductible" numFmtId="164">
      <sharedItems containsSemiMixedTypes="0" containsString="0" containsNumber="1" containsInteger="1" minValue="0" maxValue="3047000000" count="27">
        <n v="0"/>
        <n v="25000000" u="1"/>
        <n v="50000000" u="1"/>
        <n v="750000000" u="1"/>
        <n v="14000000" u="1"/>
        <n v="1400000000" u="1"/>
        <n v="17000000" u="1"/>
        <n v="1500000000" u="1"/>
        <n v="5000000" u="1"/>
        <n v="34000000" u="1"/>
        <n v="65000000" u="1"/>
        <n v="1000000" u="1"/>
        <n v="15000000" u="1"/>
        <n v="130000000" u="1"/>
        <n v="7500000" u="1"/>
        <n v="2500000" u="1"/>
        <n v="66000000" u="1"/>
        <n v="22000000" u="1"/>
        <n v="1" u="1"/>
        <n v="35000000" u="1"/>
        <n v="40000000" u="1"/>
        <n v="20000000" u="1"/>
        <n v="3047000000" u="1"/>
        <n v="74500000" u="1"/>
        <n v="100000000" u="1"/>
        <n v="1250000000" u="1"/>
        <n v="180000000" u="1"/>
      </sharedItems>
    </cacheField>
    <cacheField name="Terms" numFmtId="164">
      <sharedItems containsBlank="1" count="520">
        <s v="RSK: 50x50"/>
        <s v="PR: 50x0"/>
        <s v="RSK: 50x50, 50x0 Occ"/>
        <s v="NULL"/>
        <s v="FAC"/>
        <s v="PR"/>
        <s v="RSK: 150x0"/>
        <s v="RSK: 20x10, 20x0 Occ"/>
        <s v="PR: 65x0"/>
        <s v="RSK: 10x5"/>
        <s v="RSK: 20x10"/>
        <s v="PR: 72x0"/>
        <s v="RSK: 5x5, 10x0 Occ"/>
        <s v="PR: 241.1x0"/>
        <s v="RSK: 10x10, 10x0 Occ"/>
        <s v="PR: 110x0"/>
        <s v="RSK: 3x2, 9x0 Occ"/>
        <s v="RSK: 80x10, 160x0 Occ"/>
        <s v="RSK: 10x20, 10x0 Occ"/>
        <s v="RSK: 7x8, 14x0 Occ"/>
        <s v="RSK: 15x20, 15x0 Occ"/>
        <s v="PR: 40x0"/>
        <s v="PR: 16.63x0"/>
        <s v="PR: 75x0"/>
        <s v="RSK: 300x400, 300x0 Occ"/>
        <s v="PR: 227.33x0"/>
        <s v="CAT: 50x10"/>
        <s v="PR: 100x0"/>
        <s v="RSK: 40x10, 40x0 Occ"/>
        <s v="PR: 60x0"/>
        <s v="RSK: 1x1, 1x0 Occ"/>
        <s v="RSK: 15x15"/>
        <s v="RSK: 375x375, 375x0 Occ"/>
        <s v="PR: 43.75x0"/>
        <s v="RSK: 10x5, 10x0 Occ"/>
        <s v="RSK: 250x250, 250x0 Occ"/>
        <s v="RSK: 110x40, 275x0 Occ"/>
        <s v="RSK: 25x25, 25x0 Occ"/>
        <s v="PR: 33.75x0"/>
        <s v="RSK: 20x5"/>
        <s v="PR: 85x0"/>
        <s v="PR: 375x0"/>
        <s v="RSK: 5x5"/>
        <s v="RSK: 500x1100, 500x0 Occ"/>
        <s v="PR: 5x0"/>
        <s v="RSK: 25x25"/>
        <s v="RSK: 30x20, 30x0 Occ"/>
        <s v="RSK: 100x150, 100x0 Occ"/>
        <s v="RSK: 65x60"/>
        <s v="PR: 300x0"/>
        <s v="RSK: 125x0, 125x0 Occ"/>
        <s v="PR: 46.22x0"/>
        <s v="PR: 350x0"/>
        <s v="PR: 10x0"/>
        <s v="RSK: 5x10"/>
        <s v="RSK: 20x5, 20x0 Occ"/>
        <s v="RSK: 7.5x2.5, 7.5x0 Occ"/>
        <s v="CAT: 10x10"/>
        <s v="PR: 91.7x0"/>
        <s v="RSK: 10x5, 20x0 Occ"/>
        <s v="RSK: 20x20, 80x0 Occ"/>
        <s v="RSK: 2x3, 8x0 Occ"/>
        <s v="RSK: 30x30"/>
        <s v="PR: 150x0"/>
        <s v="RSK: 10x10, 20x0 Occ"/>
        <s v="RSK: 2.5x0, 25.47x0 Occ"/>
        <s v="PR: 175x0"/>
        <s v="RSK: 510x400, 510x0 Occ"/>
        <s v="RSK: 15x10, 30x0 Occ"/>
        <s v="RSK: 15x10, 15x0 Occ"/>
        <s v="RSK: 5x5, 7.5x0 Occ"/>
        <s v="PR: 39.2x0"/>
        <s v="RSK: 15x15, 15x0 Occ"/>
        <s v="RSK: 21x40, 21x0 Occ"/>
        <s v="RSK: 3x2, 3x0 Occ"/>
        <s v="RSK: 5.5x1.5, 11x0 Occ"/>
        <s v="CAT: 6x4"/>
        <s v="RSK: 7.5x5, 22.5x0 Occ"/>
        <s v="RSK: 500x500, 1000x0 Occ"/>
        <s v="RSK: 200x400, 200x0 Occ"/>
        <s v="RSK: 200x100, 200x0 Occ"/>
        <s v="PR: 99x0"/>
        <s v="CAT: 30x20"/>
        <s v="RSK: 5x3, 10x0 Occ"/>
        <s v="RSK: 75x50, 150x0 Occ"/>
        <s v="PR: 200x0"/>
        <s v="PR: 490x0"/>
        <s v="RSK: 5x5, 5x0 Occ"/>
        <s v="AGG: 160x0, 80x0 Occ"/>
        <s v="RSK: 3.5x1.5, 3.5x0 Occ"/>
        <s v="PR: 948.63x0"/>
        <s v="RSK: 7.5x7.5"/>
        <s v="RSK: 75x50, 75x0 Occ"/>
        <s v="PR: 250x0"/>
        <s v="RSK: 3x2"/>
        <s v="PR: 975x0"/>
        <s v="RSK: Unlx0"/>
        <s v="PR: 930.52x0"/>
        <s v="RSK: 7.5x5, 7.5x0 Occ"/>
        <s v="RSK: 240x125"/>
        <s v="RSK: 10x15"/>
        <s v="RSK: 20x15, 20x0 Occ"/>
        <s v="RSK: 7.5x7.5, 7.5x0 Occ"/>
        <s v="RSK: 30x10, 30x0 Occ"/>
        <s v="PR: 125x0"/>
        <s v="RSK: 175x125, 175x0 Occ"/>
        <s v="RSK: 12.5x12.5"/>
        <s v="RSK: 75x0, 112.5x0 Occ"/>
        <s v="PR: 25.47x0"/>
        <s v="PR: 70x0"/>
        <s v="PR: 400x0"/>
        <s v="PR: 800x0"/>
        <s v="PR: 516.5x0"/>
        <s v="RSK: 5x10, 5x0 Occ"/>
        <s v="CAT: 30x30"/>
        <s v="RSK: 2.5x2.5, 2.5x0 Occ"/>
        <s v="RSK: 500x500"/>
        <s v="RSK: 20x20, 20x0 Occ"/>
        <s v="RSK: 100x50, 200x0 Occ"/>
        <s v="RSK: 4.5x3, 4.5x0 Occ"/>
        <s v="PR: 35x0"/>
        <s v="RSK: 5x5, 15x0 Occ"/>
        <s v="PR: 465x0"/>
        <s v="PR: 15x0"/>
        <s v="PR: 30x0"/>
        <s v="RSK: 20x30, 20x0 Occ"/>
        <s v="RSK: 150x250, 150x0 Occ"/>
        <s v="RSK: 25x5, 37.5x0 Occ"/>
        <s v="PR: 24.39x0"/>
        <s v="CAT: 50x0"/>
        <s v="PR: 20x0"/>
        <s v="RSK: 50x10, 100x0 Occ"/>
        <s v="RSK: 30x20, 60x0 Occ"/>
        <s v="PR: 135x0"/>
        <s v="RSK: 30x5, 60x0 Occ"/>
        <s v="RSK: 15x35, 15x0 Occ"/>
        <s v="PR: 402x0"/>
        <s v="PR: 25x0"/>
        <s v="PR: 500x0"/>
        <s v="RSK: 225x150, 225x0 Occ"/>
        <s v="RSK: 400x700, 400x0 Occ"/>
        <s v="RSK: 25x15, 50x0 Occ"/>
        <s v="CAT: 37.5x22.5"/>
        <s v="PR: 1314x0"/>
        <s v="RSK: 2.5x2.5"/>
        <s v="CAT: 35x5"/>
        <s v="CAT: 10x15"/>
        <s v="AGG: 500x0, 500x0 Occ"/>
        <s v="RSK: 8x5, 8x0 Occ" u="1"/>
        <s v="RSK: 15x10" u="1"/>
        <s v="RSK: 200x300, 200x0 Occ" u="1"/>
        <s v="CAT: 25x25" u="1"/>
        <s v="CAT: 15x25" u="1"/>
        <s v="CAT: 15x35" u="1"/>
        <s v="RSK: 7.5x2.5, 15x0 Occ" u="1"/>
        <s v="CAT: 70x55" u="1"/>
        <s v="RSK: 15x5" u="1"/>
        <s v="RSK: 25x50, 25x0 Occ" u="1"/>
        <s v="RSK: 10x15, 10x0 Occ" u="1"/>
        <s v="CAT: 5x15" u="1"/>
        <s v="CAT: 140x150" u="1"/>
        <s v="CAT: 52x93" u="1"/>
        <s v="CAT: 125x75" u="1"/>
        <s v="CAT: 7x3" u="1"/>
        <s v="RPP: for 18.00% ROL on 7x3" u="1"/>
        <s v="CAT: 30x25" u="1"/>
        <s v="RSK: 75x40" u="1"/>
        <s v="CAT: 150x200" u="1"/>
        <s v="CAT: 105x60" u="1"/>
        <s v="CAT: 75x40" u="1"/>
        <s v="CAT: 25x5, 25 AAD" u="1"/>
        <s v="CAT: 25x5, 50 AAD" u="1"/>
        <s v="RSK: 2.5x1.5, 2.5x0 Occ" u="1"/>
        <s v="AGG: 200x750, 350x0 Occ" u="1"/>
        <s v="AGG: 20x14" u="1"/>
        <s v="AGG: 500x1400, 250x75 Occ" u="1"/>
        <s v="AGG: 30x17, 20x0.1 Occ" u="1"/>
        <s v="CAT: 40x100" u="1"/>
        <s v="CAT: 100x0" u="1"/>
        <s v="CAT: 12x18" u="1"/>
        <s v="CAT: 30x40" u="1"/>
        <s v="CAT: 28x12" u="1"/>
        <s v="PR: 12.5x0" u="1"/>
        <s v="CAT: 10x5" u="1"/>
        <s v="CAT: 50x25" u="1"/>
        <s v="CAT: 500x500" u="1"/>
        <s v="CAT: 55x70" u="1"/>
        <s v="RSK: 10x10, 15x0 Occ" u="1"/>
        <s v="AGG: 250x1500, 50x0 Occ, 40 FRAN" u="1"/>
        <s v="PR: 1350x0" u="1"/>
        <s v="PR: 226.05x0" u="1"/>
        <s v="PR: 122.12x0" u="1"/>
        <s v="PR: 711.28x0" u="1"/>
        <s v="CAT: 5x3" u="1"/>
        <s v="RSK: 40x30, 40x0 Occ" u="1"/>
        <s v="CAT: 4.5x8" u="1"/>
        <s v="RSK: 10x20, 30x0 Occ" u="1"/>
        <s v="CAT: 15x5, 5 AAD" u="1"/>
        <s v="PR: 61799.03x0" u="1"/>
        <s v="PR: 343.42x0" u="1"/>
        <s v="CAT: 45x20" u="1"/>
        <s v="CAT: 175x250" u="1"/>
        <s v="CAT: 5x5" u="1"/>
        <s v="CAT: 1000x425" u="1"/>
        <s v="PR: 1500x0" u="1"/>
        <s v="PR: 160x0" u="1"/>
        <s v="PR: 450x0" u="1"/>
        <s v="RPP: 2.2x0" u="1"/>
        <s v="CAT: 480x60" u="1"/>
        <s v="PR: 187.6x0" u="1"/>
        <s v="RPP: 17.35x0" u="1"/>
        <s v="PR: 253.92x0" u="1"/>
        <s v="CAT: 10x0" u="1"/>
        <s v="AGG: 150x25" u="1"/>
        <s v="CAT: 3.5x4.5" u="1"/>
        <s v="PR: 540x0" u="1"/>
        <s v="CAT: 1800x1450" u="1"/>
        <s v="CAT: 10x12.5" u="1"/>
        <s v="PR: 11084.03x0" u="1"/>
        <s v="CAT: 4.5x0" u="1"/>
        <s v="CAT: 1000x450" u="1"/>
        <s v="PR: 217.28x0" u="1"/>
        <s v="CAT: 2x2" u="1"/>
        <s v="CAT: 15x8" u="1"/>
        <s v="CAT: 4x4" u="1"/>
        <s v="AGG: 31x34" u="1"/>
        <s v="PR: 25.9x0" u="1"/>
        <s v="AGG: 65x65" u="1"/>
        <s v="CAT: 4775x1425" u="1"/>
        <s v="CAT: 550x540" u="1"/>
        <s v="CAT: 1x2, 1 AAD" u="1"/>
        <s v="CAT: 8x8" u="1"/>
        <s v="CAT: 26x16" u="1"/>
        <s v="CAT: 35x0" u="1"/>
        <s v="RPP: for 100.00% ROL on 23.82x0" u="1"/>
        <s v="CAT: 35.5x23" u="1"/>
        <s v="CAT: 15x15" u="1"/>
        <s v="CAT: 15x10, 15 AAD" u="1"/>
        <s v="CAT: 100x50" u="1"/>
        <s v="PR: 600x0" u="1"/>
        <s v="CAT: 910x1090" u="1"/>
        <s v="CAT: 30x0" u="1"/>
        <s v="CAT: 300x0" u="1"/>
        <s v="CAT: 2000x3250" u="1"/>
        <s v="CAT: 20x30" u="1"/>
        <s v="CAT: 5x0" u="1"/>
        <s v="CAT: 30x22.5" u="1"/>
        <s v="CAT: 60x25" u="1"/>
        <s v="CAT: 50x75, 50 AAD" u="1"/>
        <s v="CAT: 75x100" u="1"/>
        <s v="CAT: 80x75" u="1"/>
        <s v="CAT: 3.9x0" u="1"/>
        <s v="RPP: 3.51x0" u="1"/>
        <s v="CAT: 542.15x0" u="1"/>
        <s v="CAT: 15x10" u="1"/>
        <s v="CAT: 4x3" u="1"/>
        <s v="CAT: 8x7" u="1"/>
        <s v="PR: 224x0" u="1"/>
        <s v="CAT: 35x45" u="1"/>
        <s v="CAT: 20x17.5" u="1"/>
        <s v="CTR: 7.5x7.5" u="1"/>
        <s v="CAT: 25x15" u="1"/>
        <s v="CAT: 100x100" u="1"/>
        <s v="PR: 640x0" u="1"/>
        <s v="CAT: 11.5x3.5" u="1"/>
        <s v="AGG: 105x130" u="1"/>
        <s v="CAT: 7.5x0, 7.5 AAD" u="1"/>
        <m u="1"/>
        <s v="CAT: 40x0" u="1"/>
        <s v="CAT: 120x155" u="1"/>
        <s v="CAT: 75x70" u="1"/>
        <s v="PR: 700x0" u="1"/>
        <s v="PR: 56.25x0" u="1"/>
        <s v="PR: 154x0" u="1"/>
        <s v="PR: 99.28x0" u="1"/>
        <s v="PR: 984x0" u="1"/>
        <s v="PR: 425x0" u="1"/>
        <s v="PR: 390x0" u="1"/>
        <s v="RSK: 75x50, 112.5x0 Occ" u="1"/>
        <s v="RSK: 125x125, 125x0 Occ" u="1"/>
        <s v="RSK: 100x400, 100x0 Occ" u="1"/>
        <s v="PR: 44x0" u="1"/>
        <s v="CAT: 100x150" u="1"/>
        <s v="CAT: 50x100" u="1"/>
        <s v="RSK: 7.5x7.5, 11.25x0 Occ, 2.5 AAD" u="1"/>
        <s v="CAT: 25x25, 25 AAD" u="1"/>
        <s v="PR: 140x0" u="1"/>
        <s v="RSK: 40x30, 120x0 Occ" u="1"/>
        <s v="PR: 86x0" u="1"/>
        <s v="PR: 187.5x0" u="1"/>
        <s v="PR: 310x0" u="1"/>
        <s v="RSK: 25x5, 25x0 Occ" u="1"/>
        <s v="PR: 45x0" u="1"/>
        <s v="PR: 130x0" u="1"/>
        <s v="PR: 22x0" u="1"/>
        <s v="CAT: 60x40" u="1"/>
        <s v="CAT: 120x180" u="1"/>
        <s v="CAT: 80x100" u="1"/>
        <s v="PR: 15000x0" u="1"/>
        <s v="RSK: 91.09x61" u="1"/>
        <s v="RSK: 7.5x17.5, 7.5x0 Occ" u="1"/>
        <s v="PR: 230x0" u="1"/>
        <s v="RSK: 3x2, 6x0 Occ" u="1"/>
        <s v="RSK: 40x25, 40x0 Occ" u="1"/>
        <s v="CAT: 30x10" u="1"/>
        <s v="RSK: 75x75, 75x0 Occ" u="1"/>
        <s v="RSK: 150x150, 150x0 Occ" u="1"/>
        <s v="RSK: 10x7.5, 10x0 Occ" u="1"/>
        <s v="RSK: 6x4, 6x0 Occ" u="1"/>
        <s v="RSK: Unlx0, 7.5x0 Occ" u="1"/>
        <s v="RSK: 10x25, 10x0 Occ" u="1"/>
        <s v="RSK: 4x1, 8x0 Occ" u="1"/>
        <s v="PR: 119x0" u="1"/>
        <s v="PR: 295x0" u="1"/>
        <s v="PR: 620x0" u="1"/>
        <s v="CAT: 13.75x11.25" u="1"/>
        <s v="CAT: 13x12" u="1"/>
        <s v="PR: 105x0" u="1"/>
        <s v="RPP: for 40.00% ROL on 13x12" u="1"/>
        <s v="CAT: 40x60" u="1"/>
        <s v="CAT: 85x130" u="1"/>
        <s v="CAT: 170x215" u="1"/>
        <s v="PR: 62.5x0" u="1"/>
        <s v="CAT: 66x45, 66 AAD" u="1"/>
        <s v="CAT: 326x111" u="1"/>
        <s v="CAT: 75x35" u="1"/>
        <s v="CAT: 20x10" u="1"/>
        <s v="CAT: 40x40" u="1"/>
        <s v="CAT: 10x7.5" u="1"/>
        <s v="CAT: 140x60" u="1"/>
        <s v="CAT: 17.5x17.5" u="1"/>
        <s v="CAT: 12.5x35" u="1"/>
        <s v="CAT: 25x18" u="1"/>
        <s v="CAT: 80x40" u="1"/>
        <s v="RSK: 65x60, 65x0 Occ" u="1"/>
        <s v="CAT: 60x70" u="1"/>
        <s v="CAT: 75x135" u="1"/>
        <s v="CAT: 12.5x11.5" u="1"/>
        <s v="CAT: 145x120" u="1"/>
        <s v="RPP: for 47.00% ROL on 75x35" u="1"/>
        <s v="CAT: 26x24" u="1"/>
        <s v="PR: 203.93x0" u="1"/>
        <s v="RSK: 15x10, 60x0 Occ" u="1"/>
        <s v="CAT: 60x60" u="1"/>
        <s v="CAT: 40x50" u="1"/>
        <s v="CAT: 65x120" u="1"/>
        <s v="CAT: 120x265" u="1"/>
        <s v="RSK: 100x50, 100x0 Occ" u="1"/>
        <s v="RPP: for 42.25% ROL on 85x130" u="1"/>
        <s v="CAT: 125x50" u="1"/>
        <s v="PR: 482x0" u="1"/>
        <s v="RPP: for 32.50% ROL on 170x215" u="1"/>
        <s v="CAT: 5.92x27.6" u="1"/>
        <s v="CAT: 17.1x10.5" u="1"/>
        <s v="PR: 750x0" u="1"/>
        <s v="CAT: 80x20" u="1"/>
        <s v="CAT: 66.48x33.52" u="1"/>
        <s v="RSK: 20x10, 40x0 Occ" u="1"/>
        <s v="RSK: 225x0, 225x0 Occ" u="1"/>
        <s v="CAT: 235x104.5" u="1"/>
        <s v="CAT: 50x6" u="1"/>
        <s v="CAT: 24x5" u="1"/>
        <s v="RSK: 200x0, 200x0 Occ" u="1"/>
        <s v="CAT: 160x245" u="1"/>
        <s v="RSK: 400x0, 400x0 Occ" u="1"/>
        <s v="CAT: 150x140" u="1"/>
        <s v="CAT: 55x85" u="1"/>
        <s v="RSK: 30x30, 30x0 Occ" u="1"/>
        <s v="RPP: for 40.00% ROL on 125x50" u="1"/>
        <s v="CAT: 50x70" u="1"/>
        <s v="CAT: 90x155" u="1"/>
        <s v="RPP: for 50.00% ROL on 17.1x10.5" u="1"/>
        <s v="CAT: 180x405" u="1"/>
        <s v="RPP: for 39.00% ROL on 5.92x27.6" u="1"/>
        <s v="RPP: for 19.00% ROL on 66.48x33.52" u="1"/>
        <s v="CAT: 45x93.7" u="1"/>
        <s v="RSK: 7x3, 7x0 Occ" u="1"/>
        <s v="CAT: 43.7x50" u="1"/>
        <s v="CAT: 7x18" u="1"/>
        <s v="RSK: 25x20, 50x0 Occ" u="1"/>
        <s v="PR: 7.5x0" u="1"/>
        <s v="CAT: 20x20" u="1"/>
        <s v="CAT: 45x40" u="1"/>
        <s v="RSK: 500x0, 500x0 Occ" u="1"/>
        <s v="RSK: 12.5x12.5, 25x0 Occ" u="1"/>
        <s v="RSK: 5x7.5, 10x0 Occ" u="1"/>
        <s v="PR: 132.5x0" u="1"/>
        <s v="RSK: 110x40" u="1"/>
        <s v="RSK: 7.5x12.5, 7.5x0 Occ" u="1"/>
        <s v="RSK: 45x30, 45x0 Occ" u="1"/>
        <s v="CAT: 3x2" u="1"/>
        <s v="RPP: for 42.00% ROL on 25x140" u="1"/>
        <s v="CAT: 25x140" u="1"/>
        <s v="CAT: 65x135" u="1"/>
        <s v="CAT: 175x100" u="1"/>
        <s v="RPP: for 23.75% ROL on 85x385" u="1"/>
        <s v="CAT: 15x2.5" u="1"/>
        <s v="CAT: 50x56" u="1"/>
        <s v="CAT: 135x175" u="1"/>
        <s v="CAT: 185x385" u="1"/>
        <s v="CAT: 120x290" u="1"/>
        <s v="CAT: 233x437" u="1"/>
        <s v="CAT: 22x0, 22 AAD" u="1"/>
        <s v="CAT: 100x110" u="1"/>
        <s v="CAT: 10x30" u="1"/>
        <s v="RPP: for 17.00% ROL on 50x25" u="1"/>
        <s v="CAT: 85x385" u="1"/>
        <s v="AGG: 75x65, 54x0 Occ" u="1"/>
        <s v="CAT: 75x15" u="1"/>
        <s v="CAT: 7.5x7.5, 7.5 AAD" u="1"/>
        <s v="CAT: 25x50, 25 AAD" u="1"/>
        <s v="CAT: 20x25" u="1"/>
        <s v="CAT: 30x45" u="1"/>
        <s v="CAT: 10x35" u="1"/>
        <s v="ILW: 0x15000, 0 AAD" u="1"/>
        <s v="CAT: 7.5x25" u="1"/>
        <s v="CAT: 65x60" u="1"/>
        <s v="CAT: 50x50" u="1"/>
        <s v="CAT: 10x20" u="1"/>
        <s v="CAT: 35x35, 35 AAD" u="1"/>
        <s v="RSK: 40x70, 40x0 Occ" u="1"/>
        <s v="AGG: 30x40" u="1"/>
        <s v="RSK: 25x15, 25x0 Occ" u="1"/>
        <s v="CAT: 50x45" u="1"/>
        <s v="CAT: 115x80" u="1"/>
        <s v="CAT: 105x0" u="1"/>
        <s v="RSK: 200x50, 200x0 Occ" u="1"/>
        <s v="RSK: 5x3, 7.5x0 Occ" u="1"/>
        <s v="CAT: 75x150" u="1"/>
        <s v="CAT: 175x0" u="1"/>
        <s v="CAT: 50x106" u="1"/>
        <s v="CAT: 15x45" u="1"/>
        <s v="CAT: 35x43" u="1"/>
        <s v="CAT: 7.5x10" u="1"/>
        <s v="CAT: 55x0" u="1"/>
        <s v="CAT: 35x175" u="1"/>
        <s v="CAT: 20x20, 20 AAD" u="1"/>
        <s v="CAT: 144x185" u="1"/>
        <s v="RPP: for 22.00% ROL on 35x175" u="1"/>
        <s v="CAT: 400x600" u="1"/>
        <s v="CAT: 50x50, 50 AAD" u="1"/>
        <s v="RPP: for 42.50% ROL on 15x25" u="1"/>
        <s v="ILW: 0x20000, 0 AAD" u="1"/>
        <s v="ILW: Unlx20000" u="1"/>
        <s v="AGG: 1342x3047, 100 FRAN" u="1"/>
        <s v="PR: 207.83x0" u="1"/>
        <s v="AGG: 50x0, 25x0 Occ" u="1"/>
        <s v="RSK: 40x10, 80x0 Occ" u="1"/>
        <s v="CAT: 74.5x30, 74.5 AAD" u="1"/>
        <s v="AGG: 150x100" u="1"/>
        <s v="AGG: 400x1250, 250x75 Occ" u="1"/>
        <s v="AGG: 300x180" u="1"/>
        <s v="RPP: for 32.66% ROL on 170x215" u="1"/>
        <s v="AGG: 10x0, 10x0 Occ" u="1"/>
        <s v="CAT: 200x175" u="1"/>
        <s v="CAT: 1700x400" u="1"/>
        <s v="CAT: 180x110" u="1"/>
        <s v="CAT: 110x0" u="1"/>
        <s v="CAT: 75x0" u="1"/>
        <s v="CAT: 12.5x12.5" u="1"/>
        <s v="CAT: 75x125" u="1"/>
        <s v="CAT: 60x37.5" u="1"/>
        <s v="CTR: 35x5" u="1"/>
        <s v="CAT: 75x50" u="1"/>
        <s v="CAT: 25x50" u="1"/>
        <s v="CAT: 34x120" u="1"/>
        <s v="CAT: 160x170" u="1"/>
        <s v="CAT: 70x0" u="1"/>
        <s v="CAT: 250x0" u="1"/>
        <s v="CAT: 40x130" u="1"/>
        <s v="CAT: 30x70" u="1"/>
        <s v="CAT: 35x25" u="1"/>
        <s v="CAT: 225x100" u="1"/>
        <s v="ILW: Unlx40000" u="1"/>
        <s v="CAT: 100x140" u="1"/>
        <s v="CAT: 125x0" u="1"/>
        <s v="CAT: 35x470" u="1"/>
        <s v="CAT: 115x200" u="1"/>
        <s v="RPP: for 32.50% ROL on 15x15" u="1"/>
        <s v="CAT: 90x5" u="1"/>
        <s v="CAT: 40x45" u="1"/>
        <s v="CAT: 25x20" u="1"/>
        <s v="CAT: 65x50" u="1"/>
        <s v="CTR: 8.5x6.5" u="1"/>
        <s v="CAT: 60x310" u="1"/>
        <s v="CAT: 22x28" u="1"/>
        <s v="RPP: for 26.00% ROL on 90x5" u="1"/>
        <s v="RPP: for 17.00% ROL on 35x470" u="1"/>
        <s v="CAT: 275x225" u="1"/>
        <s v="CAT: 24x47.5" u="1"/>
        <s v="RSK: 7x8, 7x0 Occ" u="1"/>
        <s v="CAT: 15x20" u="1"/>
        <s v="RPP: for 34.50% ROL on 20x10" u="1"/>
        <s v="CAT: 80x70" u="1"/>
        <s v="RSK: 7.5x7.5, 10x0 Occ" u="1"/>
        <s v="RSK: 55x45, 55x0 Occ" u="1"/>
        <s v="ILW: Unlx50000" u="1"/>
        <s v="CAT: 17.5x20.5" u="1"/>
        <s v="ILW: 10000x50000" u="1"/>
        <s v="CAT: 30x35" u="1"/>
        <s v="CAT: 81.5x138.7" u="1"/>
        <s v="CAT: 50x90" u="1"/>
        <s v="CAT: 7.5x32.5" u="1"/>
        <s v="RPP: for 25.75% ROL on 40x40" u="1"/>
        <s v="CAT: 100x200" u="1"/>
        <s v="CAT: 150x410" u="1"/>
        <s v="RPP: for 45.00% ROL on 5x20" u="1"/>
        <s v="CAT: 70x70" u="1"/>
        <s v="CAT: 5x20" u="1"/>
        <s v="CAT: 65x198.03" u="1"/>
        <s v="CAT: 60x100" u="1"/>
        <s v="CAT: 10x17.5" u="1"/>
        <s v="CAT: 200x370" u="1"/>
        <s v="CAT: 120x120" u="1"/>
        <s v="CAT: 200x210" u="1"/>
        <s v="CAT: 5x10" u="1"/>
        <s v="CAT: 500x0" u="1"/>
        <s v="CAT: 2x3" u="1"/>
        <s v="RSK: 75x25, 75x0 Occ" u="1"/>
        <s v="RSK: 100x100, 100x0 Occ" u="1"/>
      </sharedItems>
    </cacheField>
    <cacheField name="ROL" numFmtId="164">
      <sharedItems containsSemiMixedTypes="0" containsString="0" containsNumber="1" minValue="0" maxValue="28.749999970000001" count="725">
        <n v="0.185"/>
        <n v="1.3646039999999999"/>
        <n v="6.2E-2"/>
        <n v="0.16"/>
        <n v="0.22163552"/>
        <n v="0"/>
        <n v="6.8000000000000005E-2"/>
        <n v="0.12172348"/>
        <n v="0.51428571000000001"/>
        <n v="4.6056670000000001E-2"/>
        <n v="6.0607328100000002"/>
        <n v="0.28000842999999997"/>
        <n v="0.67357942000000004"/>
        <n v="0.12830200999999999"/>
        <n v="2.1730299999999998E-3"/>
        <n v="0.55714898000000002"/>
        <n v="8.4101389999999998E-2"/>
        <n v="0.19800000000000001"/>
        <n v="0.2555907"/>
        <n v="2.2000000000000002"/>
        <n v="0.18"/>
        <n v="0.48611111000000001"/>
        <n v="1.32476142"/>
        <n v="0.65"/>
        <n v="1.5384615399999999"/>
        <n v="1.05"/>
        <n v="2.5325E-4"/>
        <n v="0.49090908999999999"/>
        <n v="1.93333321"/>
        <n v="7.2696759999999999E-2"/>
        <n v="6.9757400000000002E-3"/>
        <n v="0.1"/>
        <n v="2.024"/>
        <n v="0.54"/>
        <n v="0.27500000000000002"/>
        <n v="8.8791679999999999"/>
        <n v="5.6174999999999997"/>
        <n v="0.49996528000000001"/>
        <n v="0.99551497"/>
        <n v="0.26666666999999999"/>
        <n v="5.2747130000000003E-2"/>
        <n v="9.9936960000000005E-2"/>
        <n v="0.315"/>
        <n v="0.95"/>
        <n v="0.8"/>
        <n v="2.4955379999999999E-2"/>
        <n v="0.2"/>
        <n v="0.628"/>
        <n v="0.1125"/>
        <n v="0.91666667000000002"/>
        <n v="0.40000011000000002"/>
        <n v="0.82499999999999996"/>
        <n v="4.6618E-2"/>
        <n v="4.9333330000000002E-2"/>
        <n v="0.45714285999999998"/>
        <n v="0.49"/>
        <n v="0.10790130000000001"/>
        <n v="0.05"/>
        <n v="0.42727272999999999"/>
        <n v="0.45"/>
        <n v="0.35"/>
        <n v="0.79666667000000002"/>
        <n v="1"/>
        <n v="8.7431700000000001E-2"/>
        <n v="0.4"/>
        <n v="1.98823529"/>
        <n v="9.8039219999999996E-2"/>
        <n v="0.72499999999999998"/>
        <n v="0.95251441000000003"/>
        <n v="0.55811878999999998"/>
        <n v="0.22500000000000001"/>
        <n v="4.5555560000000002E-2"/>
        <n v="0.32"/>
        <n v="0.56000000000000005"/>
        <n v="2.83907E-3"/>
        <n v="0.57999999999999996"/>
        <n v="0.17666667"/>
        <n v="0.15"/>
        <n v="0.33333332999999998"/>
        <n v="0.32499810000000001"/>
        <n v="1.08403915"/>
        <n v="0.19903773"/>
        <n v="0.12692307999999999"/>
        <n v="0.20624999999999999"/>
        <n v="7.1478E-2"/>
        <n v="0.29200186"/>
        <n v="0.1689243"/>
        <n v="3.34565891"/>
        <n v="1.01"/>
        <n v="0.79228986999999995"/>
        <n v="0.24025046"/>
        <n v="0.38922430000000002"/>
        <n v="1.71428571"/>
        <n v="0.21"/>
        <n v="0.42335519999999999"/>
        <n v="0.71"/>
        <n v="0.16749992"/>
        <n v="0.11010101999999999"/>
        <n v="0.26"/>
        <n v="1.074493E-2"/>
        <n v="1.93333333"/>
        <n v="0.63980720000000002"/>
        <n v="0.64666889999999999"/>
        <n v="0.23199997"/>
        <n v="1.36933715"/>
        <n v="0.10623199"/>
        <n v="3.0000000099999999"/>
        <n v="0.89590168999999997"/>
        <n v="28.749999970000001"/>
        <n v="1.63716916"/>
        <n v="8.8287039999999997E-2"/>
        <n v="1.36166667"/>
        <n v="0.53041799999999995"/>
        <n v="0.6"/>
        <n v="0.45362531"/>
        <n v="0.42"/>
        <n v="0.66285713999999996"/>
        <n v="8.0872099999999992E-3"/>
        <n v="0.03"/>
        <n v="0.27"/>
        <n v="0.18668399999999999"/>
        <n v="0.75"/>
        <n v="0.48"/>
        <n v="0.43333333000000002"/>
        <n v="2.2772199999999999E-3"/>
        <n v="2.1268599999999999E-3"/>
        <n v="2.1294279999999999E-2"/>
        <n v="0.5000502"/>
        <n v="0.9"/>
        <n v="0.56666665999999999"/>
        <n v="0.35020680999999998"/>
        <n v="0.21948424999999999"/>
        <n v="4.1666666699999997"/>
        <n v="0.29499999999999998"/>
        <n v="0.10909091"/>
        <n v="6.5000000000000002E-2"/>
        <n v="3.8129113000000001"/>
        <n v="2.62402522"/>
        <n v="0.47"/>
        <n v="9.2666666699999993"/>
        <n v="1.334834E-2"/>
        <n v="5.5E-2"/>
        <n v="0.66666667000000002"/>
        <n v="12.70729618"/>
        <n v="0.215"/>
        <n v="9.9176000000000002"/>
        <n v="1.33355"/>
        <n v="4.7142530000000002E-2"/>
        <n v="1.1475"/>
        <n v="5"/>
        <n v="0.57142857000000002"/>
        <n v="0.46938775999999999"/>
        <n v="0.17499999999999999"/>
        <n v="0.5427862"/>
        <n v="0.25624999999999998"/>
        <n v="0.31256476"/>
        <n v="0.22"/>
        <n v="0.51867832000000003"/>
        <n v="0.62324833999999996"/>
        <n v="3.5922959999999997E-2"/>
        <n v="0.25999266999999998"/>
        <n v="3.9601579999999997E-2"/>
        <n v="0.22000162000000001"/>
        <n v="1.49105895"/>
        <n v="0.49920335999999998"/>
        <n v="1.48010011"/>
        <n v="0.74285714000000003"/>
        <n v="1.77097E-3"/>
        <n v="1.43333333"/>
        <n v="0.29333333"/>
        <n v="6.2713640000000001E-2"/>
        <n v="2"/>
        <n v="0.40009453"/>
        <n v="0.25"/>
        <n v="0.68294641"/>
        <n v="0.98461171999999997"/>
        <n v="1.6250000000000001E-2"/>
        <n v="5.3494280099999996"/>
        <n v="0.255"/>
        <n v="1.1660500000000001E-2"/>
        <n v="6.1633269999999997E-2"/>
        <n v="0.21496517000000001"/>
        <n v="1.1220538499999999"/>
        <n v="0.13881784"/>
        <n v="0.105"/>
        <n v="3.10336597"/>
        <n v="2.1666669999999999E-2"/>
        <n v="0.19889999999999999"/>
        <n v="1.30571993"/>
        <n v="0.48265581000000002"/>
        <n v="5.856476E-2"/>
        <n v="2.0799999900000001"/>
        <n v="1.0266645999999999"/>
        <n v="0.75715511999999996"/>
        <n v="1.7667840000000001E-2"/>
        <n v="1.2999801"/>
        <n v="2.2774999999999999"/>
        <n v="0.39285713999999999"/>
        <n v="0.98"/>
        <n v="1.54125"/>
        <n v="1.67317144"/>
        <n v="1.6"/>
        <n v="2.4"/>
        <n v="1.2598685199999999"/>
        <n v="1.3998577299999999"/>
        <n v="0.17349999999999999"/>
        <n v="1.1531666700000001"/>
        <n v="0.65800000000000003"/>
        <n v="7.4999999999999997E-2"/>
        <n v="0.24"/>
        <n v="0.55000000000000004"/>
        <n v="5.74297E-3"/>
        <n v="2.1080000000000002E-2"/>
        <n v="4.6383510000000003E-2"/>
        <n v="0.58858761999999998"/>
        <n v="0.18977484999999999"/>
        <n v="0.30999969999999999"/>
        <n v="3.97226846"/>
        <n v="0.88001543999999998"/>
        <n v="0.99832902999999995"/>
        <n v="2.3679456700000001"/>
        <n v="1.0509273699999999"/>
        <n v="0.34"/>
        <n v="1.77467347"/>
        <n v="1.0506402500000001"/>
        <n v="1.79433752"/>
        <n v="1.03333333"/>
        <n v="0.65165550000000005"/>
        <n v="6.9995166700000002"/>
        <n v="7.9989749999999998E-2"/>
        <n v="0.09"/>
        <n v="0.10044488"/>
        <n v="1.1275139599999999"/>
        <n v="4.3817799999999997E-2"/>
        <n v="0.45928629999999998"/>
        <n v="4.19791E-3"/>
        <n v="0.15728167000000001"/>
        <n v="0.14499999999999999"/>
        <n v="0.22499390999999999"/>
        <n v="0.12"/>
        <n v="0.59799999999999998"/>
        <n v="0.77500000000000002"/>
        <n v="1.3674022100000001"/>
        <n v="1.07922893"/>
        <n v="1.5"/>
        <n v="4.9893899999999998E-2"/>
        <n v="1.60806132"/>
        <n v="1.4316984699999999"/>
        <n v="0.17"/>
        <n v="0.13092852999999999"/>
        <n v="0.125"/>
        <n v="3.9997829999999998E-2"/>
        <n v="0.37"/>
        <n v="1.49995777"/>
        <n v="0.94444444000000005"/>
        <n v="0.24723000000000001"/>
        <n v="0.28499999999999998"/>
        <n v="0.2475"/>
        <n v="0.21676117"/>
        <n v="0.56998199999999999"/>
        <n v="0.90540511999999995"/>
        <n v="3.1739999999999999"/>
        <n v="0.3"/>
        <n v="0.47139999999999999"/>
        <n v="1.73333333"/>
        <n v="8.777778E-2"/>
        <n v="0.51004959999999999"/>
        <n v="0.76217440999999997"/>
        <n v="0.88420418000000001"/>
        <n v="0.1085"/>
        <n v="0.16250000000000001"/>
        <n v="3.378888E-2"/>
        <n v="2.9524310800000002"/>
        <n v="1.2004377500000001"/>
        <n v="0.12600037"/>
        <n v="16.782877500000001"/>
        <n v="1.3674999999999999"/>
        <n v="0.26500000000000001"/>
        <n v="0.34485139999999997"/>
        <n v="0.2175"/>
        <n v="0.34921667000000001"/>
        <n v="0.11499081"/>
        <n v="4.7500000000000001E-2"/>
        <n v="0.12486667"/>
        <n v="0.41411495999999998" u="1"/>
        <n v="8.1666669999999997E-2" u="1"/>
        <n v="1.5E-3" u="1"/>
        <n v="7.2480000000000003E-2" u="1"/>
        <n v="0.08" u="1"/>
        <n v="0.69" u="1"/>
        <n v="0.52" u="1"/>
        <n v="5.6666670000000002E-2" u="1"/>
        <n v="0.115" u="1"/>
        <n v="10.64480792" u="1"/>
        <n v="0.66259687" u="1"/>
        <n v="0.22367239999999999" u="1"/>
        <n v="9.7500000000000003E-2" u="1"/>
        <n v="5.0015490000000003E-2" u="1"/>
        <n v="0.17249999999999999" u="1"/>
        <n v="0.1875" u="1"/>
        <n v="0.13500000000000001" u="1"/>
        <n v="0.20699999999999999" u="1"/>
        <n v="0.1275" u="1"/>
        <n v="3.133333E-2" u="1"/>
        <n v="0.20499999999999999" u="1"/>
        <n v="0.107" u="1"/>
        <n v="0.23" u="1"/>
        <n v="0.49999999000000001" u="1"/>
        <n v="0.56999999999999995" u="1"/>
        <n v="1.4860091" u="1"/>
        <n v="0.43351840000000003" u="1"/>
        <n v="0.21002133000000001" u="1"/>
        <n v="4.7271199999999996E-3" u="1"/>
        <n v="0.16500000000000001" u="1"/>
        <n v="0.26729999999999998" u="1"/>
        <n v="2.4264600000000001E-3" u="1"/>
        <n v="0.33250000000000002" u="1"/>
        <n v="0.63249999999999995" u="1"/>
        <n v="0.36" u="1"/>
        <n v="0.63" u="1"/>
        <n v="1.33116473" u="1"/>
        <n v="1.33176472" u="1"/>
        <n v="0.39500000000000002" u="1"/>
        <n v="0.23499999999999999" u="1"/>
        <n v="0.16666666999999999" u="1"/>
        <n v="0.48830000000000001" u="1"/>
        <n v="0.15249468999999999" u="1"/>
        <n v="0.1199856" u="1"/>
        <n v="0.28031142999999997" u="1"/>
        <n v="0.20682001999999999" u="1"/>
        <n v="0.19450000000000001" u="1"/>
        <n v="0.25523020000000002" u="1"/>
        <n v="0.28000000000000003" u="1"/>
        <n v="9.8019949999999995E-2" u="1"/>
        <n v="2.4261109999999999E-2" u="1"/>
        <n v="1.4647900000000001E-3" u="1"/>
        <n v="4.5697710000000002E-2" u="1"/>
        <n v="1.9611300000000002E-3" u="1"/>
        <n v="1.1004209300000001" u="1"/>
        <n v="2.0005029900000002" u="1"/>
        <n v="1.389774E-2" u="1"/>
        <n v="1.7536400000000001E-3" u="1"/>
        <n v="5.8574999999999999" u="1"/>
        <n v="8.6299299999999992E-3" u="1"/>
        <n v="6.6452570000000002E-2" u="1"/>
        <n v="4.6617649999999997E-2" u="1"/>
        <n v="1.2806008" u="1"/>
        <n v="6.9544060000000005E-2" u="1"/>
        <n v="3.3305399999999999E-3" u="1"/>
        <n v="0.155" u="1"/>
        <n v="0.67538670999999995" u="1"/>
        <n v="0.48499999999999999" u="1"/>
        <n v="0.63914925" u="1"/>
        <n v="1.39885383" u="1"/>
        <n v="1.10005592" u="1"/>
        <n v="0.72093264000000001" u="1"/>
        <n v="2.3512304500000001" u="1"/>
        <n v="6.7767049999999995E-2" u="1"/>
        <n v="2.8307019999999999E-2" u="1"/>
        <n v="1.3333333300000001" u="1"/>
        <n v="2.2027855500000002" u="1"/>
        <n v="0.94118066" u="1"/>
        <n v="1.23" u="1"/>
        <n v="0.17080000000000001" u="1"/>
        <n v="0.94436059999999999" u="1"/>
        <n v="0.30499999999999999" u="1"/>
        <n v="6.3799999999999996E-2" u="1"/>
        <n v="0.83213333" u="1"/>
        <n v="0.84666666999999995" u="1"/>
        <n v="0.89375000000000004" u="1"/>
        <n v="0.57444443999999995" u="1"/>
        <n v="0.65395837000000001" u="1"/>
        <n v="0.94707691999999999" u="1"/>
        <n v="0.21940000000000001" u="1"/>
        <n v="1.7496280500000001" u="1"/>
        <n v="1.80126696" u="1"/>
        <n v="0.57043714000000001" u="1"/>
        <n v="0.99" u="1"/>
        <n v="3.6966580200000001" u="1"/>
        <n v="0.65395466999999996" u="1"/>
        <n v="0.38988457999999998" u="1"/>
        <n v="6.0361079999999998E-2" u="1"/>
        <n v="4.8740730000000003E-2" u="1"/>
        <n v="0.18918001000000001" u="1"/>
        <n v="3.7849479999999998E-2" u="1"/>
        <n v="0.34749999999999998" u="1"/>
        <n v="1.0005748999999999" u="1"/>
        <n v="9.2600000000000002E-2" u="1"/>
        <n v="0.19200001" u="1"/>
        <n v="6" u="1"/>
        <n v="7.3266880000000006E-2" u="1"/>
        <n v="4.8000000000000001E-2" u="1"/>
        <n v="5.3801019999999998E-2" u="1"/>
        <n v="0.46012144999999999" u="1"/>
        <n v="8.2950140000000006E-2" u="1"/>
        <n v="9.8500000000000004E-2" u="1"/>
        <n v="7.2650380000000001E-2" u="1"/>
        <n v="0.50119084999999997" u="1"/>
        <n v="0.251" u="1"/>
        <n v="7.3333330000000002E-2" u="1"/>
        <n v="5.9499999999999997E-2" u="1"/>
        <n v="0.1235" u="1"/>
        <n v="0.30420999999999998" u="1"/>
        <n v="3.7506100000000001E-2" u="1"/>
        <n v="4.7630970000000002E-2" u="1"/>
        <n v="0.10521999999999999" u="1"/>
        <n v="2.5000000000000001E-2" u="1"/>
        <n v="4.0500000000000001E-2" u="1"/>
        <n v="1.3056000000000001" u="1"/>
        <n v="0.57285386999999999" u="1"/>
        <n v="0.34499999999999997" u="1"/>
        <n v="21.893231400000001" u="1"/>
        <n v="0.114" u="1"/>
        <n v="4.6600000000000003E-2" u="1"/>
        <n v="0.24249999999999999" u="1"/>
        <n v="0.24610000000000001" u="1"/>
        <n v="2.5999999999999999E-2" u="1"/>
        <n v="0.64" u="1"/>
        <n v="0.11" u="1"/>
        <n v="0.432" u="1"/>
        <n v="2.6100000000000002E-2" u="1"/>
        <n v="0.17849999" u="1"/>
        <n v="0.83675562000000003" u="1"/>
        <n v="0.28999999999999998" u="1"/>
        <n v="1.54026157" u="1"/>
        <n v="0.38" u="1"/>
        <n v="0.26350000000000001" u="1"/>
        <n v="0.14371876" u="1"/>
        <n v="1.4863841900000001" u="1"/>
        <n v="0.38500000000000001" u="1"/>
        <n v="5.1499999999999997E-2" u="1"/>
        <n v="0.85" u="1"/>
        <n v="0.59821429000000004" u="1"/>
        <n v="10.23148378" u="1"/>
        <n v="0.31" u="1"/>
        <n v="0.33300000000000002" u="1"/>
        <n v="0.12701592" u="1"/>
        <n v="3.8120000000000001E-2" u="1"/>
        <n v="1.6229225199999999" u="1"/>
        <n v="0.33750000000000002" u="1"/>
        <n v="5.2499999999999998E-2" u="1"/>
        <n v="0.52989947999999998" u="1"/>
        <n v="0.59286013000000004" u="1"/>
        <n v="0.61575338999999996" u="1"/>
        <n v="0.85278228" u="1"/>
        <n v="0.624" u="1"/>
        <n v="0.65166157000000002" u="1"/>
        <n v="1.6666666699999999" u="1"/>
        <n v="0.72047260999999996" u="1"/>
        <n v="0.44444444" u="1"/>
        <n v="0.90990260000000001" u="1"/>
        <n v="1.0526315799999999" u="1"/>
        <n v="3.40138455" u="1"/>
        <n v="0.56705881999999996" u="1"/>
        <n v="0.52253179999999999" u="1"/>
        <n v="0.60897014999999999" u="1"/>
        <n v="1.40089744" u="1"/>
        <n v="1.08" u="1"/>
        <n v="0.33200000000000002" u="1"/>
        <n v="0.42499999999999999" u="1"/>
        <n v="1.07857143" u="1"/>
        <n v="0.21666667000000001" u="1"/>
        <n v="1.08752881" u="1"/>
        <n v="0.67142857" u="1"/>
        <n v="0.84421756999999997" u="1"/>
        <n v="2.0697513000000001" u="1"/>
        <n v="0.71568271000000006" u="1"/>
        <n v="1.0904935499999999" u="1"/>
        <n v="20.673749999999998" u="1"/>
        <n v="1.4240586399999999" u="1"/>
        <n v="0.79360923000000005" u="1"/>
        <n v="4.9358569999999997E-2" u="1"/>
        <n v="0.10267356" u="1"/>
        <n v="0.28286918999999999" u="1"/>
        <n v="4.3037010000000001E-2" u="1"/>
        <n v="0.76" u="1"/>
        <n v="0.53441042000000005" u="1"/>
        <n v="0.31065169999999998" u="1"/>
        <n v="0.16473226999999999" u="1"/>
        <n v="0.33225806000000002" u="1"/>
        <n v="0.13546817999999999" u="1"/>
        <n v="0.94264629" u="1"/>
        <n v="0.55400930999999998" u="1"/>
        <n v="1.6639809000000001" u="1"/>
        <n v="0.10666667000000001" u="1"/>
        <n v="0.77221678999999999" u="1"/>
        <n v="9.2582600000000001E-2" u="1"/>
        <n v="0.79222221999999998" u="1"/>
        <n v="0.11163586" u="1"/>
        <n v="1.8186700000000001E-3" u="1"/>
        <n v="7.0000000000000007E-2" u="1"/>
        <n v="0.46489999999999998" u="1"/>
        <n v="6.4366382900000003" u="1"/>
        <n v="0.10449497000000001" u="1"/>
        <n v="2.53287E-3" u="1"/>
        <n v="2.3000199999999998E-3" u="1"/>
        <n v="0.17467139000000001" u="1"/>
        <n v="1.5708799999999998E-2" u="1"/>
        <n v="4.699093E-2" u="1"/>
        <n v="2.0500250000000001E-2" u="1"/>
        <n v="0.42759236" u="1"/>
        <n v="3.500868E-2" u="1"/>
        <n v="8.5663110000000001E-2" u="1"/>
        <n v="0.61975038000000005" u="1"/>
        <n v="4.1346200000000003E-3" u="1"/>
        <n v="5.6115399999999999E-3" u="1"/>
        <n v="2.2721180000000001E-2" u="1"/>
        <n v="3.2744800000000002E-3" u="1"/>
        <n v="3.3859470000000003E-2" u="1"/>
        <n v="1.77772E-3" u="1"/>
        <n v="3.1166666699999999" u="1"/>
        <n v="0.8168337" u="1"/>
        <n v="1.60769231" u="1"/>
        <n v="1.4328747900000001" u="1"/>
        <n v="2.3683651499999998" u="1"/>
        <n v="0.70666667000000005" u="1"/>
        <n v="0.44" u="1"/>
        <n v="0.46285714" u="1"/>
        <n v="0.96" u="1"/>
        <n v="5.55" u="1"/>
        <n v="0.30728292000000001" u="1"/>
        <n v="2.8261383599999998" u="1"/>
        <n v="4.06666667" u="1"/>
        <n v="1.5065359700000001" u="1"/>
        <n v="0.12092602" u="1"/>
        <n v="0.14089400999999999" u="1"/>
        <n v="2.0928" u="1"/>
        <n v="0.41" u="1"/>
        <n v="0.26857143" u="1"/>
        <n v="1.2339325999999999" u="1"/>
        <n v="0.34649999999999997" u="1"/>
        <n v="7.9500000000000001E-2" u="1"/>
        <n v="0.63333333000000003" u="1"/>
        <n v="0.30570334999999998" u="1"/>
        <n v="8.6708333300000007" u="1"/>
        <n v="0.1715708" u="1"/>
        <n v="2.6012499999999998" u="1"/>
        <n v="0.57499999999999996" u="1"/>
        <n v="0.38498500000000002" u="1"/>
        <n v="0.41999985000000001" u="1"/>
        <n v="0.11999994999999999" u="1"/>
        <n v="21.77731" u="1"/>
        <n v="1.8330636499999999" u="1"/>
        <n v="0.49991013000000001" u="1"/>
        <n v="0.23000597" u="1"/>
        <n v="0.19500804999999999" u="1"/>
        <n v="7.5058349999999996E-2" u="1"/>
        <n v="0.73912500000000003" u="1"/>
        <n v="1.73805645" u="1"/>
        <n v="0.87998851" u="1"/>
        <n v="0.86033897999999998" u="1"/>
        <n v="0.84951613000000004" u="1"/>
        <n v="0.60000759999999997" u="1"/>
        <n v="2.6500812300000001" u="1"/>
        <n v="1.2065934" u="1"/>
        <n v="0.40000002000000001" u="1"/>
        <n v="1.68801866" u="1"/>
        <n v="0.47999997999999999" u="1"/>
        <n v="0.47499999999999998" u="1"/>
        <n v="0.96000041000000003" u="1"/>
        <n v="0.56985050000000004" u="1"/>
        <n v="0.43755333000000002" u="1"/>
        <n v="0.14996614" u="1"/>
        <n v="0.33999992000000001" u="1"/>
        <n v="1.7197499999999999" u="1"/>
        <n v="0.5" u="1"/>
        <n v="1.0500350000000001" u="1"/>
        <n v="0.875" u="1"/>
        <n v="0.19" u="1"/>
        <n v="0.17666833000000001" u="1"/>
        <n v="0.59" u="1"/>
        <n v="0.43" u="1"/>
        <n v="1.325" u="1"/>
        <n v="0.7" u="1"/>
        <n v="0.50700000000000001" u="1"/>
        <n v="0.13845108" u="1"/>
        <n v="0.91300000000000003" u="1"/>
        <n v="1.3" u="1"/>
        <n v="1.1005" u="1"/>
        <n v="0.59930000000000005" u="1"/>
        <n v="0.66210000000000002" u="1"/>
        <n v="1.3333288400000001" u="1"/>
        <n v="0.93333332999999996" u="1"/>
        <n v="0.375" u="1"/>
        <n v="2.2253959999999999" u="1"/>
        <n v="0.41749999999999998" u="1"/>
        <n v="0.96994563" u="1"/>
        <n v="1.1636929499999999" u="1"/>
        <n v="0.39" u="1"/>
        <n v="1.395" u="1"/>
        <n v="2.1933333300000002" u="1"/>
        <n v="2.12493876" u="1"/>
        <n v="0.1575" u="1"/>
        <n v="0.51999998999999997" u="1"/>
        <n v="0.3125" u="1"/>
        <n v="0.53249999999999997" u="1"/>
        <n v="0.13" u="1"/>
        <n v="0.53" u="1"/>
        <n v="0.19997999999999999" u="1"/>
        <n v="0.40017852999999998" u="1"/>
        <n v="0.48665027" u="1"/>
        <n v="1.2953805700000001" u="1"/>
        <n v="2.6851465999999999" u="1"/>
        <n v="3.39415786" u="1"/>
        <n v="6.6251980000000001" u="1"/>
        <n v="0.68" u="1"/>
        <n v="0.622" u="1"/>
        <n v="1.28329406" u="1"/>
        <n v="0.23749999999999999" u="1"/>
        <n v="3.7346360999999999" u="1"/>
        <n v="0.46960001000000001" u="1"/>
        <n v="0.84" u="1"/>
        <n v="2.2169889299999999" u="1"/>
        <n v="0.23100000000000001" u="1"/>
        <n v="0.70399542999999998" u="1"/>
        <n v="8.5" u="1"/>
        <n v="1.25" u="1"/>
        <n v="0.77" u="1"/>
        <n v="1.34" u="1"/>
        <n v="1.2178899999999999" u="1"/>
        <n v="3.2" u="1"/>
        <n v="0.72" u="1"/>
        <n v="5.06666667" u="1"/>
        <n v="1.32" u="1"/>
        <n v="6.3100000000000003E-2" u="1"/>
        <n v="28.749919999999999" u="1"/>
        <n v="9.0998900299999992" u="1"/>
        <n v="2.0799599999999998" u="1"/>
        <n v="0.62000999999999995" u="1"/>
        <n v="0.64965799999999996" u="1"/>
        <n v="0.35387000000000002" u="1"/>
        <n v="0.55270399999999997" u="1"/>
        <n v="0.16499939999999999" u="1"/>
        <n v="0.19665277" u="1"/>
        <n v="0.56699999999999995" u="1"/>
        <n v="0.51" u="1"/>
        <n v="0.27310000000000001" u="1"/>
        <n v="0.32500000000000001" u="1"/>
        <n v="0.20399998999999999" u="1"/>
        <n v="0.30666666999999997" u="1"/>
        <n v="18.993359470000001" u="1"/>
        <n v="0.33" u="1"/>
        <n v="0.45500000000000002" u="1"/>
        <n v="0.6875" u="1"/>
        <n v="0.36749999999999999" u="1"/>
        <n v="0.17215478000000001" u="1"/>
        <n v="0.32000973999999999" u="1"/>
        <n v="0.4430328" u="1"/>
        <n v="0.14749999999999999" u="1"/>
        <n v="0.30000000999999998" u="1"/>
        <n v="9.5385000000000009" u="1"/>
        <n v="0.35499999999999998" u="1"/>
        <n v="0.28599999999999998" u="1"/>
        <n v="6.7500000000000004E-2" u="1"/>
        <n v="0.32200000000000001" u="1"/>
        <n v="0.308" u="1"/>
        <n v="0.06" u="1"/>
        <n v="0.1016" u="1"/>
        <n v="0.48285464" u="1"/>
        <n v="0.359375" u="1"/>
        <n v="0.2467" u="1"/>
        <n v="0.29666667000000002" u="1"/>
        <n v="0.29435011" u="1"/>
        <n v="3.9961719999999999E-2" u="1"/>
        <n v="6.0962280000000001E-2" u="1"/>
        <n v="0.11082141" u="1"/>
        <n v="7" u="1"/>
        <n v="0.96506402999999996" u="1"/>
        <n v="1.0821024299999999" u="1"/>
        <n v="1.26001E-3" u="1"/>
        <n v="0.66209193" u="1"/>
        <n v="0.11025939999999999" u="1"/>
        <n v="2.78561E-3" u="1"/>
        <n v="0.22902115000000001" u="1"/>
        <n v="0.84633610999999997" u="1"/>
        <n v="5.89209E-3" u="1"/>
        <n v="4.9342589999999999E-2" u="1"/>
        <n v="7.4716799999999996E-3" u="1"/>
        <n v="3.843506E-2" u="1"/>
        <n v="8.2419809999999996E-2" u="1"/>
        <n v="7.2611969999999998E-2" u="1"/>
        <n v="2.1525550000000001E-2" u="1"/>
        <n v="2.6381299999999998E-3" u="1"/>
        <n v="3.2713500000000001E-3" u="1"/>
        <n v="3.4388469999999997E-2" u="1"/>
        <n v="1.7949860000000002E-2" u="1"/>
        <n v="4.4291299999999999E-3" u="1"/>
        <n v="1.8070409999999999E-2" u="1"/>
        <n v="3.8333333299999999" u="1"/>
        <n v="0.46960000000000002" u="1"/>
        <n v="0.13155122999999999" u="1"/>
        <n v="1.4502205800000001" u="1"/>
        <n v="0.10762943" u="1"/>
        <n v="0.19500000000000001" u="1"/>
        <n v="0.1925" u="1"/>
        <n v="0.19833882" u="1"/>
        <n v="0.33500000000000002" u="1"/>
        <n v="0.58757143000000001" u="1"/>
        <n v="0.23268676999999999" u="1"/>
        <n v="1.125" u="1"/>
        <n v="0.52749999999999997" u="1"/>
        <n v="0.80066667000000002" u="1"/>
        <n v="0.31574999999999998" u="1"/>
        <n v="0.42249999999999999" u="1"/>
        <n v="0.2225" u="1"/>
        <n v="0.187" u="1"/>
        <n v="1.78004286" u="1"/>
        <n v="0.48299999999999998" u="1"/>
        <n v="0.31480000000000002" u="1"/>
        <n v="7.2499999999999995E-2" u="1"/>
        <n v="0.15501119999999999" u="1"/>
        <n v="0.43636364" u="1"/>
        <n v="0.25750000000000001" u="1"/>
        <n v="0.19750000000000001" u="1"/>
        <n v="0.37337999999999999" u="1"/>
        <n v="0.14000000000000001" u="1"/>
        <n v="0.60750000000000004" u="1"/>
        <n v="0.17780000000000001" u="1"/>
        <n v="9.7000000000000003E-2" u="1"/>
        <n v="0.17899999999999999" u="1"/>
        <n v="5.2573830000000002E-2" u="1"/>
        <n v="0.13250000000000001" u="1"/>
        <n v="0.31002067" u="1"/>
        <n v="7.3336490000000004E-2" u="1"/>
        <n v="0.25000022" u="1"/>
      </sharedItems>
    </cacheField>
    <cacheField name="Share" numFmtId="164">
      <sharedItems containsSemiMixedTypes="0" containsString="0" containsNumber="1" minValue="1.5E-3" maxValue="1" count="130">
        <n v="3.5000000000000003E-2"/>
        <n v="4.4999999999999998E-2"/>
        <n v="0.02"/>
        <n v="1"/>
        <n v="0.03"/>
        <n v="0.05"/>
        <n v="0.1125"/>
        <n v="0.22500000000000001"/>
        <n v="5.1279999999999999E-2"/>
        <n v="0.01"/>
        <n v="0.15"/>
        <n v="0.04"/>
        <n v="0.1"/>
        <n v="0.2"/>
        <n v="5.2499999999999998E-2"/>
        <n v="7.0000000000000007E-2"/>
        <n v="7.4999999999999997E-2"/>
        <n v="8.1250000000000003E-2"/>
        <n v="0.18"/>
        <n v="0.3"/>
        <n v="0.17499999999999999"/>
        <n v="0.13500000000000001"/>
        <n v="0.1229"/>
        <n v="2.5000000000000001E-2"/>
        <n v="0.08"/>
        <n v="2.2499999999999999E-2"/>
        <n v="0.5"/>
        <n v="0.25"/>
        <n v="0.06"/>
        <n v="0.125"/>
        <n v="3.2500000000000001E-2"/>
        <n v="0.11"/>
        <n v="8.5000000000000006E-2"/>
        <n v="1.4999999999999999E-2"/>
        <n v="8.2500000000000004E-2"/>
        <n v="4.2500000000000003E-2"/>
        <n v="0.09"/>
        <n v="0.17"/>
        <n v="4.7500000000000001E-2"/>
        <n v="6.5000000000000002E-2"/>
        <n v="4.9010900000000003E-2"/>
        <n v="0.12"/>
        <n v="1.2500000000000001E-2"/>
        <n v="3.3799999999999997E-2"/>
        <n v="3.85E-2"/>
        <n v="7.4999999999999997E-3"/>
        <n v="6.25E-2"/>
        <n v="8.3299999999999999E-2"/>
        <n v="1.7500000000000002E-2"/>
        <n v="1.4E-2"/>
        <n v="0.115"/>
        <n v="5.5E-2"/>
        <n v="0.35"/>
        <n v="0.16667000000000001"/>
        <n v="0.10833333000000001"/>
        <n v="5.1999999999999998E-2"/>
        <n v="5.7689999999999998E-2"/>
        <n v="0.1525"/>
        <n v="7.2499999999999995E-2"/>
        <n v="0.155"/>
        <n v="7.85E-2" u="1"/>
        <n v="0.33333000000000002" u="1"/>
        <n v="4.2000000000000003E-2" u="1"/>
        <n v="0.13" u="1"/>
        <n v="8.7499999999999994E-2" u="1"/>
        <n v="5.0000000000000001E-3" u="1"/>
        <n v="9.5000000000000001E-2" u="1"/>
        <n v="0.14000000000000001" u="1"/>
        <n v="0.23" u="1"/>
        <n v="0.1075" u="1"/>
        <n v="0.14249999999999999" u="1"/>
        <n v="0.4" u="1"/>
        <n v="1.8499999999999999E-2" u="1"/>
        <n v="4.5449999999999997E-2" u="1"/>
        <n v="0.41499999999999998" u="1"/>
        <n v="0.20300000000000001" u="1"/>
        <n v="0.19500000000000001" u="1"/>
        <n v="6.4000000000000001E-2" u="1"/>
        <n v="9.8000000000000004E-2" u="1"/>
        <n v="0.45" u="1"/>
        <n v="0.245" u="1"/>
        <n v="0.6" u="1"/>
        <n v="9.2899999999999996E-2" u="1"/>
        <n v="0.20499999999999999" u="1"/>
        <n v="0.27" u="1"/>
        <n v="2.75E-2" u="1"/>
        <n v="0.19" u="1"/>
        <n v="0.185" u="1"/>
        <n v="1.15E-2" u="1"/>
        <n v="0.27500000000000002" u="1"/>
        <n v="0.375" u="1"/>
        <n v="3.5099999999999999E-2" u="1"/>
        <n v="0.7" u="1"/>
        <n v="0.28000000000000003" u="1"/>
        <n v="6.6666665999999999E-2" u="1"/>
        <n v="9.9999998000000007E-2" u="1"/>
        <n v="1.6077169999999998E-2" u="1"/>
        <n v="4.1669999999999999E-2" u="1"/>
        <n v="5.6500000000000002E-2" u="1"/>
        <n v="1.61E-2" u="1"/>
        <n v="3.5999999999999997E-2" u="1"/>
        <n v="0.30499999999999999" u="1"/>
        <n v="7.7499999999999999E-2" u="1"/>
        <n v="2.6249999999999999E-2" u="1"/>
        <n v="3.2309999999999998E-2" u="1"/>
        <n v="3.7699999999999997E-2" u="1"/>
        <n v="0.2545" u="1"/>
        <n v="8.6249999999999993E-2" u="1"/>
        <n v="3.5000000000000001E-3" u="1"/>
        <n v="0.24" u="1"/>
        <n v="6.9209999999999994E-2" u="1"/>
        <n v="0.1875" u="1"/>
        <n v="0.2631578" u="1"/>
        <n v="0.368421" u="1"/>
        <n v="0.16" u="1"/>
        <n v="0.1865" u="1"/>
        <n v="0.257142857" u="1"/>
        <n v="0.53333333000000005" u="1"/>
        <n v="0.44444444399999999" u="1"/>
        <n v="4.9200000000000001E-2" u="1"/>
        <n v="3.4000000000000002E-2" u="1"/>
        <n v="0.46666667000000001" u="1"/>
        <n v="9.2499999999999999E-2" u="1"/>
        <n v="0.44444444440000003" u="1"/>
        <n v="8.7999999999999995E-2" u="1"/>
        <n v="0.14749999999999999" u="1"/>
        <n v="0.37874999999999998" u="1"/>
        <n v="0.437" u="1"/>
        <n v="0.1275" u="1"/>
        <n v="1.5E-3" u="1"/>
      </sharedItems>
    </cacheField>
    <cacheField name="Gross" numFmtId="164">
      <sharedItems containsSemiMixedTypes="0" containsString="0" containsNumber="1" minValue="0" maxValue="3151509.0210000002"/>
    </cacheField>
    <cacheField name="NetOfLogan" numFmtId="164">
      <sharedItems containsSemiMixedTypes="0" containsString="0" containsNumber="1" minValue="0" maxValue="3151509.0210000002"/>
    </cacheField>
    <cacheField name="NetofAllCessions" numFmtId="164">
      <sharedItems containsSemiMixedTypes="0" containsString="0" containsNumber="1" minValue="-1268678.82" maxValue="3151509.0210000002"/>
    </cacheField>
    <cacheField name="Expected_RIPs" numFmtId="164">
      <sharedItems containsSemiMixedTypes="0" containsString="0" containsNumber="1" minValue="-14334.384606899999" maxValue="200003.51250000001"/>
    </cacheField>
    <cacheField name="MaxWind (mph)" numFmtId="0">
      <sharedItems/>
    </cacheField>
    <cacheField name="Landfall" numFmtId="164">
      <sharedItems/>
    </cacheField>
    <cacheField name="Industry_Loss (USDm)" numFmtId="164">
      <sharedItems containsSemiMixedTypes="0" containsString="0" containsNumber="1" minValue="3280.0940773799998" maxValue="4781.60363426"/>
    </cacheField>
    <cacheField name="Manual Override" numFmtId="164">
      <sharedItems containsBlank="1"/>
    </cacheField>
    <cacheField name="Department_Map" numFmtId="164">
      <sharedItems containsBlank="1" count="16">
        <s v="TP"/>
        <s v="FP"/>
        <s v="Bermuda"/>
        <s v="EI Recovery^"/>
        <s v="Insurance"/>
        <s v="London"/>
        <s v="Canada"/>
        <s v="MEA"/>
        <s v="Dublin"/>
        <s v="AF"/>
        <e v="#N/A"/>
        <s v="Parametric Solutions" u="1"/>
        <s v="Miami" u="1"/>
        <s v="Marine" u="1"/>
        <m u="1"/>
        <s v="Singapore" u="1"/>
      </sharedItems>
    </cacheField>
    <cacheField name="Net" numFmtId="0" formula="NetofAllCessions-Expected_RIPs" databaseField="0"/>
    <cacheField name="Gross Market Share" numFmtId="0" formula=" ((SUM(Gross))/1000000)/MAX(#NAME?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8">
  <r>
    <x v="0"/>
    <x v="0"/>
    <x v="0"/>
    <x v="0"/>
    <x v="0"/>
    <x v="0"/>
    <x v="0"/>
    <x v="0"/>
    <x v="0"/>
    <x v="0"/>
    <x v="0"/>
    <x v="0"/>
    <x v="0"/>
    <n v="4461.9599500000004"/>
    <n v="4461.9599500000004"/>
    <n v="4461.9599500000004"/>
    <n v="0"/>
    <s v="NULL"/>
    <s v="Winterstorm NY TX MA NJ PA"/>
    <n v="4781.60363426"/>
    <s v="N"/>
    <x v="0"/>
  </r>
  <r>
    <x v="1"/>
    <x v="0"/>
    <x v="0"/>
    <x v="1"/>
    <x v="1"/>
    <x v="1"/>
    <x v="1"/>
    <x v="1"/>
    <x v="0"/>
    <x v="0"/>
    <x v="1"/>
    <x v="1"/>
    <x v="1"/>
    <n v="52290.507599999997"/>
    <n v="52290.507599999997"/>
    <n v="52290.507599999997"/>
    <n v="0"/>
    <s v="NULL"/>
    <s v="Winterstorm NY TX MA NJ PA"/>
    <n v="4781.60363426"/>
    <s v="N"/>
    <x v="0"/>
  </r>
  <r>
    <x v="2"/>
    <x v="0"/>
    <x v="0"/>
    <x v="2"/>
    <x v="0"/>
    <x v="2"/>
    <x v="1"/>
    <x v="1"/>
    <x v="0"/>
    <x v="0"/>
    <x v="2"/>
    <x v="2"/>
    <x v="1"/>
    <n v="135.46125000000001"/>
    <n v="135.46125000000001"/>
    <n v="135.46125000000001"/>
    <n v="0"/>
    <s v="NULL"/>
    <s v="Winterstorm NY TX MA NJ PA"/>
    <n v="4781.60363426"/>
    <m/>
    <x v="0"/>
  </r>
  <r>
    <x v="3"/>
    <x v="1"/>
    <x v="0"/>
    <x v="3"/>
    <x v="0"/>
    <x v="3"/>
    <x v="2"/>
    <x v="2"/>
    <x v="0"/>
    <x v="0"/>
    <x v="3"/>
    <x v="3"/>
    <x v="2"/>
    <n v="463.70420000000001"/>
    <n v="463.70420000000001"/>
    <n v="463.70420000000001"/>
    <n v="0"/>
    <s v="NULL"/>
    <s v="Winterstorm NY TX MA CT PA"/>
    <n v="3280.0940773799998"/>
    <m/>
    <x v="0"/>
  </r>
  <r>
    <x v="4"/>
    <x v="0"/>
    <x v="0"/>
    <x v="4"/>
    <x v="0"/>
    <x v="4"/>
    <x v="3"/>
    <x v="1"/>
    <x v="0"/>
    <x v="0"/>
    <x v="3"/>
    <x v="4"/>
    <x v="2"/>
    <n v="19.8306"/>
    <n v="19.8306"/>
    <n v="19.8306"/>
    <n v="0"/>
    <s v="NULL"/>
    <s v="Winterstorm NY TX MA NJ PA"/>
    <n v="4781.60363426"/>
    <m/>
    <x v="0"/>
  </r>
  <r>
    <x v="5"/>
    <x v="0"/>
    <x v="1"/>
    <x v="5"/>
    <x v="0"/>
    <x v="5"/>
    <x v="4"/>
    <x v="3"/>
    <x v="0"/>
    <x v="0"/>
    <x v="4"/>
    <x v="5"/>
    <x v="3"/>
    <n v="203.6251"/>
    <n v="203.6251"/>
    <n v="203.6251"/>
    <n v="0"/>
    <s v="NULL"/>
    <s v="Winterstorm NY TX MA NJ PA"/>
    <n v="4781.60363426"/>
    <m/>
    <x v="1"/>
  </r>
  <r>
    <x v="6"/>
    <x v="2"/>
    <x v="0"/>
    <x v="6"/>
    <x v="0"/>
    <x v="6"/>
    <x v="1"/>
    <x v="4"/>
    <x v="0"/>
    <x v="0"/>
    <x v="3"/>
    <x v="6"/>
    <x v="4"/>
    <n v="4.8996000000000004"/>
    <n v="4.8996000000000004"/>
    <n v="4.8996000000000004"/>
    <n v="0"/>
    <s v="NULL"/>
    <s v="Winterstorm NY MA TX PA SC"/>
    <n v="3949.1976460300002"/>
    <m/>
    <x v="0"/>
  </r>
  <r>
    <x v="7"/>
    <x v="1"/>
    <x v="2"/>
    <x v="7"/>
    <x v="1"/>
    <x v="7"/>
    <x v="5"/>
    <x v="5"/>
    <x v="0"/>
    <x v="0"/>
    <x v="5"/>
    <x v="7"/>
    <x v="4"/>
    <n v="27600.109199999999"/>
    <n v="27600.109199999999"/>
    <n v="27600.109199999999"/>
    <n v="0"/>
    <s v="NULL"/>
    <s v="Winterstorm NY TX MA CT PA"/>
    <n v="3280.0940773799998"/>
    <m/>
    <x v="1"/>
  </r>
  <r>
    <x v="8"/>
    <x v="2"/>
    <x v="3"/>
    <x v="8"/>
    <x v="1"/>
    <x v="8"/>
    <x v="6"/>
    <x v="6"/>
    <x v="0"/>
    <x v="0"/>
    <x v="3"/>
    <x v="8"/>
    <x v="5"/>
    <n v="40547.620499999997"/>
    <n v="40547.620499999997"/>
    <n v="40547.620499999997"/>
    <n v="0"/>
    <s v="NULL"/>
    <s v="Winterstorm NY MA TX PA SC"/>
    <n v="3949.1976460300002"/>
    <m/>
    <x v="2"/>
  </r>
  <r>
    <x v="9"/>
    <x v="2"/>
    <x v="4"/>
    <x v="9"/>
    <x v="0"/>
    <x v="9"/>
    <x v="7"/>
    <x v="7"/>
    <x v="0"/>
    <x v="0"/>
    <x v="6"/>
    <x v="9"/>
    <x v="5"/>
    <n v="148.17851754"/>
    <n v="148.17851754"/>
    <n v="148.17851754"/>
    <n v="0"/>
    <s v="NULL"/>
    <s v="Winterstorm NY MA TX PA SC"/>
    <n v="3949.1976460300002"/>
    <m/>
    <x v="1"/>
  </r>
  <r>
    <x v="10"/>
    <x v="1"/>
    <x v="0"/>
    <x v="10"/>
    <x v="1"/>
    <x v="10"/>
    <x v="8"/>
    <x v="8"/>
    <x v="0"/>
    <x v="0"/>
    <x v="3"/>
    <x v="10"/>
    <x v="6"/>
    <n v="95549.981625"/>
    <n v="95549.981625"/>
    <n v="95549.981625"/>
    <n v="0"/>
    <s v="NULL"/>
    <s v="Winterstorm NY TX MA CT PA"/>
    <n v="3280.0940773799998"/>
    <m/>
    <x v="0"/>
  </r>
  <r>
    <x v="11"/>
    <x v="1"/>
    <x v="1"/>
    <x v="5"/>
    <x v="0"/>
    <x v="5"/>
    <x v="9"/>
    <x v="3"/>
    <x v="0"/>
    <x v="0"/>
    <x v="4"/>
    <x v="5"/>
    <x v="3"/>
    <n v="77687.884229999996"/>
    <n v="77687.884229999996"/>
    <n v="77687.884229999996"/>
    <n v="0"/>
    <s v="NULL"/>
    <s v="Winterstorm NY TX MA CT PA"/>
    <n v="3280.0940773799998"/>
    <m/>
    <x v="1"/>
  </r>
  <r>
    <x v="12"/>
    <x v="1"/>
    <x v="1"/>
    <x v="5"/>
    <x v="0"/>
    <x v="5"/>
    <x v="10"/>
    <x v="3"/>
    <x v="0"/>
    <x v="0"/>
    <x v="4"/>
    <x v="5"/>
    <x v="3"/>
    <n v="168.44689099999999"/>
    <n v="168.44689099999999"/>
    <n v="168.44689099999999"/>
    <n v="0"/>
    <s v="NULL"/>
    <s v="Winterstorm NY TX MA CT PA"/>
    <n v="3280.0940773799998"/>
    <m/>
    <x v="1"/>
  </r>
  <r>
    <x v="13"/>
    <x v="1"/>
    <x v="0"/>
    <x v="11"/>
    <x v="0"/>
    <x v="11"/>
    <x v="3"/>
    <x v="9"/>
    <x v="0"/>
    <x v="0"/>
    <x v="7"/>
    <x v="11"/>
    <x v="5"/>
    <n v="12576.264499999999"/>
    <n v="12576.264499999999"/>
    <n v="12576.264499999999"/>
    <n v="0"/>
    <s v="NULL"/>
    <s v="Winterstorm NY TX MA CT PA"/>
    <n v="3280.0940773799998"/>
    <m/>
    <x v="0"/>
  </r>
  <r>
    <x v="14"/>
    <x v="0"/>
    <x v="4"/>
    <x v="12"/>
    <x v="0"/>
    <x v="12"/>
    <x v="11"/>
    <x v="3"/>
    <x v="0"/>
    <x v="0"/>
    <x v="4"/>
    <x v="5"/>
    <x v="3"/>
    <n v="824.68761300000006"/>
    <n v="824.68761300000006"/>
    <n v="824.68761300000006"/>
    <n v="0"/>
    <s v="NULL"/>
    <s v="Winterstorm NY TX MA NJ PA"/>
    <n v="4781.60363426"/>
    <m/>
    <x v="1"/>
  </r>
  <r>
    <x v="15"/>
    <x v="2"/>
    <x v="5"/>
    <x v="13"/>
    <x v="1"/>
    <x v="13"/>
    <x v="12"/>
    <x v="10"/>
    <x v="0"/>
    <x v="0"/>
    <x v="5"/>
    <x v="5"/>
    <x v="3"/>
    <n v="0"/>
    <n v="0"/>
    <n v="-794085.64"/>
    <n v="0"/>
    <s v="NULL"/>
    <s v="Winterstorm NY MA TX PA SC"/>
    <n v="3949.1976460300002"/>
    <m/>
    <x v="3"/>
  </r>
  <r>
    <x v="16"/>
    <x v="2"/>
    <x v="3"/>
    <x v="14"/>
    <x v="1"/>
    <x v="14"/>
    <x v="13"/>
    <x v="11"/>
    <x v="0"/>
    <x v="0"/>
    <x v="3"/>
    <x v="12"/>
    <x v="7"/>
    <n v="40217.525999999998"/>
    <n v="40217.525999999998"/>
    <n v="40217.525999999998"/>
    <n v="0"/>
    <s v="NULL"/>
    <s v="Winterstorm NY MA TX PA SC"/>
    <n v="3949.1976460300002"/>
    <m/>
    <x v="2"/>
  </r>
  <r>
    <x v="17"/>
    <x v="0"/>
    <x v="0"/>
    <x v="15"/>
    <x v="1"/>
    <x v="15"/>
    <x v="14"/>
    <x v="12"/>
    <x v="0"/>
    <x v="0"/>
    <x v="3"/>
    <x v="13"/>
    <x v="8"/>
    <n v="55889.320747999998"/>
    <n v="55889.320747999998"/>
    <n v="55889.320747999998"/>
    <n v="0"/>
    <s v="NULL"/>
    <s v="Winterstorm NY TX MA NJ PA"/>
    <n v="4781.60363426"/>
    <m/>
    <x v="0"/>
  </r>
  <r>
    <x v="18"/>
    <x v="0"/>
    <x v="5"/>
    <x v="16"/>
    <x v="1"/>
    <x v="16"/>
    <x v="15"/>
    <x v="13"/>
    <x v="0"/>
    <x v="0"/>
    <x v="5"/>
    <x v="5"/>
    <x v="3"/>
    <n v="0"/>
    <n v="0"/>
    <n v="-3388.87"/>
    <n v="0"/>
    <s v="NULL"/>
    <s v="Winterstorm NY TX MA NJ PA"/>
    <n v="4781.60363426"/>
    <m/>
    <x v="3"/>
  </r>
  <r>
    <x v="19"/>
    <x v="2"/>
    <x v="6"/>
    <x v="17"/>
    <x v="1"/>
    <x v="17"/>
    <x v="16"/>
    <x v="14"/>
    <x v="0"/>
    <x v="0"/>
    <x v="5"/>
    <x v="14"/>
    <x v="3"/>
    <n v="120325.72"/>
    <n v="120325.72"/>
    <n v="120325.72"/>
    <n v="0"/>
    <s v="NULL"/>
    <s v="Winterstorm NY MA TX PA SC"/>
    <n v="3949.1976460300002"/>
    <m/>
    <x v="4"/>
  </r>
  <r>
    <x v="20"/>
    <x v="1"/>
    <x v="2"/>
    <x v="18"/>
    <x v="1"/>
    <x v="18"/>
    <x v="17"/>
    <x v="15"/>
    <x v="0"/>
    <x v="0"/>
    <x v="8"/>
    <x v="15"/>
    <x v="9"/>
    <n v="2.2084999999999999"/>
    <n v="2.2084999999999999"/>
    <n v="2.2084999999999999"/>
    <n v="0"/>
    <s v="NULL"/>
    <s v="Winterstorm NY TX MA CT PA"/>
    <n v="3280.0940773799998"/>
    <m/>
    <x v="1"/>
  </r>
  <r>
    <x v="21"/>
    <x v="2"/>
    <x v="0"/>
    <x v="19"/>
    <x v="0"/>
    <x v="19"/>
    <x v="18"/>
    <x v="16"/>
    <x v="0"/>
    <x v="0"/>
    <x v="9"/>
    <x v="16"/>
    <x v="5"/>
    <n v="2103.0774999999999"/>
    <n v="2103.0774999999999"/>
    <n v="2103.0774999999999"/>
    <n v="0"/>
    <s v="NULL"/>
    <s v="Winterstorm NY MA TX PA SC"/>
    <n v="3949.1976460300002"/>
    <m/>
    <x v="0"/>
  </r>
  <r>
    <x v="6"/>
    <x v="0"/>
    <x v="0"/>
    <x v="6"/>
    <x v="0"/>
    <x v="6"/>
    <x v="1"/>
    <x v="4"/>
    <x v="0"/>
    <x v="0"/>
    <x v="3"/>
    <x v="6"/>
    <x v="4"/>
    <n v="1.1919"/>
    <n v="1.1919"/>
    <n v="1.1919"/>
    <n v="0"/>
    <s v="NULL"/>
    <s v="Winterstorm NY TX MA NJ PA"/>
    <n v="4781.60363426"/>
    <m/>
    <x v="0"/>
  </r>
  <r>
    <x v="22"/>
    <x v="1"/>
    <x v="4"/>
    <x v="20"/>
    <x v="1"/>
    <x v="20"/>
    <x v="19"/>
    <x v="1"/>
    <x v="0"/>
    <x v="0"/>
    <x v="1"/>
    <x v="17"/>
    <x v="5"/>
    <n v="124.2765"/>
    <n v="124.2765"/>
    <n v="124.2765"/>
    <n v="0"/>
    <s v="NULL"/>
    <s v="Winterstorm NY TX MA CT PA"/>
    <n v="3280.0940773799998"/>
    <m/>
    <x v="1"/>
  </r>
  <r>
    <x v="23"/>
    <x v="1"/>
    <x v="0"/>
    <x v="21"/>
    <x v="1"/>
    <x v="21"/>
    <x v="20"/>
    <x v="17"/>
    <x v="0"/>
    <x v="0"/>
    <x v="3"/>
    <x v="18"/>
    <x v="10"/>
    <n v="543596.08499999996"/>
    <n v="543596.08499999996"/>
    <n v="543596.08499999996"/>
    <n v="0"/>
    <s v="NULL"/>
    <s v="Winterstorm NY TX MA CT PA"/>
    <n v="3280.0940773799998"/>
    <m/>
    <x v="0"/>
  </r>
  <r>
    <x v="24"/>
    <x v="2"/>
    <x v="0"/>
    <x v="22"/>
    <x v="0"/>
    <x v="22"/>
    <x v="21"/>
    <x v="18"/>
    <x v="0"/>
    <x v="0"/>
    <x v="10"/>
    <x v="19"/>
    <x v="5"/>
    <n v="11574.879000000001"/>
    <n v="11574.879000000001"/>
    <n v="11574.879000000001"/>
    <n v="0"/>
    <s v="NULL"/>
    <s v="Winterstorm NY MA TX PA SC"/>
    <n v="3949.1976460300002"/>
    <m/>
    <x v="0"/>
  </r>
  <r>
    <x v="25"/>
    <x v="2"/>
    <x v="0"/>
    <x v="23"/>
    <x v="0"/>
    <x v="23"/>
    <x v="22"/>
    <x v="19"/>
    <x v="0"/>
    <x v="0"/>
    <x v="3"/>
    <x v="20"/>
    <x v="11"/>
    <n v="10491.808800000001"/>
    <n v="10491.808800000001"/>
    <n v="10491.808800000001"/>
    <n v="0"/>
    <s v="NULL"/>
    <s v="Winterstorm NY MA TX PA SC"/>
    <n v="3949.1976460300002"/>
    <m/>
    <x v="0"/>
  </r>
  <r>
    <x v="26"/>
    <x v="0"/>
    <x v="7"/>
    <x v="24"/>
    <x v="1"/>
    <x v="24"/>
    <x v="23"/>
    <x v="20"/>
    <x v="0"/>
    <x v="0"/>
    <x v="11"/>
    <x v="21"/>
    <x v="12"/>
    <n v="6566.0950000000003"/>
    <n v="6566.0950000000003"/>
    <n v="6566.0950000000003"/>
    <n v="0"/>
    <s v="NULL"/>
    <s v="Winterstorm NY TX MA NJ PA"/>
    <n v="4781.60363426"/>
    <m/>
    <x v="5"/>
  </r>
  <r>
    <x v="27"/>
    <x v="0"/>
    <x v="8"/>
    <x v="25"/>
    <x v="0"/>
    <x v="25"/>
    <x v="24"/>
    <x v="21"/>
    <x v="0"/>
    <x v="0"/>
    <x v="3"/>
    <x v="22"/>
    <x v="13"/>
    <n v="2981.3941766399998"/>
    <n v="2981.3941766399998"/>
    <n v="2981.3941766399998"/>
    <n v="0"/>
    <s v="NULL"/>
    <s v="Winterstorm NY TX MA NJ PA"/>
    <n v="4781.60363426"/>
    <m/>
    <x v="6"/>
  </r>
  <r>
    <x v="28"/>
    <x v="0"/>
    <x v="0"/>
    <x v="26"/>
    <x v="0"/>
    <x v="26"/>
    <x v="25"/>
    <x v="8"/>
    <x v="0"/>
    <x v="0"/>
    <x v="12"/>
    <x v="23"/>
    <x v="14"/>
    <n v="79655.119424999997"/>
    <n v="79655.119424999997"/>
    <n v="79655.119424999997"/>
    <n v="0"/>
    <s v="NULL"/>
    <s v="Winterstorm NY TX MA NJ PA"/>
    <n v="4781.60363426"/>
    <m/>
    <x v="0"/>
  </r>
  <r>
    <x v="29"/>
    <x v="1"/>
    <x v="2"/>
    <x v="27"/>
    <x v="0"/>
    <x v="27"/>
    <x v="26"/>
    <x v="3"/>
    <x v="0"/>
    <x v="0"/>
    <x v="4"/>
    <x v="5"/>
    <x v="3"/>
    <n v="113432.381733"/>
    <n v="113432.381733"/>
    <n v="113432.381733"/>
    <n v="0"/>
    <s v="NULL"/>
    <s v="Winterstorm NY TX MA CT PA"/>
    <n v="3280.0940773799998"/>
    <m/>
    <x v="1"/>
  </r>
  <r>
    <x v="30"/>
    <x v="2"/>
    <x v="1"/>
    <x v="5"/>
    <x v="0"/>
    <x v="5"/>
    <x v="27"/>
    <x v="3"/>
    <x v="0"/>
    <x v="0"/>
    <x v="4"/>
    <x v="5"/>
    <x v="3"/>
    <n v="3731.0890720000002"/>
    <n v="3731.0890720000002"/>
    <n v="3731.0890720000002"/>
    <n v="0"/>
    <s v="NULL"/>
    <s v="Winterstorm NY MA TX PA SC"/>
    <n v="3949.1976460300002"/>
    <m/>
    <x v="1"/>
  </r>
  <r>
    <x v="31"/>
    <x v="0"/>
    <x v="0"/>
    <x v="28"/>
    <x v="1"/>
    <x v="28"/>
    <x v="28"/>
    <x v="22"/>
    <x v="0"/>
    <x v="0"/>
    <x v="13"/>
    <x v="24"/>
    <x v="15"/>
    <n v="632050.5527"/>
    <n v="632050.5527"/>
    <n v="632050.5527"/>
    <n v="0"/>
    <s v="NULL"/>
    <s v="Winterstorm NY TX MA NJ PA"/>
    <n v="4781.60363426"/>
    <m/>
    <x v="0"/>
  </r>
  <r>
    <x v="32"/>
    <x v="2"/>
    <x v="0"/>
    <x v="29"/>
    <x v="0"/>
    <x v="29"/>
    <x v="3"/>
    <x v="8"/>
    <x v="0"/>
    <x v="0"/>
    <x v="14"/>
    <x v="25"/>
    <x v="12"/>
    <n v="19452.812999999998"/>
    <n v="19452.812999999998"/>
    <n v="19452.812999999998"/>
    <n v="0"/>
    <s v="NULL"/>
    <s v="Winterstorm NY MA TX PA SC"/>
    <n v="3949.1976460300002"/>
    <m/>
    <x v="0"/>
  </r>
  <r>
    <x v="33"/>
    <x v="0"/>
    <x v="2"/>
    <x v="27"/>
    <x v="0"/>
    <x v="27"/>
    <x v="29"/>
    <x v="3"/>
    <x v="0"/>
    <x v="0"/>
    <x v="4"/>
    <x v="5"/>
    <x v="3"/>
    <n v="13040.544802"/>
    <n v="13040.544802"/>
    <n v="13040.544802"/>
    <n v="0"/>
    <s v="NULL"/>
    <s v="Winterstorm NY TX MA NJ PA"/>
    <n v="4781.60363426"/>
    <m/>
    <x v="1"/>
  </r>
  <r>
    <x v="34"/>
    <x v="1"/>
    <x v="9"/>
    <x v="30"/>
    <x v="1"/>
    <x v="30"/>
    <x v="30"/>
    <x v="23"/>
    <x v="0"/>
    <x v="0"/>
    <x v="5"/>
    <x v="26"/>
    <x v="3"/>
    <n v="136249.64000000001"/>
    <n v="136249.64000000001"/>
    <n v="136249.64000000001"/>
    <n v="0"/>
    <s v="NULL"/>
    <s v="Winterstorm NY TX MA CT PA"/>
    <n v="3280.0940773799998"/>
    <m/>
    <x v="4"/>
  </r>
  <r>
    <x v="35"/>
    <x v="0"/>
    <x v="0"/>
    <x v="31"/>
    <x v="1"/>
    <x v="31"/>
    <x v="31"/>
    <x v="24"/>
    <x v="0"/>
    <x v="0"/>
    <x v="15"/>
    <x v="27"/>
    <x v="16"/>
    <n v="72756.441749999998"/>
    <n v="72756.441749999998"/>
    <n v="72756.441749999998"/>
    <n v="0"/>
    <s v="NULL"/>
    <s v="Winterstorm NY TX MA NJ PA"/>
    <n v="4781.60363426"/>
    <m/>
    <x v="0"/>
  </r>
  <r>
    <x v="36"/>
    <x v="1"/>
    <x v="2"/>
    <x v="27"/>
    <x v="0"/>
    <x v="27"/>
    <x v="32"/>
    <x v="3"/>
    <x v="0"/>
    <x v="0"/>
    <x v="4"/>
    <x v="5"/>
    <x v="3"/>
    <n v="5085.9600849999997"/>
    <n v="5085.9600849999997"/>
    <n v="5085.9600849999997"/>
    <n v="0"/>
    <s v="NULL"/>
    <s v="Winterstorm NY TX MA CT PA"/>
    <n v="3280.0940773799998"/>
    <m/>
    <x v="1"/>
  </r>
  <r>
    <x v="37"/>
    <x v="2"/>
    <x v="0"/>
    <x v="32"/>
    <x v="0"/>
    <x v="32"/>
    <x v="33"/>
    <x v="25"/>
    <x v="0"/>
    <x v="0"/>
    <x v="16"/>
    <x v="28"/>
    <x v="2"/>
    <n v="4107.7852000000003"/>
    <n v="4107.7852000000003"/>
    <n v="4107.7852000000003"/>
    <n v="0"/>
    <s v="NULL"/>
    <s v="Winterstorm NY MA TX PA SC"/>
    <n v="3949.1976460300002"/>
    <m/>
    <x v="0"/>
  </r>
  <r>
    <x v="38"/>
    <x v="0"/>
    <x v="2"/>
    <x v="33"/>
    <x v="0"/>
    <x v="33"/>
    <x v="34"/>
    <x v="26"/>
    <x v="0"/>
    <x v="0"/>
    <x v="17"/>
    <x v="29"/>
    <x v="17"/>
    <n v="437.282625"/>
    <n v="437.282625"/>
    <n v="437.282625"/>
    <n v="0"/>
    <s v="NULL"/>
    <s v="Winterstorm NY TX MA NJ PA"/>
    <n v="4781.60363426"/>
    <m/>
    <x v="1"/>
  </r>
  <r>
    <x v="39"/>
    <x v="2"/>
    <x v="6"/>
    <x v="34"/>
    <x v="1"/>
    <x v="34"/>
    <x v="35"/>
    <x v="27"/>
    <x v="0"/>
    <x v="0"/>
    <x v="5"/>
    <x v="30"/>
    <x v="3"/>
    <n v="25.37"/>
    <n v="25.37"/>
    <n v="25.37"/>
    <n v="0"/>
    <s v="NULL"/>
    <s v="Winterstorm NY MA TX PA SC"/>
    <n v="3949.1976460300002"/>
    <m/>
    <x v="4"/>
  </r>
  <r>
    <x v="40"/>
    <x v="2"/>
    <x v="0"/>
    <x v="35"/>
    <x v="0"/>
    <x v="35"/>
    <x v="36"/>
    <x v="8"/>
    <x v="0"/>
    <x v="0"/>
    <x v="18"/>
    <x v="31"/>
    <x v="0"/>
    <n v="46.746000000000002"/>
    <n v="46.746000000000002"/>
    <n v="46.746000000000002"/>
    <n v="0"/>
    <s v="NULL"/>
    <s v="Winterstorm NY MA TX PA SC"/>
    <n v="3949.1976460300002"/>
    <m/>
    <x v="0"/>
  </r>
  <r>
    <x v="41"/>
    <x v="2"/>
    <x v="0"/>
    <x v="36"/>
    <x v="0"/>
    <x v="36"/>
    <x v="37"/>
    <x v="28"/>
    <x v="0"/>
    <x v="0"/>
    <x v="19"/>
    <x v="32"/>
    <x v="5"/>
    <n v="11.7125"/>
    <n v="11.7125"/>
    <n v="11.7125"/>
    <n v="0"/>
    <s v="NULL"/>
    <s v="Winterstorm NY MA TX PA SC"/>
    <n v="3949.1976460300002"/>
    <m/>
    <x v="0"/>
  </r>
  <r>
    <x v="42"/>
    <x v="0"/>
    <x v="0"/>
    <x v="37"/>
    <x v="0"/>
    <x v="37"/>
    <x v="38"/>
    <x v="8"/>
    <x v="0"/>
    <x v="0"/>
    <x v="14"/>
    <x v="33"/>
    <x v="18"/>
    <n v="16865.890200000002"/>
    <n v="16865.890200000002"/>
    <n v="16865.890200000002"/>
    <n v="0"/>
    <s v="NULL"/>
    <s v="Winterstorm NY TX MA NJ PA"/>
    <n v="4781.60363426"/>
    <m/>
    <x v="0"/>
  </r>
  <r>
    <x v="43"/>
    <x v="1"/>
    <x v="0"/>
    <x v="38"/>
    <x v="0"/>
    <x v="38"/>
    <x v="39"/>
    <x v="29"/>
    <x v="0"/>
    <x v="0"/>
    <x v="20"/>
    <x v="34"/>
    <x v="12"/>
    <n v="520.10400000000004"/>
    <n v="520.10400000000004"/>
    <n v="520.10400000000004"/>
    <n v="0"/>
    <s v="NULL"/>
    <s v="Winterstorm NY TX MA CT PA"/>
    <n v="3280.0940773799998"/>
    <m/>
    <x v="0"/>
  </r>
  <r>
    <x v="44"/>
    <x v="1"/>
    <x v="0"/>
    <x v="39"/>
    <x v="1"/>
    <x v="39"/>
    <x v="40"/>
    <x v="30"/>
    <x v="0"/>
    <x v="0"/>
    <x v="21"/>
    <x v="35"/>
    <x v="19"/>
    <n v="484896.24"/>
    <n v="484896.24"/>
    <n v="484896.24"/>
    <n v="0"/>
    <s v="NULL"/>
    <s v="Winterstorm NY TX MA CT PA"/>
    <n v="3280.0940773799998"/>
    <m/>
    <x v="0"/>
  </r>
  <r>
    <x v="45"/>
    <x v="2"/>
    <x v="0"/>
    <x v="40"/>
    <x v="1"/>
    <x v="40"/>
    <x v="41"/>
    <x v="31"/>
    <x v="0"/>
    <x v="0"/>
    <x v="3"/>
    <x v="36"/>
    <x v="16"/>
    <n v="7029.8684999999996"/>
    <n v="7029.8684999999996"/>
    <n v="7029.8684999999996"/>
    <n v="0"/>
    <s v="NULL"/>
    <s v="Winterstorm NY MA TX PA SC"/>
    <n v="3949.1976460300002"/>
    <m/>
    <x v="0"/>
  </r>
  <r>
    <x v="21"/>
    <x v="0"/>
    <x v="0"/>
    <x v="19"/>
    <x v="0"/>
    <x v="19"/>
    <x v="18"/>
    <x v="16"/>
    <x v="0"/>
    <x v="0"/>
    <x v="9"/>
    <x v="16"/>
    <x v="5"/>
    <n v="3634.6129999999998"/>
    <n v="3634.6129999999998"/>
    <n v="3634.6129999999998"/>
    <n v="0"/>
    <s v="NULL"/>
    <s v="Winterstorm NY TX MA NJ PA"/>
    <n v="4781.60363426"/>
    <m/>
    <x v="0"/>
  </r>
  <r>
    <x v="46"/>
    <x v="1"/>
    <x v="0"/>
    <x v="41"/>
    <x v="0"/>
    <x v="41"/>
    <x v="42"/>
    <x v="32"/>
    <x v="0"/>
    <x v="0"/>
    <x v="3"/>
    <x v="37"/>
    <x v="20"/>
    <n v="12626.64725"/>
    <n v="12626.64725"/>
    <n v="12626.64725"/>
    <n v="0"/>
    <s v="NULL"/>
    <s v="Winterstorm NY TX MA CT PA"/>
    <n v="3280.0940773799998"/>
    <m/>
    <x v="0"/>
  </r>
  <r>
    <x v="47"/>
    <x v="1"/>
    <x v="7"/>
    <x v="42"/>
    <x v="1"/>
    <x v="42"/>
    <x v="43"/>
    <x v="33"/>
    <x v="0"/>
    <x v="0"/>
    <x v="22"/>
    <x v="38"/>
    <x v="21"/>
    <n v="85.185000000000002"/>
    <n v="85.185000000000002"/>
    <n v="85.185000000000002"/>
    <n v="0"/>
    <s v="NULL"/>
    <s v="Winterstorm NY TX MA CT PA"/>
    <n v="3280.0940773799998"/>
    <m/>
    <x v="5"/>
  </r>
  <r>
    <x v="48"/>
    <x v="1"/>
    <x v="7"/>
    <x v="43"/>
    <x v="1"/>
    <x v="43"/>
    <x v="44"/>
    <x v="4"/>
    <x v="0"/>
    <x v="0"/>
    <x v="23"/>
    <x v="39"/>
    <x v="22"/>
    <n v="1071.799839"/>
    <n v="1071.799839"/>
    <n v="1071.799839"/>
    <n v="0"/>
    <s v="NULL"/>
    <s v="Winterstorm NY TX MA CT PA"/>
    <n v="3280.0940773799998"/>
    <m/>
    <x v="5"/>
  </r>
  <r>
    <x v="49"/>
    <x v="2"/>
    <x v="0"/>
    <x v="44"/>
    <x v="0"/>
    <x v="44"/>
    <x v="45"/>
    <x v="34"/>
    <x v="0"/>
    <x v="0"/>
    <x v="3"/>
    <x v="40"/>
    <x v="23"/>
    <n v="47.810749999999999"/>
    <n v="47.810749999999999"/>
    <n v="47.810749999999999"/>
    <n v="0"/>
    <s v="NULL"/>
    <s v="Winterstorm NY MA TX PA SC"/>
    <n v="3949.1976460300002"/>
    <m/>
    <x v="0"/>
  </r>
  <r>
    <x v="50"/>
    <x v="0"/>
    <x v="4"/>
    <x v="12"/>
    <x v="0"/>
    <x v="12"/>
    <x v="46"/>
    <x v="3"/>
    <x v="0"/>
    <x v="0"/>
    <x v="4"/>
    <x v="5"/>
    <x v="3"/>
    <n v="9582.3363169999993"/>
    <n v="9582.3363169999993"/>
    <n v="9582.3363169999993"/>
    <n v="0"/>
    <s v="NULL"/>
    <s v="Winterstorm NY TX MA NJ PA"/>
    <n v="4781.60363426"/>
    <m/>
    <x v="1"/>
  </r>
  <r>
    <x v="51"/>
    <x v="0"/>
    <x v="0"/>
    <x v="45"/>
    <x v="0"/>
    <x v="45"/>
    <x v="47"/>
    <x v="30"/>
    <x v="0"/>
    <x v="0"/>
    <x v="3"/>
    <x v="41"/>
    <x v="16"/>
    <n v="89.644499999999994"/>
    <n v="89.644499999999994"/>
    <n v="89.644499999999994"/>
    <n v="0"/>
    <s v="NULL"/>
    <s v="Winterstorm NY TX MA NJ PA"/>
    <n v="4781.60363426"/>
    <m/>
    <x v="0"/>
  </r>
  <r>
    <x v="52"/>
    <x v="0"/>
    <x v="0"/>
    <x v="46"/>
    <x v="0"/>
    <x v="46"/>
    <x v="48"/>
    <x v="35"/>
    <x v="0"/>
    <x v="0"/>
    <x v="24"/>
    <x v="42"/>
    <x v="23"/>
    <n v="18229.169249999999"/>
    <n v="18229.169249999999"/>
    <n v="18229.169249999999"/>
    <n v="0"/>
    <s v="NULL"/>
    <s v="Winterstorm NY TX MA NJ PA"/>
    <n v="4781.60363426"/>
    <m/>
    <x v="0"/>
  </r>
  <r>
    <x v="1"/>
    <x v="2"/>
    <x v="0"/>
    <x v="1"/>
    <x v="1"/>
    <x v="1"/>
    <x v="1"/>
    <x v="1"/>
    <x v="0"/>
    <x v="0"/>
    <x v="1"/>
    <x v="1"/>
    <x v="1"/>
    <n v="35403.046199999997"/>
    <n v="35403.046199999997"/>
    <n v="35403.046199999997"/>
    <n v="0"/>
    <s v="NULL"/>
    <s v="Winterstorm NY MA TX PA SC"/>
    <n v="3949.1976460300002"/>
    <m/>
    <x v="0"/>
  </r>
  <r>
    <x v="53"/>
    <x v="2"/>
    <x v="0"/>
    <x v="47"/>
    <x v="1"/>
    <x v="47"/>
    <x v="39"/>
    <x v="9"/>
    <x v="0"/>
    <x v="0"/>
    <x v="3"/>
    <x v="43"/>
    <x v="16"/>
    <n v="2687.337"/>
    <n v="2687.337"/>
    <n v="2687.337"/>
    <n v="0"/>
    <s v="NULL"/>
    <s v="Winterstorm NY MA TX PA SC"/>
    <n v="3949.1976460300002"/>
    <m/>
    <x v="0"/>
  </r>
  <r>
    <x v="54"/>
    <x v="0"/>
    <x v="0"/>
    <x v="48"/>
    <x v="1"/>
    <x v="48"/>
    <x v="49"/>
    <x v="36"/>
    <x v="0"/>
    <x v="0"/>
    <x v="25"/>
    <x v="44"/>
    <x v="12"/>
    <n v="141446.83199999999"/>
    <n v="141446.83199999999"/>
    <n v="141446.83199999999"/>
    <n v="0"/>
    <s v="NULL"/>
    <s v="Winterstorm NY TX MA NJ PA"/>
    <n v="4781.60363426"/>
    <m/>
    <x v="0"/>
  </r>
  <r>
    <x v="55"/>
    <x v="1"/>
    <x v="6"/>
    <x v="49"/>
    <x v="1"/>
    <x v="49"/>
    <x v="50"/>
    <x v="37"/>
    <x v="0"/>
    <x v="0"/>
    <x v="5"/>
    <x v="45"/>
    <x v="3"/>
    <n v="63148.02"/>
    <n v="63148.02"/>
    <n v="63148.02"/>
    <n v="0"/>
    <s v="NULL"/>
    <s v="Winterstorm NY TX MA CT PA"/>
    <n v="3280.0940773799998"/>
    <m/>
    <x v="4"/>
  </r>
  <r>
    <x v="56"/>
    <x v="2"/>
    <x v="0"/>
    <x v="50"/>
    <x v="2"/>
    <x v="50"/>
    <x v="51"/>
    <x v="1"/>
    <x v="1"/>
    <x v="0"/>
    <x v="26"/>
    <x v="46"/>
    <x v="24"/>
    <n v="408260.97759999998"/>
    <n v="268721.34978785901"/>
    <n v="268721.34978785901"/>
    <n v="53744.141264404498"/>
    <s v="NULL"/>
    <s v="Winterstorm NY MA TX PA SC"/>
    <n v="3949.1976460300002"/>
    <m/>
    <x v="0"/>
  </r>
  <r>
    <x v="57"/>
    <x v="2"/>
    <x v="4"/>
    <x v="12"/>
    <x v="0"/>
    <x v="12"/>
    <x v="52"/>
    <x v="3"/>
    <x v="0"/>
    <x v="0"/>
    <x v="4"/>
    <x v="5"/>
    <x v="3"/>
    <n v="2146.94479"/>
    <n v="2146.94479"/>
    <n v="2146.94479"/>
    <n v="0"/>
    <s v="NULL"/>
    <s v="Winterstorm NY MA TX PA SC"/>
    <n v="3949.1976460300002"/>
    <m/>
    <x v="1"/>
  </r>
  <r>
    <x v="58"/>
    <x v="2"/>
    <x v="2"/>
    <x v="27"/>
    <x v="0"/>
    <x v="27"/>
    <x v="53"/>
    <x v="3"/>
    <x v="0"/>
    <x v="0"/>
    <x v="4"/>
    <x v="5"/>
    <x v="3"/>
    <n v="7582.2352499999997"/>
    <n v="7582.2352499999997"/>
    <n v="7582.2352499999997"/>
    <n v="0"/>
    <s v="NULL"/>
    <s v="Winterstorm NY MA TX PA SC"/>
    <n v="3949.1976460300002"/>
    <m/>
    <x v="1"/>
  </r>
  <r>
    <x v="59"/>
    <x v="2"/>
    <x v="7"/>
    <x v="51"/>
    <x v="1"/>
    <x v="51"/>
    <x v="54"/>
    <x v="38"/>
    <x v="0"/>
    <x v="0"/>
    <x v="27"/>
    <x v="47"/>
    <x v="25"/>
    <n v="635.04990870999995"/>
    <n v="635.04990870999995"/>
    <n v="635.04990870999995"/>
    <n v="0"/>
    <s v="NULL"/>
    <s v="Winterstorm NY MA TX PA SC"/>
    <n v="3949.1976460300002"/>
    <m/>
    <x v="5"/>
  </r>
  <r>
    <x v="60"/>
    <x v="0"/>
    <x v="0"/>
    <x v="52"/>
    <x v="0"/>
    <x v="52"/>
    <x v="55"/>
    <x v="30"/>
    <x v="0"/>
    <x v="0"/>
    <x v="28"/>
    <x v="48"/>
    <x v="2"/>
    <n v="591.1146"/>
    <n v="591.1146"/>
    <n v="591.1146"/>
    <n v="0"/>
    <s v="NULL"/>
    <s v="Winterstorm NY TX MA NJ PA"/>
    <n v="4781.60363426"/>
    <m/>
    <x v="0"/>
  </r>
  <r>
    <x v="61"/>
    <x v="0"/>
    <x v="2"/>
    <x v="53"/>
    <x v="1"/>
    <x v="53"/>
    <x v="56"/>
    <x v="39"/>
    <x v="0"/>
    <x v="0"/>
    <x v="29"/>
    <x v="49"/>
    <x v="10"/>
    <n v="260.721"/>
    <n v="260.721"/>
    <n v="260.721"/>
    <n v="0"/>
    <s v="NULL"/>
    <s v="Winterstorm NY TX MA NJ PA"/>
    <n v="4781.60363426"/>
    <m/>
    <x v="1"/>
  </r>
  <r>
    <x v="62"/>
    <x v="1"/>
    <x v="0"/>
    <x v="32"/>
    <x v="0"/>
    <x v="54"/>
    <x v="57"/>
    <x v="8"/>
    <x v="0"/>
    <x v="0"/>
    <x v="12"/>
    <x v="50"/>
    <x v="2"/>
    <n v="589.80280000000005"/>
    <n v="589.80280000000005"/>
    <n v="589.80280000000005"/>
    <n v="0"/>
    <s v="NULL"/>
    <s v="Winterstorm NY TX MA CT PA"/>
    <n v="3280.0940773799998"/>
    <m/>
    <x v="0"/>
  </r>
  <r>
    <x v="63"/>
    <x v="0"/>
    <x v="2"/>
    <x v="54"/>
    <x v="0"/>
    <x v="55"/>
    <x v="58"/>
    <x v="40"/>
    <x v="0"/>
    <x v="0"/>
    <x v="30"/>
    <x v="51"/>
    <x v="26"/>
    <n v="250595.345"/>
    <n v="250595.345"/>
    <n v="250595.345"/>
    <n v="200003.51250000001"/>
    <s v="NULL"/>
    <s v="Winterstorm NY TX MA NJ PA"/>
    <n v="4781.60363426"/>
    <m/>
    <x v="1"/>
  </r>
  <r>
    <x v="64"/>
    <x v="1"/>
    <x v="0"/>
    <x v="19"/>
    <x v="0"/>
    <x v="56"/>
    <x v="59"/>
    <x v="41"/>
    <x v="0"/>
    <x v="0"/>
    <x v="31"/>
    <x v="52"/>
    <x v="5"/>
    <n v="465.20949999999999"/>
    <n v="465.20949999999999"/>
    <n v="465.20949999999999"/>
    <n v="0"/>
    <s v="NULL"/>
    <s v="Winterstorm NY TX MA CT PA"/>
    <n v="3280.0940773799998"/>
    <m/>
    <x v="0"/>
  </r>
  <r>
    <x v="65"/>
    <x v="1"/>
    <x v="0"/>
    <x v="55"/>
    <x v="1"/>
    <x v="57"/>
    <x v="60"/>
    <x v="42"/>
    <x v="0"/>
    <x v="0"/>
    <x v="3"/>
    <x v="44"/>
    <x v="10"/>
    <n v="58597.74"/>
    <n v="58597.74"/>
    <n v="58597.74"/>
    <n v="0"/>
    <s v="NULL"/>
    <s v="Winterstorm NY TX MA CT PA"/>
    <n v="3280.0940773799998"/>
    <m/>
    <x v="0"/>
  </r>
  <r>
    <x v="66"/>
    <x v="2"/>
    <x v="0"/>
    <x v="56"/>
    <x v="0"/>
    <x v="58"/>
    <x v="61"/>
    <x v="43"/>
    <x v="0"/>
    <x v="0"/>
    <x v="32"/>
    <x v="53"/>
    <x v="4"/>
    <n v="6.1853999999999996"/>
    <n v="6.1853999999999996"/>
    <n v="6.1853999999999996"/>
    <n v="0"/>
    <s v="NULL"/>
    <s v="Winterstorm NY MA TX PA SC"/>
    <n v="3949.1976460300002"/>
    <m/>
    <x v="0"/>
  </r>
  <r>
    <x v="67"/>
    <x v="1"/>
    <x v="3"/>
    <x v="57"/>
    <x v="1"/>
    <x v="59"/>
    <x v="62"/>
    <x v="44"/>
    <x v="0"/>
    <x v="0"/>
    <x v="33"/>
    <x v="54"/>
    <x v="15"/>
    <n v="2203.5783000000001"/>
    <n v="2203.5783000000001"/>
    <n v="2203.5783000000001"/>
    <n v="0"/>
    <s v="NULL"/>
    <s v="Winterstorm NY TX MA CT PA"/>
    <n v="3280.0940773799998"/>
    <m/>
    <x v="2"/>
  </r>
  <r>
    <x v="68"/>
    <x v="0"/>
    <x v="10"/>
    <x v="58"/>
    <x v="1"/>
    <x v="60"/>
    <x v="63"/>
    <x v="45"/>
    <x v="0"/>
    <x v="0"/>
    <x v="27"/>
    <x v="55"/>
    <x v="12"/>
    <n v="2681.8609999999999"/>
    <n v="2681.8609999999999"/>
    <n v="2681.8609999999999"/>
    <n v="0"/>
    <s v="NULL"/>
    <s v="Winterstorm NY TX MA NJ PA"/>
    <n v="4781.60363426"/>
    <m/>
    <x v="7"/>
  </r>
  <r>
    <x v="69"/>
    <x v="1"/>
    <x v="11"/>
    <x v="59"/>
    <x v="0"/>
    <x v="61"/>
    <x v="64"/>
    <x v="3"/>
    <x v="0"/>
    <x v="0"/>
    <x v="4"/>
    <x v="5"/>
    <x v="3"/>
    <n v="505.177256"/>
    <n v="505.177256"/>
    <n v="505.177256"/>
    <n v="0"/>
    <s v="NULL"/>
    <s v="Winterstorm NY TX MA CT PA"/>
    <n v="3280.0940773799998"/>
    <m/>
    <x v="1"/>
  </r>
  <r>
    <x v="51"/>
    <x v="2"/>
    <x v="0"/>
    <x v="45"/>
    <x v="0"/>
    <x v="45"/>
    <x v="47"/>
    <x v="30"/>
    <x v="0"/>
    <x v="0"/>
    <x v="3"/>
    <x v="41"/>
    <x v="16"/>
    <n v="88.521000000000001"/>
    <n v="88.521000000000001"/>
    <n v="88.521000000000001"/>
    <n v="0"/>
    <s v="NULL"/>
    <s v="Winterstorm NY MA TX PA SC"/>
    <n v="3949.1976460300002"/>
    <m/>
    <x v="0"/>
  </r>
  <r>
    <x v="40"/>
    <x v="0"/>
    <x v="0"/>
    <x v="35"/>
    <x v="0"/>
    <x v="35"/>
    <x v="36"/>
    <x v="8"/>
    <x v="0"/>
    <x v="0"/>
    <x v="18"/>
    <x v="31"/>
    <x v="0"/>
    <n v="31.905650000000001"/>
    <n v="31.905650000000001"/>
    <n v="31.905650000000001"/>
    <n v="0"/>
    <s v="NULL"/>
    <s v="Winterstorm NY TX MA NJ PA"/>
    <n v="4781.60363426"/>
    <m/>
    <x v="0"/>
  </r>
  <r>
    <x v="70"/>
    <x v="1"/>
    <x v="2"/>
    <x v="60"/>
    <x v="0"/>
    <x v="62"/>
    <x v="39"/>
    <x v="8"/>
    <x v="0"/>
    <x v="0"/>
    <x v="34"/>
    <x v="56"/>
    <x v="10"/>
    <n v="1555.1804999999999"/>
    <n v="1555.1804999999999"/>
    <n v="1555.1804999999999"/>
    <n v="0"/>
    <s v="NULL"/>
    <s v="Winterstorm NY TX MA CT PA"/>
    <n v="3280.0940773799998"/>
    <m/>
    <x v="1"/>
  </r>
  <r>
    <x v="54"/>
    <x v="2"/>
    <x v="0"/>
    <x v="48"/>
    <x v="1"/>
    <x v="48"/>
    <x v="49"/>
    <x v="36"/>
    <x v="0"/>
    <x v="0"/>
    <x v="25"/>
    <x v="44"/>
    <x v="12"/>
    <n v="96514.76"/>
    <n v="96514.76"/>
    <n v="96514.76"/>
    <n v="0"/>
    <s v="NULL"/>
    <s v="Winterstorm NY MA TX PA SC"/>
    <n v="3949.1976460300002"/>
    <m/>
    <x v="0"/>
  </r>
  <r>
    <x v="71"/>
    <x v="0"/>
    <x v="0"/>
    <x v="61"/>
    <x v="0"/>
    <x v="63"/>
    <x v="65"/>
    <x v="46"/>
    <x v="0"/>
    <x v="0"/>
    <x v="35"/>
    <x v="57"/>
    <x v="24"/>
    <n v="1568.992"/>
    <n v="1568.992"/>
    <n v="1568.992"/>
    <n v="0"/>
    <s v="NULL"/>
    <s v="Winterstorm NY TX MA NJ PA"/>
    <n v="4781.60363426"/>
    <m/>
    <x v="0"/>
  </r>
  <r>
    <x v="24"/>
    <x v="0"/>
    <x v="0"/>
    <x v="22"/>
    <x v="0"/>
    <x v="22"/>
    <x v="21"/>
    <x v="18"/>
    <x v="0"/>
    <x v="0"/>
    <x v="10"/>
    <x v="19"/>
    <x v="5"/>
    <n v="13842.709000000001"/>
    <n v="13842.709000000001"/>
    <n v="13842.709000000001"/>
    <n v="0"/>
    <s v="NULL"/>
    <s v="Winterstorm NY TX MA NJ PA"/>
    <n v="4781.60363426"/>
    <m/>
    <x v="0"/>
  </r>
  <r>
    <x v="72"/>
    <x v="0"/>
    <x v="0"/>
    <x v="56"/>
    <x v="0"/>
    <x v="64"/>
    <x v="66"/>
    <x v="47"/>
    <x v="0"/>
    <x v="0"/>
    <x v="36"/>
    <x v="58"/>
    <x v="23"/>
    <n v="18841.204750000001"/>
    <n v="18841.204750000001"/>
    <n v="18841.204750000001"/>
    <n v="0"/>
    <s v="NULL"/>
    <s v="Winterstorm NY TX MA NJ PA"/>
    <n v="4781.60363426"/>
    <m/>
    <x v="0"/>
  </r>
  <r>
    <x v="73"/>
    <x v="2"/>
    <x v="2"/>
    <x v="62"/>
    <x v="0"/>
    <x v="65"/>
    <x v="67"/>
    <x v="48"/>
    <x v="0"/>
    <x v="0"/>
    <x v="9"/>
    <x v="59"/>
    <x v="16"/>
    <n v="29353.716"/>
    <n v="29353.716"/>
    <n v="29353.716"/>
    <n v="0"/>
    <s v="NULL"/>
    <s v="Winterstorm NY MA TX PA SC"/>
    <n v="3949.1976460300002"/>
    <m/>
    <x v="1"/>
  </r>
  <r>
    <x v="74"/>
    <x v="1"/>
    <x v="0"/>
    <x v="63"/>
    <x v="0"/>
    <x v="66"/>
    <x v="68"/>
    <x v="49"/>
    <x v="0"/>
    <x v="0"/>
    <x v="37"/>
    <x v="60"/>
    <x v="5"/>
    <n v="56.970999999999997"/>
    <n v="56.970999999999997"/>
    <n v="56.970999999999997"/>
    <n v="0"/>
    <s v="NULL"/>
    <s v="Winterstorm NY TX MA CT PA"/>
    <n v="3280.0940773799998"/>
    <m/>
    <x v="0"/>
  </r>
  <r>
    <x v="75"/>
    <x v="0"/>
    <x v="7"/>
    <x v="64"/>
    <x v="1"/>
    <x v="67"/>
    <x v="69"/>
    <x v="39"/>
    <x v="0"/>
    <x v="0"/>
    <x v="29"/>
    <x v="61"/>
    <x v="9"/>
    <n v="423.27550000000002"/>
    <n v="423.27550000000002"/>
    <n v="423.27550000000002"/>
    <n v="0"/>
    <s v="NULL"/>
    <s v="Winterstorm NY TX MA NJ PA"/>
    <n v="4781.60363426"/>
    <m/>
    <x v="5"/>
  </r>
  <r>
    <x v="76"/>
    <x v="2"/>
    <x v="3"/>
    <x v="65"/>
    <x v="1"/>
    <x v="68"/>
    <x v="70"/>
    <x v="50"/>
    <x v="0"/>
    <x v="0"/>
    <x v="38"/>
    <x v="62"/>
    <x v="12"/>
    <n v="10699.759"/>
    <n v="10699.759"/>
    <n v="10699.759"/>
    <n v="0"/>
    <s v="NULL"/>
    <s v="Winterstorm NY MA TX PA SC"/>
    <n v="3949.1976460300002"/>
    <m/>
    <x v="2"/>
  </r>
  <r>
    <x v="77"/>
    <x v="0"/>
    <x v="2"/>
    <x v="66"/>
    <x v="0"/>
    <x v="69"/>
    <x v="71"/>
    <x v="51"/>
    <x v="0"/>
    <x v="0"/>
    <x v="39"/>
    <x v="63"/>
    <x v="18"/>
    <n v="32191.442999999999"/>
    <n v="32191.442999999999"/>
    <n v="32191.442999999999"/>
    <n v="0"/>
    <s v="NULL"/>
    <s v="Winterstorm NY TX MA NJ PA"/>
    <n v="4781.60363426"/>
    <m/>
    <x v="1"/>
  </r>
  <r>
    <x v="78"/>
    <x v="2"/>
    <x v="0"/>
    <x v="67"/>
    <x v="1"/>
    <x v="70"/>
    <x v="72"/>
    <x v="1"/>
    <x v="0"/>
    <x v="0"/>
    <x v="1"/>
    <x v="64"/>
    <x v="27"/>
    <n v="28272.7075"/>
    <n v="28272.7075"/>
    <n v="28272.7075"/>
    <n v="0"/>
    <s v="NULL"/>
    <s v="Winterstorm NY MA TX PA SC"/>
    <n v="3949.1976460300002"/>
    <m/>
    <x v="0"/>
  </r>
  <r>
    <x v="79"/>
    <x v="1"/>
    <x v="3"/>
    <x v="68"/>
    <x v="1"/>
    <x v="71"/>
    <x v="73"/>
    <x v="52"/>
    <x v="0"/>
    <x v="0"/>
    <x v="40"/>
    <x v="65"/>
    <x v="12"/>
    <n v="6193.509"/>
    <n v="6193.509"/>
    <n v="6193.509"/>
    <n v="0"/>
    <s v="NULL"/>
    <s v="Winterstorm NY TX MA CT PA"/>
    <n v="3280.0940773799998"/>
    <m/>
    <x v="2"/>
  </r>
  <r>
    <x v="80"/>
    <x v="1"/>
    <x v="12"/>
    <x v="69"/>
    <x v="1"/>
    <x v="72"/>
    <x v="74"/>
    <x v="53"/>
    <x v="0"/>
    <x v="0"/>
    <x v="5"/>
    <x v="66"/>
    <x v="3"/>
    <n v="343.58"/>
    <n v="343.58"/>
    <n v="343.58"/>
    <n v="0"/>
    <s v="NULL"/>
    <s v="Winterstorm NY TX MA CT PA"/>
    <n v="3280.0940773799998"/>
    <m/>
    <x v="4"/>
  </r>
  <r>
    <x v="81"/>
    <x v="2"/>
    <x v="0"/>
    <x v="70"/>
    <x v="1"/>
    <x v="73"/>
    <x v="65"/>
    <x v="54"/>
    <x v="0"/>
    <x v="0"/>
    <x v="3"/>
    <x v="67"/>
    <x v="9"/>
    <n v="234217.8363"/>
    <n v="234217.8363"/>
    <n v="234217.8363"/>
    <n v="0"/>
    <s v="NULL"/>
    <s v="Winterstorm NY MA TX PA SC"/>
    <n v="3949.1976460300002"/>
    <m/>
    <x v="0"/>
  </r>
  <r>
    <x v="82"/>
    <x v="2"/>
    <x v="0"/>
    <x v="41"/>
    <x v="1"/>
    <x v="74"/>
    <x v="75"/>
    <x v="43"/>
    <x v="0"/>
    <x v="0"/>
    <x v="41"/>
    <x v="68"/>
    <x v="15"/>
    <n v="285081.48830000003"/>
    <n v="285081.48830000003"/>
    <n v="285081.48830000003"/>
    <n v="0"/>
    <s v="NULL"/>
    <s v="Winterstorm NY MA TX PA SC"/>
    <n v="3949.1976460300002"/>
    <m/>
    <x v="0"/>
  </r>
  <r>
    <x v="83"/>
    <x v="2"/>
    <x v="12"/>
    <x v="71"/>
    <x v="1"/>
    <x v="75"/>
    <x v="76"/>
    <x v="55"/>
    <x v="0"/>
    <x v="0"/>
    <x v="5"/>
    <x v="69"/>
    <x v="3"/>
    <n v="1564884.85"/>
    <n v="1564884.85"/>
    <n v="1564884.85"/>
    <n v="0"/>
    <s v="NULL"/>
    <s v="Winterstorm NY MA TX PA SC"/>
    <n v="3949.1976460300002"/>
    <m/>
    <x v="4"/>
  </r>
  <r>
    <x v="84"/>
    <x v="2"/>
    <x v="0"/>
    <x v="72"/>
    <x v="0"/>
    <x v="76"/>
    <x v="2"/>
    <x v="29"/>
    <x v="0"/>
    <x v="0"/>
    <x v="42"/>
    <x v="70"/>
    <x v="28"/>
    <n v="10.211399999999999"/>
    <n v="10.211399999999999"/>
    <n v="10.211399999999999"/>
    <n v="0"/>
    <s v="NULL"/>
    <s v="Winterstorm NY MA TX PA SC"/>
    <n v="3949.1976460300002"/>
    <m/>
    <x v="0"/>
  </r>
  <r>
    <x v="85"/>
    <x v="2"/>
    <x v="0"/>
    <x v="46"/>
    <x v="0"/>
    <x v="77"/>
    <x v="77"/>
    <x v="56"/>
    <x v="0"/>
    <x v="0"/>
    <x v="43"/>
    <x v="57"/>
    <x v="15"/>
    <n v="28553.722399999999"/>
    <n v="28553.722399999999"/>
    <n v="28553.722399999999"/>
    <n v="0"/>
    <s v="NULL"/>
    <s v="Winterstorm NY MA TX PA SC"/>
    <n v="3949.1976460300002"/>
    <m/>
    <x v="0"/>
  </r>
  <r>
    <x v="19"/>
    <x v="0"/>
    <x v="6"/>
    <x v="17"/>
    <x v="1"/>
    <x v="17"/>
    <x v="16"/>
    <x v="14"/>
    <x v="0"/>
    <x v="0"/>
    <x v="5"/>
    <x v="14"/>
    <x v="3"/>
    <n v="282147.67"/>
    <n v="282147.67"/>
    <n v="282147.67"/>
    <n v="0"/>
    <s v="NULL"/>
    <s v="Winterstorm NY TX MA NJ PA"/>
    <n v="4781.60363426"/>
    <m/>
    <x v="4"/>
  </r>
  <r>
    <x v="86"/>
    <x v="1"/>
    <x v="0"/>
    <x v="23"/>
    <x v="0"/>
    <x v="78"/>
    <x v="78"/>
    <x v="57"/>
    <x v="0"/>
    <x v="0"/>
    <x v="3"/>
    <x v="71"/>
    <x v="11"/>
    <n v="4628.4660000000003"/>
    <n v="4628.4660000000003"/>
    <n v="4628.4660000000003"/>
    <n v="0"/>
    <s v="NULL"/>
    <s v="Winterstorm NY TX MA CT PA"/>
    <n v="3280.0940773799998"/>
    <m/>
    <x v="0"/>
  </r>
  <r>
    <x v="87"/>
    <x v="1"/>
    <x v="11"/>
    <x v="59"/>
    <x v="0"/>
    <x v="61"/>
    <x v="79"/>
    <x v="3"/>
    <x v="0"/>
    <x v="0"/>
    <x v="4"/>
    <x v="5"/>
    <x v="3"/>
    <n v="2.9546999999999999"/>
    <n v="2.9546999999999999"/>
    <n v="2.9546999999999999"/>
    <n v="0"/>
    <s v="NULL"/>
    <s v="Winterstorm NY TX MA CT PA"/>
    <n v="3280.0940773799998"/>
    <m/>
    <x v="1"/>
  </r>
  <r>
    <x v="63"/>
    <x v="1"/>
    <x v="2"/>
    <x v="54"/>
    <x v="0"/>
    <x v="55"/>
    <x v="58"/>
    <x v="40"/>
    <x v="0"/>
    <x v="0"/>
    <x v="30"/>
    <x v="51"/>
    <x v="26"/>
    <n v="97805.664999999994"/>
    <n v="97805.664999999994"/>
    <n v="97805.664999999994"/>
    <n v="80689.537500010003"/>
    <s v="NULL"/>
    <s v="Winterstorm NY TX MA CT PA"/>
    <n v="3280.0940773799998"/>
    <m/>
    <x v="1"/>
  </r>
  <r>
    <x v="88"/>
    <x v="2"/>
    <x v="0"/>
    <x v="73"/>
    <x v="0"/>
    <x v="79"/>
    <x v="80"/>
    <x v="8"/>
    <x v="0"/>
    <x v="0"/>
    <x v="3"/>
    <x v="72"/>
    <x v="13"/>
    <n v="1.9059999999999999"/>
    <n v="1.9059999999999999"/>
    <n v="1.9059999999999999"/>
    <n v="0"/>
    <s v="NULL"/>
    <s v="Winterstorm NY MA TX PA SC"/>
    <n v="3949.1976460300002"/>
    <m/>
    <x v="0"/>
  </r>
  <r>
    <x v="89"/>
    <x v="1"/>
    <x v="2"/>
    <x v="74"/>
    <x v="1"/>
    <x v="80"/>
    <x v="81"/>
    <x v="31"/>
    <x v="0"/>
    <x v="0"/>
    <x v="44"/>
    <x v="73"/>
    <x v="29"/>
    <n v="356.93"/>
    <n v="356.93"/>
    <n v="356.93"/>
    <n v="0"/>
    <s v="NULL"/>
    <s v="Winterstorm NY TX MA CT PA"/>
    <n v="3280.0940773799998"/>
    <m/>
    <x v="1"/>
  </r>
  <r>
    <x v="90"/>
    <x v="1"/>
    <x v="12"/>
    <x v="75"/>
    <x v="1"/>
    <x v="81"/>
    <x v="82"/>
    <x v="58"/>
    <x v="0"/>
    <x v="0"/>
    <x v="5"/>
    <x v="74"/>
    <x v="3"/>
    <n v="362.67"/>
    <n v="362.67"/>
    <n v="362.67"/>
    <n v="0"/>
    <s v="NULL"/>
    <s v="Winterstorm NY TX MA CT PA"/>
    <n v="3280.0940773799998"/>
    <m/>
    <x v="4"/>
  </r>
  <r>
    <x v="91"/>
    <x v="0"/>
    <x v="0"/>
    <x v="0"/>
    <x v="0"/>
    <x v="82"/>
    <x v="83"/>
    <x v="59"/>
    <x v="0"/>
    <x v="0"/>
    <x v="45"/>
    <x v="75"/>
    <x v="30"/>
    <n v="16232.500375"/>
    <n v="16232.500375"/>
    <n v="16232.500375"/>
    <n v="0"/>
    <s v="NULL"/>
    <s v="Winterstorm NY TX MA NJ PA"/>
    <n v="4781.60363426"/>
    <m/>
    <x v="0"/>
  </r>
  <r>
    <x v="92"/>
    <x v="2"/>
    <x v="0"/>
    <x v="29"/>
    <x v="0"/>
    <x v="83"/>
    <x v="84"/>
    <x v="32"/>
    <x v="0"/>
    <x v="0"/>
    <x v="46"/>
    <x v="76"/>
    <x v="31"/>
    <n v="11453.393599999999"/>
    <n v="11453.393599999999"/>
    <n v="11453.393599999999"/>
    <n v="0"/>
    <s v="NULL"/>
    <s v="Winterstorm NY MA TX PA SC"/>
    <n v="3949.1976460300002"/>
    <m/>
    <x v="0"/>
  </r>
  <r>
    <x v="93"/>
    <x v="0"/>
    <x v="0"/>
    <x v="61"/>
    <x v="0"/>
    <x v="84"/>
    <x v="73"/>
    <x v="45"/>
    <x v="0"/>
    <x v="0"/>
    <x v="47"/>
    <x v="77"/>
    <x v="32"/>
    <n v="3850.3436000000002"/>
    <n v="3850.3436000000002"/>
    <n v="3850.3436000000002"/>
    <n v="0"/>
    <s v="NULL"/>
    <s v="Winterstorm NY TX MA NJ PA"/>
    <n v="4781.60363426"/>
    <m/>
    <x v="0"/>
  </r>
  <r>
    <x v="94"/>
    <x v="0"/>
    <x v="7"/>
    <x v="76"/>
    <x v="1"/>
    <x v="85"/>
    <x v="85"/>
    <x v="60"/>
    <x v="0"/>
    <x v="0"/>
    <x v="3"/>
    <x v="78"/>
    <x v="33"/>
    <n v="32443.814849999999"/>
    <n v="32443.814849999999"/>
    <n v="32443.814849999999"/>
    <n v="0"/>
    <s v="NULL"/>
    <s v="Winterstorm NY TX MA NJ PA"/>
    <n v="4781.60363426"/>
    <m/>
    <x v="5"/>
  </r>
  <r>
    <x v="95"/>
    <x v="2"/>
    <x v="0"/>
    <x v="77"/>
    <x v="0"/>
    <x v="86"/>
    <x v="3"/>
    <x v="8"/>
    <x v="0"/>
    <x v="0"/>
    <x v="14"/>
    <x v="79"/>
    <x v="12"/>
    <n v="787.88599999999997"/>
    <n v="787.88599999999997"/>
    <n v="787.88599999999997"/>
    <n v="0"/>
    <s v="NULL"/>
    <s v="Winterstorm NY MA TX PA SC"/>
    <n v="3949.1976460300002"/>
    <m/>
    <x v="0"/>
  </r>
  <r>
    <x v="2"/>
    <x v="1"/>
    <x v="0"/>
    <x v="2"/>
    <x v="0"/>
    <x v="2"/>
    <x v="1"/>
    <x v="1"/>
    <x v="0"/>
    <x v="0"/>
    <x v="2"/>
    <x v="2"/>
    <x v="1"/>
    <n v="191.19465"/>
    <n v="191.19465"/>
    <n v="191.19465"/>
    <n v="0"/>
    <s v="NULL"/>
    <s v="Winterstorm NY TX MA CT PA"/>
    <n v="3280.0940773799998"/>
    <m/>
    <x v="0"/>
  </r>
  <r>
    <x v="96"/>
    <x v="2"/>
    <x v="2"/>
    <x v="78"/>
    <x v="1"/>
    <x v="87"/>
    <x v="86"/>
    <x v="61"/>
    <x v="0"/>
    <x v="0"/>
    <x v="5"/>
    <x v="80"/>
    <x v="10"/>
    <n v="4657.8630000000003"/>
    <n v="4657.8630000000003"/>
    <n v="4657.8630000000003"/>
    <n v="0"/>
    <s v="NULL"/>
    <s v="Winterstorm NY MA TX PA SC"/>
    <n v="3949.1976460300002"/>
    <m/>
    <x v="1"/>
  </r>
  <r>
    <x v="97"/>
    <x v="2"/>
    <x v="0"/>
    <x v="44"/>
    <x v="0"/>
    <x v="88"/>
    <x v="87"/>
    <x v="4"/>
    <x v="0"/>
    <x v="0"/>
    <x v="3"/>
    <x v="81"/>
    <x v="23"/>
    <n v="76.492500000000007"/>
    <n v="76.492500000000007"/>
    <n v="76.492500000000007"/>
    <n v="0"/>
    <s v="NULL"/>
    <s v="Winterstorm NY MA TX PA SC"/>
    <n v="3949.1976460300002"/>
    <m/>
    <x v="0"/>
  </r>
  <r>
    <x v="98"/>
    <x v="1"/>
    <x v="0"/>
    <x v="22"/>
    <x v="0"/>
    <x v="89"/>
    <x v="88"/>
    <x v="62"/>
    <x v="0"/>
    <x v="0"/>
    <x v="48"/>
    <x v="82"/>
    <x v="5"/>
    <n v="1782.175"/>
    <n v="1782.175"/>
    <n v="1782.175"/>
    <n v="0"/>
    <s v="NULL"/>
    <s v="Winterstorm NY TX MA CT PA"/>
    <n v="3280.0940773799998"/>
    <m/>
    <x v="0"/>
  </r>
  <r>
    <x v="46"/>
    <x v="0"/>
    <x v="0"/>
    <x v="41"/>
    <x v="0"/>
    <x v="41"/>
    <x v="42"/>
    <x v="32"/>
    <x v="0"/>
    <x v="0"/>
    <x v="3"/>
    <x v="37"/>
    <x v="20"/>
    <n v="30310.439249999999"/>
    <n v="30310.439249999999"/>
    <n v="30310.439249999999"/>
    <n v="0"/>
    <s v="NULL"/>
    <s v="Winterstorm NY TX MA NJ PA"/>
    <n v="4781.60363426"/>
    <m/>
    <x v="0"/>
  </r>
  <r>
    <x v="99"/>
    <x v="1"/>
    <x v="0"/>
    <x v="79"/>
    <x v="0"/>
    <x v="90"/>
    <x v="51"/>
    <x v="63"/>
    <x v="0"/>
    <x v="0"/>
    <x v="3"/>
    <x v="83"/>
    <x v="5"/>
    <n v="2.3264999999999998"/>
    <n v="2.3264999999999998"/>
    <n v="2.3264999999999998"/>
    <n v="0"/>
    <s v="NULL"/>
    <s v="Winterstorm NY TX MA CT PA"/>
    <n v="3280.0940773799998"/>
    <m/>
    <x v="0"/>
  </r>
  <r>
    <x v="38"/>
    <x v="2"/>
    <x v="2"/>
    <x v="33"/>
    <x v="0"/>
    <x v="33"/>
    <x v="34"/>
    <x v="26"/>
    <x v="0"/>
    <x v="0"/>
    <x v="17"/>
    <x v="29"/>
    <x v="17"/>
    <n v="163.7285"/>
    <n v="163.7285"/>
    <n v="163.7285"/>
    <n v="0"/>
    <s v="NULL"/>
    <s v="Winterstorm NY MA TX PA SC"/>
    <n v="3949.1976460300002"/>
    <m/>
    <x v="1"/>
  </r>
  <r>
    <x v="100"/>
    <x v="1"/>
    <x v="4"/>
    <x v="80"/>
    <x v="1"/>
    <x v="91"/>
    <x v="89"/>
    <x v="64"/>
    <x v="0"/>
    <x v="0"/>
    <x v="49"/>
    <x v="84"/>
    <x v="23"/>
    <n v="2.46456666"/>
    <n v="2.46456666"/>
    <n v="2.46456666"/>
    <n v="0"/>
    <s v="NULL"/>
    <s v="Winterstorm NY TX MA CT PA"/>
    <n v="3280.0940773799998"/>
    <m/>
    <x v="1"/>
  </r>
  <r>
    <x v="101"/>
    <x v="1"/>
    <x v="3"/>
    <x v="81"/>
    <x v="0"/>
    <x v="92"/>
    <x v="90"/>
    <x v="65"/>
    <x v="0"/>
    <x v="0"/>
    <x v="50"/>
    <x v="85"/>
    <x v="5"/>
    <n v="22068.784"/>
    <n v="22068.784"/>
    <n v="22068.784"/>
    <n v="0"/>
    <s v="NULL"/>
    <s v="Winterstorm NY TX MA CT PA"/>
    <n v="3280.0940773799998"/>
    <m/>
    <x v="2"/>
  </r>
  <r>
    <x v="102"/>
    <x v="0"/>
    <x v="4"/>
    <x v="82"/>
    <x v="1"/>
    <x v="93"/>
    <x v="91"/>
    <x v="66"/>
    <x v="0"/>
    <x v="0"/>
    <x v="5"/>
    <x v="86"/>
    <x v="10"/>
    <n v="2710.4007280000001"/>
    <n v="2710.4007280000001"/>
    <n v="2710.4007280000001"/>
    <n v="0"/>
    <s v="NULL"/>
    <s v="Winterstorm NY TX MA NJ PA"/>
    <n v="4781.60363426"/>
    <m/>
    <x v="1"/>
  </r>
  <r>
    <x v="103"/>
    <x v="0"/>
    <x v="0"/>
    <x v="83"/>
    <x v="1"/>
    <x v="94"/>
    <x v="92"/>
    <x v="67"/>
    <x v="0"/>
    <x v="0"/>
    <x v="51"/>
    <x v="44"/>
    <x v="34"/>
    <n v="6561.1449750000002"/>
    <n v="6561.1449750000002"/>
    <n v="6561.1449750000002"/>
    <n v="0"/>
    <s v="NULL"/>
    <s v="Winterstorm NY TX MA NJ PA"/>
    <n v="4781.60363426"/>
    <m/>
    <x v="0"/>
  </r>
  <r>
    <x v="104"/>
    <x v="2"/>
    <x v="7"/>
    <x v="84"/>
    <x v="1"/>
    <x v="95"/>
    <x v="93"/>
    <x v="68"/>
    <x v="0"/>
    <x v="0"/>
    <x v="52"/>
    <x v="87"/>
    <x v="35"/>
    <n v="132217.24797500001"/>
    <n v="132217.24797500001"/>
    <n v="132217.24797500001"/>
    <n v="0"/>
    <s v="NULL"/>
    <s v="Winterstorm NY MA TX PA SC"/>
    <n v="3949.1976460300002"/>
    <m/>
    <x v="5"/>
  </r>
  <r>
    <x v="105"/>
    <x v="1"/>
    <x v="0"/>
    <x v="85"/>
    <x v="1"/>
    <x v="96"/>
    <x v="3"/>
    <x v="8"/>
    <x v="0"/>
    <x v="0"/>
    <x v="53"/>
    <x v="88"/>
    <x v="12"/>
    <n v="7419.2520000000004"/>
    <n v="7419.2520000000004"/>
    <n v="7419.2520000000004"/>
    <n v="0"/>
    <s v="NULL"/>
    <s v="Winterstorm NY TX MA CT PA"/>
    <n v="3280.0940773799998"/>
    <m/>
    <x v="0"/>
  </r>
  <r>
    <x v="7"/>
    <x v="0"/>
    <x v="2"/>
    <x v="7"/>
    <x v="1"/>
    <x v="7"/>
    <x v="5"/>
    <x v="5"/>
    <x v="0"/>
    <x v="0"/>
    <x v="5"/>
    <x v="7"/>
    <x v="4"/>
    <n v="120224.1813"/>
    <n v="120224.1813"/>
    <n v="120224.1813"/>
    <n v="0"/>
    <s v="NULL"/>
    <s v="Winterstorm NY TX MA NJ PA"/>
    <n v="4781.60363426"/>
    <m/>
    <x v="1"/>
  </r>
  <r>
    <x v="23"/>
    <x v="2"/>
    <x v="0"/>
    <x v="21"/>
    <x v="1"/>
    <x v="21"/>
    <x v="20"/>
    <x v="17"/>
    <x v="0"/>
    <x v="0"/>
    <x v="3"/>
    <x v="18"/>
    <x v="10"/>
    <n v="1105657.4685"/>
    <n v="1105657.4685"/>
    <n v="1105657.4685"/>
    <n v="0"/>
    <s v="NULL"/>
    <s v="Winterstorm NY MA TX PA SC"/>
    <n v="3949.1976460300002"/>
    <m/>
    <x v="0"/>
  </r>
  <r>
    <x v="106"/>
    <x v="2"/>
    <x v="13"/>
    <x v="86"/>
    <x v="1"/>
    <x v="97"/>
    <x v="94"/>
    <x v="69"/>
    <x v="0"/>
    <x v="0"/>
    <x v="3"/>
    <x v="89"/>
    <x v="11"/>
    <n v="2132.7600000000002"/>
    <n v="2132.7600000000002"/>
    <n v="2132.7600000000002"/>
    <n v="0"/>
    <s v="NULL"/>
    <s v="Winterstorm NY MA TX PA SC"/>
    <n v="3949.1976460300002"/>
    <m/>
    <x v="8"/>
  </r>
  <r>
    <x v="107"/>
    <x v="2"/>
    <x v="0"/>
    <x v="87"/>
    <x v="0"/>
    <x v="98"/>
    <x v="95"/>
    <x v="70"/>
    <x v="0"/>
    <x v="0"/>
    <x v="54"/>
    <x v="90"/>
    <x v="36"/>
    <n v="31.477499999999999"/>
    <n v="31.477499999999999"/>
    <n v="31.477499999999999"/>
    <n v="0"/>
    <s v="NULL"/>
    <s v="Winterstorm NY MA TX PA SC"/>
    <n v="3949.1976460300002"/>
    <m/>
    <x v="0"/>
  </r>
  <r>
    <x v="108"/>
    <x v="1"/>
    <x v="2"/>
    <x v="88"/>
    <x v="0"/>
    <x v="99"/>
    <x v="39"/>
    <x v="8"/>
    <x v="0"/>
    <x v="0"/>
    <x v="34"/>
    <x v="91"/>
    <x v="10"/>
    <n v="4208.82"/>
    <n v="4208.82"/>
    <n v="4208.82"/>
    <n v="0"/>
    <s v="NULL"/>
    <s v="Winterstorm NY TX MA CT PA"/>
    <n v="3280.0940773799998"/>
    <m/>
    <x v="1"/>
  </r>
  <r>
    <x v="109"/>
    <x v="1"/>
    <x v="3"/>
    <x v="89"/>
    <x v="1"/>
    <x v="100"/>
    <x v="96"/>
    <x v="36"/>
    <x v="0"/>
    <x v="0"/>
    <x v="25"/>
    <x v="44"/>
    <x v="23"/>
    <n v="26232.953000000001"/>
    <n v="26232.953000000001"/>
    <n v="26232.953000000001"/>
    <n v="0"/>
    <s v="NULL"/>
    <s v="Winterstorm NY TX MA CT PA"/>
    <n v="3280.0940773799998"/>
    <m/>
    <x v="2"/>
  </r>
  <r>
    <x v="52"/>
    <x v="1"/>
    <x v="0"/>
    <x v="46"/>
    <x v="0"/>
    <x v="46"/>
    <x v="48"/>
    <x v="35"/>
    <x v="0"/>
    <x v="0"/>
    <x v="24"/>
    <x v="42"/>
    <x v="23"/>
    <n v="12129.25625"/>
    <n v="12129.25625"/>
    <n v="12129.25625"/>
    <n v="0"/>
    <s v="NULL"/>
    <s v="Winterstorm NY TX MA CT PA"/>
    <n v="3280.0940773799998"/>
    <m/>
    <x v="0"/>
  </r>
  <r>
    <x v="110"/>
    <x v="0"/>
    <x v="2"/>
    <x v="27"/>
    <x v="0"/>
    <x v="27"/>
    <x v="97"/>
    <x v="3"/>
    <x v="0"/>
    <x v="0"/>
    <x v="4"/>
    <x v="5"/>
    <x v="3"/>
    <n v="261430.44341400001"/>
    <n v="261430.44341400001"/>
    <n v="261430.44341400001"/>
    <n v="0"/>
    <s v="NULL"/>
    <s v="Winterstorm NY TX MA NJ PA"/>
    <n v="4781.60363426"/>
    <m/>
    <x v="1"/>
  </r>
  <r>
    <x v="111"/>
    <x v="0"/>
    <x v="0"/>
    <x v="90"/>
    <x v="1"/>
    <x v="101"/>
    <x v="98"/>
    <x v="71"/>
    <x v="0"/>
    <x v="0"/>
    <x v="3"/>
    <x v="92"/>
    <x v="13"/>
    <n v="37259.415999999997"/>
    <n v="37259.415999999997"/>
    <n v="37259.415999999997"/>
    <n v="0"/>
    <s v="NULL"/>
    <s v="Winterstorm NY TX MA NJ PA"/>
    <n v="4781.60363426"/>
    <m/>
    <x v="0"/>
  </r>
  <r>
    <x v="112"/>
    <x v="1"/>
    <x v="2"/>
    <x v="91"/>
    <x v="0"/>
    <x v="102"/>
    <x v="51"/>
    <x v="9"/>
    <x v="0"/>
    <x v="0"/>
    <x v="55"/>
    <x v="93"/>
    <x v="13"/>
    <n v="22.564"/>
    <n v="22.564"/>
    <n v="22.564"/>
    <n v="0"/>
    <s v="NULL"/>
    <s v="Winterstorm NY TX MA CT PA"/>
    <n v="3280.0940773799998"/>
    <m/>
    <x v="1"/>
  </r>
  <r>
    <x v="113"/>
    <x v="2"/>
    <x v="0"/>
    <x v="92"/>
    <x v="0"/>
    <x v="103"/>
    <x v="8"/>
    <x v="72"/>
    <x v="0"/>
    <x v="0"/>
    <x v="56"/>
    <x v="94"/>
    <x v="10"/>
    <n v="17731.534500000002"/>
    <n v="17731.534500000002"/>
    <n v="17731.534500000002"/>
    <n v="0"/>
    <s v="NULL"/>
    <s v="Winterstorm NY MA TX PA SC"/>
    <n v="3949.1976460300002"/>
    <m/>
    <x v="0"/>
  </r>
  <r>
    <x v="114"/>
    <x v="0"/>
    <x v="0"/>
    <x v="37"/>
    <x v="0"/>
    <x v="104"/>
    <x v="99"/>
    <x v="8"/>
    <x v="0"/>
    <x v="0"/>
    <x v="12"/>
    <x v="95"/>
    <x v="37"/>
    <n v="8444.4899000000005"/>
    <n v="8444.4899000000005"/>
    <n v="8444.4899000000005"/>
    <n v="0"/>
    <s v="NULL"/>
    <s v="Winterstorm NY TX MA NJ PA"/>
    <n v="4781.60363426"/>
    <m/>
    <x v="0"/>
  </r>
  <r>
    <x v="102"/>
    <x v="1"/>
    <x v="4"/>
    <x v="82"/>
    <x v="1"/>
    <x v="93"/>
    <x v="91"/>
    <x v="66"/>
    <x v="0"/>
    <x v="0"/>
    <x v="5"/>
    <x v="86"/>
    <x v="10"/>
    <n v="1542.7829027800001"/>
    <n v="1542.7829027800001"/>
    <n v="1542.7829027800001"/>
    <n v="0"/>
    <s v="NULL"/>
    <s v="Winterstorm NY TX MA CT PA"/>
    <n v="3280.0940773799998"/>
    <m/>
    <x v="1"/>
  </r>
  <r>
    <x v="115"/>
    <x v="0"/>
    <x v="0"/>
    <x v="70"/>
    <x v="0"/>
    <x v="105"/>
    <x v="87"/>
    <x v="4"/>
    <x v="0"/>
    <x v="0"/>
    <x v="3"/>
    <x v="96"/>
    <x v="23"/>
    <n v="5.1905000000000001"/>
    <n v="5.1905000000000001"/>
    <n v="5.1905000000000001"/>
    <n v="0"/>
    <s v="NULL"/>
    <s v="Winterstorm NY TX MA NJ PA"/>
    <n v="4781.60363426"/>
    <m/>
    <x v="0"/>
  </r>
  <r>
    <x v="22"/>
    <x v="0"/>
    <x v="4"/>
    <x v="20"/>
    <x v="1"/>
    <x v="20"/>
    <x v="19"/>
    <x v="1"/>
    <x v="0"/>
    <x v="0"/>
    <x v="1"/>
    <x v="17"/>
    <x v="5"/>
    <n v="189.0215"/>
    <n v="189.0215"/>
    <n v="189.0215"/>
    <n v="0"/>
    <s v="NULL"/>
    <s v="Winterstorm NY TX MA NJ PA"/>
    <n v="4781.60363426"/>
    <m/>
    <x v="1"/>
  </r>
  <r>
    <x v="116"/>
    <x v="2"/>
    <x v="12"/>
    <x v="93"/>
    <x v="1"/>
    <x v="72"/>
    <x v="100"/>
    <x v="73"/>
    <x v="0"/>
    <x v="0"/>
    <x v="5"/>
    <x v="97"/>
    <x v="3"/>
    <n v="30915.66"/>
    <n v="30915.66"/>
    <n v="30915.66"/>
    <n v="0"/>
    <s v="NULL"/>
    <s v="Winterstorm NY MA TX PA SC"/>
    <n v="3949.1976460300002"/>
    <m/>
    <x v="4"/>
  </r>
  <r>
    <x v="75"/>
    <x v="2"/>
    <x v="7"/>
    <x v="64"/>
    <x v="1"/>
    <x v="67"/>
    <x v="69"/>
    <x v="39"/>
    <x v="0"/>
    <x v="0"/>
    <x v="29"/>
    <x v="61"/>
    <x v="9"/>
    <n v="291.62349999999998"/>
    <n v="291.62349999999998"/>
    <n v="291.62349999999998"/>
    <n v="0"/>
    <s v="NULL"/>
    <s v="Winterstorm NY MA TX PA SC"/>
    <n v="3949.1976460300002"/>
    <m/>
    <x v="5"/>
  </r>
  <r>
    <x v="117"/>
    <x v="0"/>
    <x v="0"/>
    <x v="94"/>
    <x v="2"/>
    <x v="106"/>
    <x v="101"/>
    <x v="8"/>
    <x v="1"/>
    <x v="0"/>
    <x v="57"/>
    <x v="98"/>
    <x v="38"/>
    <n v="270341.30239999999"/>
    <n v="177941.27695327401"/>
    <n v="177941.27695327401"/>
    <n v="46174.291275835203"/>
    <s v="NULL"/>
    <s v="Winterstorm NY TX MA NJ PA"/>
    <n v="4781.60363426"/>
    <m/>
    <x v="0"/>
  </r>
  <r>
    <x v="118"/>
    <x v="0"/>
    <x v="14"/>
    <x v="95"/>
    <x v="1"/>
    <x v="107"/>
    <x v="102"/>
    <x v="74"/>
    <x v="0"/>
    <x v="0"/>
    <x v="5"/>
    <x v="99"/>
    <x v="3"/>
    <n v="384427.02"/>
    <n v="384427.02"/>
    <n v="384427.02"/>
    <n v="0"/>
    <s v="NULL"/>
    <s v="Winterstorm NY TX MA NJ PA"/>
    <n v="4781.60363426"/>
    <m/>
    <x v="4"/>
  </r>
  <r>
    <x v="27"/>
    <x v="1"/>
    <x v="8"/>
    <x v="25"/>
    <x v="0"/>
    <x v="25"/>
    <x v="24"/>
    <x v="21"/>
    <x v="0"/>
    <x v="0"/>
    <x v="3"/>
    <x v="22"/>
    <x v="13"/>
    <n v="1777.9199446099999"/>
    <n v="1777.9199446099999"/>
    <n v="1777.9199446099999"/>
    <n v="0"/>
    <s v="NULL"/>
    <s v="Winterstorm NY TX MA CT PA"/>
    <n v="3280.0940773799998"/>
    <m/>
    <x v="6"/>
  </r>
  <r>
    <x v="119"/>
    <x v="0"/>
    <x v="0"/>
    <x v="96"/>
    <x v="1"/>
    <x v="108"/>
    <x v="103"/>
    <x v="75"/>
    <x v="0"/>
    <x v="0"/>
    <x v="3"/>
    <x v="100"/>
    <x v="36"/>
    <n v="307393.86959999998"/>
    <n v="307393.86959999998"/>
    <n v="307393.86959999998"/>
    <n v="0"/>
    <s v="NULL"/>
    <s v="Winterstorm NY TX MA NJ PA"/>
    <n v="4781.60363426"/>
    <m/>
    <x v="0"/>
  </r>
  <r>
    <x v="120"/>
    <x v="2"/>
    <x v="0"/>
    <x v="97"/>
    <x v="1"/>
    <x v="109"/>
    <x v="104"/>
    <x v="76"/>
    <x v="0"/>
    <x v="0"/>
    <x v="58"/>
    <x v="101"/>
    <x v="25"/>
    <n v="2960.043525"/>
    <n v="2960.043525"/>
    <n v="2960.043525"/>
    <n v="0"/>
    <s v="NULL"/>
    <s v="Winterstorm NY MA TX PA SC"/>
    <n v="3949.1976460300002"/>
    <m/>
    <x v="0"/>
  </r>
  <r>
    <x v="121"/>
    <x v="0"/>
    <x v="2"/>
    <x v="98"/>
    <x v="0"/>
    <x v="110"/>
    <x v="3"/>
    <x v="9"/>
    <x v="0"/>
    <x v="0"/>
    <x v="59"/>
    <x v="102"/>
    <x v="5"/>
    <n v="14807.611500000001"/>
    <n v="14807.611500000001"/>
    <n v="14807.611500000001"/>
    <n v="0"/>
    <s v="NULL"/>
    <s v="Winterstorm NY TX MA NJ PA"/>
    <n v="4781.60363426"/>
    <m/>
    <x v="1"/>
  </r>
  <r>
    <x v="122"/>
    <x v="0"/>
    <x v="0"/>
    <x v="99"/>
    <x v="0"/>
    <x v="111"/>
    <x v="19"/>
    <x v="49"/>
    <x v="0"/>
    <x v="0"/>
    <x v="37"/>
    <x v="103"/>
    <x v="12"/>
    <n v="66.215000000000003"/>
    <n v="66.215000000000003"/>
    <n v="66.215000000000003"/>
    <n v="0"/>
    <s v="NULL"/>
    <s v="Winterstorm NY TX MA NJ PA"/>
    <n v="4781.60363426"/>
    <m/>
    <x v="0"/>
  </r>
  <r>
    <x v="123"/>
    <x v="0"/>
    <x v="13"/>
    <x v="100"/>
    <x v="1"/>
    <x v="112"/>
    <x v="105"/>
    <x v="77"/>
    <x v="0"/>
    <x v="0"/>
    <x v="1"/>
    <x v="104"/>
    <x v="37"/>
    <n v="26668.41474"/>
    <n v="26668.41474"/>
    <n v="26668.41474"/>
    <n v="0"/>
    <s v="NULL"/>
    <s v="Winterstorm NY TX MA NJ PA"/>
    <n v="4781.60363426"/>
    <m/>
    <x v="8"/>
  </r>
  <r>
    <x v="124"/>
    <x v="1"/>
    <x v="15"/>
    <x v="101"/>
    <x v="1"/>
    <x v="113"/>
    <x v="106"/>
    <x v="3"/>
    <x v="0"/>
    <x v="0"/>
    <x v="3"/>
    <x v="5"/>
    <x v="3"/>
    <n v="0"/>
    <n v="0"/>
    <n v="-252122.92531424999"/>
    <n v="-6433.875"/>
    <s v="NULL"/>
    <s v="Winterstorm NY TX MA CT PA"/>
    <n v="3280.0940773799998"/>
    <m/>
    <x v="9"/>
  </r>
  <r>
    <x v="15"/>
    <x v="0"/>
    <x v="5"/>
    <x v="13"/>
    <x v="1"/>
    <x v="13"/>
    <x v="12"/>
    <x v="10"/>
    <x v="0"/>
    <x v="0"/>
    <x v="5"/>
    <x v="5"/>
    <x v="3"/>
    <n v="0"/>
    <n v="0"/>
    <n v="-1268678.82"/>
    <n v="0"/>
    <s v="NULL"/>
    <s v="Winterstorm NY TX MA NJ PA"/>
    <n v="4781.60363426"/>
    <m/>
    <x v="3"/>
  </r>
  <r>
    <x v="125"/>
    <x v="2"/>
    <x v="12"/>
    <x v="102"/>
    <x v="1"/>
    <x v="114"/>
    <x v="107"/>
    <x v="78"/>
    <x v="0"/>
    <x v="0"/>
    <x v="5"/>
    <x v="105"/>
    <x v="3"/>
    <n v="903607"/>
    <n v="903607"/>
    <n v="903607"/>
    <n v="0"/>
    <s v="NULL"/>
    <s v="Winterstorm NY MA TX PA SC"/>
    <n v="3949.1976460300002"/>
    <m/>
    <x v="4"/>
  </r>
  <r>
    <x v="126"/>
    <x v="0"/>
    <x v="0"/>
    <x v="56"/>
    <x v="0"/>
    <x v="115"/>
    <x v="80"/>
    <x v="63"/>
    <x v="0"/>
    <x v="0"/>
    <x v="60"/>
    <x v="106"/>
    <x v="23"/>
    <n v="22004.557000000001"/>
    <n v="22004.557000000001"/>
    <n v="22004.557000000001"/>
    <n v="0"/>
    <s v="NULL"/>
    <s v="Winterstorm NY TX MA NJ PA"/>
    <n v="4781.60363426"/>
    <m/>
    <x v="0"/>
  </r>
  <r>
    <x v="14"/>
    <x v="2"/>
    <x v="4"/>
    <x v="12"/>
    <x v="0"/>
    <x v="12"/>
    <x v="11"/>
    <x v="3"/>
    <x v="0"/>
    <x v="0"/>
    <x v="4"/>
    <x v="5"/>
    <x v="3"/>
    <n v="523.79168000000004"/>
    <n v="523.79168000000004"/>
    <n v="523.79168000000004"/>
    <n v="0"/>
    <s v="NULL"/>
    <s v="Winterstorm NY MA TX PA SC"/>
    <n v="3949.1976460300002"/>
    <m/>
    <x v="1"/>
  </r>
  <r>
    <x v="42"/>
    <x v="1"/>
    <x v="0"/>
    <x v="37"/>
    <x v="0"/>
    <x v="37"/>
    <x v="38"/>
    <x v="8"/>
    <x v="0"/>
    <x v="0"/>
    <x v="14"/>
    <x v="33"/>
    <x v="18"/>
    <n v="8740.2654000000002"/>
    <n v="8740.2654000000002"/>
    <n v="8740.2654000000002"/>
    <n v="0"/>
    <s v="NULL"/>
    <s v="Winterstorm NY TX MA CT PA"/>
    <n v="3280.0940773799998"/>
    <m/>
    <x v="0"/>
  </r>
  <r>
    <x v="127"/>
    <x v="1"/>
    <x v="0"/>
    <x v="103"/>
    <x v="1"/>
    <x v="116"/>
    <x v="108"/>
    <x v="79"/>
    <x v="0"/>
    <x v="0"/>
    <x v="3"/>
    <x v="107"/>
    <x v="39"/>
    <n v="592485.88165"/>
    <n v="592485.88165"/>
    <n v="592485.88165"/>
    <n v="0"/>
    <s v="NULL"/>
    <s v="Winterstorm NY TX MA CT PA"/>
    <n v="3280.0940773799998"/>
    <m/>
    <x v="0"/>
  </r>
  <r>
    <x v="128"/>
    <x v="0"/>
    <x v="0"/>
    <x v="0"/>
    <x v="0"/>
    <x v="117"/>
    <x v="109"/>
    <x v="80"/>
    <x v="0"/>
    <x v="0"/>
    <x v="61"/>
    <x v="108"/>
    <x v="0"/>
    <n v="28935.009600000001"/>
    <n v="28935.009600000001"/>
    <n v="28935.009600000001"/>
    <n v="0"/>
    <s v="NULL"/>
    <s v="Winterstorm NY TX MA NJ PA"/>
    <n v="4781.60363426"/>
    <m/>
    <x v="0"/>
  </r>
  <r>
    <x v="63"/>
    <x v="2"/>
    <x v="2"/>
    <x v="54"/>
    <x v="0"/>
    <x v="55"/>
    <x v="58"/>
    <x v="40"/>
    <x v="0"/>
    <x v="0"/>
    <x v="30"/>
    <x v="51"/>
    <x v="26"/>
    <n v="213832.16"/>
    <n v="213832.16"/>
    <n v="213832.16"/>
    <n v="176411.39999999001"/>
    <s v="NULL"/>
    <s v="Winterstorm NY MA TX PA SC"/>
    <n v="3949.1976460300002"/>
    <m/>
    <x v="1"/>
  </r>
  <r>
    <x v="129"/>
    <x v="1"/>
    <x v="4"/>
    <x v="12"/>
    <x v="0"/>
    <x v="12"/>
    <x v="110"/>
    <x v="3"/>
    <x v="0"/>
    <x v="0"/>
    <x v="4"/>
    <x v="5"/>
    <x v="3"/>
    <n v="17579.482237"/>
    <n v="17579.482237"/>
    <n v="17579.482237"/>
    <n v="0"/>
    <s v="NULL"/>
    <s v="Winterstorm NY TX MA CT PA"/>
    <n v="3280.0940773799998"/>
    <m/>
    <x v="1"/>
  </r>
  <r>
    <x v="130"/>
    <x v="0"/>
    <x v="1"/>
    <x v="5"/>
    <x v="0"/>
    <x v="5"/>
    <x v="111"/>
    <x v="3"/>
    <x v="0"/>
    <x v="0"/>
    <x v="4"/>
    <x v="5"/>
    <x v="3"/>
    <n v="111393.776"/>
    <n v="111393.776"/>
    <n v="111393.776"/>
    <n v="0"/>
    <s v="NULL"/>
    <s v="Winterstorm NY TX MA NJ PA"/>
    <n v="4781.60363426"/>
    <m/>
    <x v="1"/>
  </r>
  <r>
    <x v="131"/>
    <x v="2"/>
    <x v="0"/>
    <x v="104"/>
    <x v="1"/>
    <x v="118"/>
    <x v="45"/>
    <x v="1"/>
    <x v="0"/>
    <x v="0"/>
    <x v="1"/>
    <x v="109"/>
    <x v="16"/>
    <n v="207492.55124999999"/>
    <n v="207492.55124999999"/>
    <n v="207492.55124999999"/>
    <n v="0"/>
    <s v="NULL"/>
    <s v="Winterstorm NY MA TX PA SC"/>
    <n v="3949.1976460300002"/>
    <m/>
    <x v="0"/>
  </r>
  <r>
    <x v="132"/>
    <x v="0"/>
    <x v="0"/>
    <x v="22"/>
    <x v="0"/>
    <x v="119"/>
    <x v="112"/>
    <x v="17"/>
    <x v="0"/>
    <x v="0"/>
    <x v="62"/>
    <x v="59"/>
    <x v="5"/>
    <n v="4561.049"/>
    <n v="4561.049"/>
    <n v="4561.049"/>
    <n v="0"/>
    <s v="NULL"/>
    <s v="Winterstorm NY TX MA NJ PA"/>
    <n v="4781.60363426"/>
    <m/>
    <x v="0"/>
  </r>
  <r>
    <x v="133"/>
    <x v="2"/>
    <x v="12"/>
    <x v="105"/>
    <x v="1"/>
    <x v="72"/>
    <x v="113"/>
    <x v="81"/>
    <x v="0"/>
    <x v="0"/>
    <x v="5"/>
    <x v="110"/>
    <x v="3"/>
    <n v="783.58"/>
    <n v="783.58"/>
    <n v="783.58"/>
    <n v="0"/>
    <s v="NULL"/>
    <s v="Winterstorm NY MA TX PA SC"/>
    <n v="3949.1976460300002"/>
    <m/>
    <x v="4"/>
  </r>
  <r>
    <x v="134"/>
    <x v="1"/>
    <x v="2"/>
    <x v="27"/>
    <x v="0"/>
    <x v="27"/>
    <x v="114"/>
    <x v="3"/>
    <x v="0"/>
    <x v="0"/>
    <x v="4"/>
    <x v="5"/>
    <x v="3"/>
    <n v="21434.290216000001"/>
    <n v="21434.290216000001"/>
    <n v="21434.290216000001"/>
    <n v="0"/>
    <s v="NULL"/>
    <s v="Winterstorm NY TX MA CT PA"/>
    <n v="3280.0940773799998"/>
    <m/>
    <x v="1"/>
  </r>
  <r>
    <x v="135"/>
    <x v="1"/>
    <x v="7"/>
    <x v="106"/>
    <x v="1"/>
    <x v="120"/>
    <x v="112"/>
    <x v="34"/>
    <x v="0"/>
    <x v="0"/>
    <x v="63"/>
    <x v="111"/>
    <x v="4"/>
    <n v="1561.6965"/>
    <n v="1561.6965"/>
    <n v="1561.6965"/>
    <n v="0"/>
    <s v="NULL"/>
    <s v="Winterstorm NY TX MA CT PA"/>
    <n v="3280.0940773799998"/>
    <m/>
    <x v="5"/>
  </r>
  <r>
    <x v="65"/>
    <x v="0"/>
    <x v="0"/>
    <x v="55"/>
    <x v="1"/>
    <x v="57"/>
    <x v="60"/>
    <x v="42"/>
    <x v="0"/>
    <x v="0"/>
    <x v="3"/>
    <x v="44"/>
    <x v="10"/>
    <n v="75663.076499999996"/>
    <n v="75663.076499999996"/>
    <n v="75663.076499999996"/>
    <n v="0"/>
    <s v="NULL"/>
    <s v="Winterstorm NY TX MA NJ PA"/>
    <n v="4781.60363426"/>
    <m/>
    <x v="0"/>
  </r>
  <r>
    <x v="43"/>
    <x v="0"/>
    <x v="0"/>
    <x v="38"/>
    <x v="0"/>
    <x v="38"/>
    <x v="39"/>
    <x v="29"/>
    <x v="0"/>
    <x v="0"/>
    <x v="20"/>
    <x v="34"/>
    <x v="12"/>
    <n v="679.74400000000003"/>
    <n v="679.74400000000003"/>
    <n v="679.74400000000003"/>
    <n v="0"/>
    <s v="NULL"/>
    <s v="Winterstorm NY TX MA NJ PA"/>
    <n v="4781.60363426"/>
    <m/>
    <x v="0"/>
  </r>
  <r>
    <x v="121"/>
    <x v="2"/>
    <x v="2"/>
    <x v="98"/>
    <x v="0"/>
    <x v="110"/>
    <x v="3"/>
    <x v="9"/>
    <x v="0"/>
    <x v="0"/>
    <x v="59"/>
    <x v="102"/>
    <x v="5"/>
    <n v="3929.826"/>
    <n v="3929.826"/>
    <n v="3929.826"/>
    <n v="0"/>
    <s v="NULL"/>
    <s v="Winterstorm NY MA TX PA SC"/>
    <n v="3949.1976460300002"/>
    <m/>
    <x v="1"/>
  </r>
  <r>
    <x v="132"/>
    <x v="1"/>
    <x v="0"/>
    <x v="22"/>
    <x v="0"/>
    <x v="119"/>
    <x v="112"/>
    <x v="17"/>
    <x v="0"/>
    <x v="0"/>
    <x v="62"/>
    <x v="59"/>
    <x v="5"/>
    <n v="4069.6015000000002"/>
    <n v="4069.6015000000002"/>
    <n v="4069.6015000000002"/>
    <n v="0"/>
    <s v="NULL"/>
    <s v="Winterstorm NY TX MA CT PA"/>
    <n v="3280.0940773799998"/>
    <m/>
    <x v="0"/>
  </r>
  <r>
    <x v="136"/>
    <x v="0"/>
    <x v="2"/>
    <x v="27"/>
    <x v="0"/>
    <x v="27"/>
    <x v="115"/>
    <x v="3"/>
    <x v="0"/>
    <x v="0"/>
    <x v="4"/>
    <x v="5"/>
    <x v="3"/>
    <n v="135998.40811300001"/>
    <n v="135998.40811300001"/>
    <n v="135998.40811300001"/>
    <n v="0"/>
    <s v="NULL"/>
    <s v="Winterstorm NY TX MA NJ PA"/>
    <n v="4781.60363426"/>
    <m/>
    <x v="1"/>
  </r>
  <r>
    <x v="137"/>
    <x v="1"/>
    <x v="2"/>
    <x v="107"/>
    <x v="0"/>
    <x v="121"/>
    <x v="80"/>
    <x v="9"/>
    <x v="0"/>
    <x v="0"/>
    <x v="59"/>
    <x v="112"/>
    <x v="12"/>
    <n v="1005.831"/>
    <n v="1005.831"/>
    <n v="1005.831"/>
    <n v="0"/>
    <s v="NULL"/>
    <s v="Winterstorm NY TX MA CT PA"/>
    <n v="3280.0940773799998"/>
    <m/>
    <x v="1"/>
  </r>
  <r>
    <x v="138"/>
    <x v="2"/>
    <x v="11"/>
    <x v="59"/>
    <x v="0"/>
    <x v="61"/>
    <x v="116"/>
    <x v="3"/>
    <x v="0"/>
    <x v="0"/>
    <x v="4"/>
    <x v="5"/>
    <x v="3"/>
    <n v="62.994"/>
    <n v="62.994"/>
    <n v="62.994"/>
    <n v="0"/>
    <s v="NULL"/>
    <s v="Winterstorm NY MA TX PA SC"/>
    <n v="3949.1976460300002"/>
    <m/>
    <x v="1"/>
  </r>
  <r>
    <x v="139"/>
    <x v="2"/>
    <x v="0"/>
    <x v="108"/>
    <x v="0"/>
    <x v="122"/>
    <x v="58"/>
    <x v="9"/>
    <x v="0"/>
    <x v="0"/>
    <x v="64"/>
    <x v="113"/>
    <x v="23"/>
    <n v="21.045500000000001"/>
    <n v="21.045500000000001"/>
    <n v="21.045500000000001"/>
    <n v="0"/>
    <s v="NULL"/>
    <s v="Winterstorm NY MA TX PA SC"/>
    <n v="3949.1976460300002"/>
    <m/>
    <x v="0"/>
  </r>
  <r>
    <x v="40"/>
    <x v="1"/>
    <x v="0"/>
    <x v="35"/>
    <x v="0"/>
    <x v="35"/>
    <x v="36"/>
    <x v="8"/>
    <x v="0"/>
    <x v="0"/>
    <x v="18"/>
    <x v="31"/>
    <x v="0"/>
    <n v="3.1818499999999998"/>
    <n v="3.1818499999999998"/>
    <n v="3.1818499999999998"/>
    <n v="0"/>
    <s v="NULL"/>
    <s v="Winterstorm NY TX MA CT PA"/>
    <n v="3280.0940773799998"/>
    <m/>
    <x v="0"/>
  </r>
  <r>
    <x v="140"/>
    <x v="0"/>
    <x v="2"/>
    <x v="109"/>
    <x v="0"/>
    <x v="123"/>
    <x v="117"/>
    <x v="8"/>
    <x v="0"/>
    <x v="0"/>
    <x v="12"/>
    <x v="34"/>
    <x v="16"/>
    <n v="172.536"/>
    <n v="172.536"/>
    <n v="172.536"/>
    <n v="0"/>
    <s v="NULL"/>
    <s v="Winterstorm NY TX MA NJ PA"/>
    <n v="4781.60363426"/>
    <m/>
    <x v="1"/>
  </r>
  <r>
    <x v="133"/>
    <x v="0"/>
    <x v="12"/>
    <x v="105"/>
    <x v="1"/>
    <x v="72"/>
    <x v="113"/>
    <x v="81"/>
    <x v="0"/>
    <x v="0"/>
    <x v="5"/>
    <x v="110"/>
    <x v="3"/>
    <n v="713.54"/>
    <n v="713.54"/>
    <n v="713.54"/>
    <n v="0"/>
    <s v="NULL"/>
    <s v="Winterstorm NY TX MA NJ PA"/>
    <n v="4781.60363426"/>
    <m/>
    <x v="4"/>
  </r>
  <r>
    <x v="141"/>
    <x v="0"/>
    <x v="0"/>
    <x v="110"/>
    <x v="1"/>
    <x v="124"/>
    <x v="118"/>
    <x v="82"/>
    <x v="0"/>
    <x v="0"/>
    <x v="3"/>
    <x v="114"/>
    <x v="12"/>
    <n v="52861.853000000003"/>
    <n v="52861.853000000003"/>
    <n v="52861.853000000003"/>
    <n v="0"/>
    <s v="NULL"/>
    <s v="Winterstorm NY TX MA NJ PA"/>
    <n v="4781.60363426"/>
    <m/>
    <x v="0"/>
  </r>
  <r>
    <x v="142"/>
    <x v="0"/>
    <x v="2"/>
    <x v="111"/>
    <x v="0"/>
    <x v="125"/>
    <x v="119"/>
    <x v="83"/>
    <x v="0"/>
    <x v="0"/>
    <x v="65"/>
    <x v="115"/>
    <x v="13"/>
    <n v="210.20599999999999"/>
    <n v="210.20599999999999"/>
    <n v="210.20599999999999"/>
    <n v="0"/>
    <s v="NULL"/>
    <s v="Winterstorm NY TX MA NJ PA"/>
    <n v="4781.60363426"/>
    <m/>
    <x v="1"/>
  </r>
  <r>
    <x v="143"/>
    <x v="0"/>
    <x v="8"/>
    <x v="112"/>
    <x v="1"/>
    <x v="126"/>
    <x v="120"/>
    <x v="84"/>
    <x v="0"/>
    <x v="0"/>
    <x v="66"/>
    <x v="116"/>
    <x v="21"/>
    <n v="8705.3390276299997"/>
    <n v="8705.3390276299997"/>
    <n v="8705.3390276299997"/>
    <n v="0"/>
    <s v="NULL"/>
    <s v="Winterstorm NY TX MA NJ PA"/>
    <n v="4781.60363426"/>
    <m/>
    <x v="6"/>
  </r>
  <r>
    <x v="144"/>
    <x v="1"/>
    <x v="2"/>
    <x v="113"/>
    <x v="0"/>
    <x v="127"/>
    <x v="121"/>
    <x v="85"/>
    <x v="0"/>
    <x v="0"/>
    <x v="67"/>
    <x v="117"/>
    <x v="40"/>
    <n v="2966.6425198400002"/>
    <n v="2966.6425198400002"/>
    <n v="2966.6425198400002"/>
    <n v="0"/>
    <s v="NULL"/>
    <s v="Winterstorm NY TX MA CT PA"/>
    <n v="3280.0940773799998"/>
    <m/>
    <x v="1"/>
  </r>
  <r>
    <x v="145"/>
    <x v="1"/>
    <x v="2"/>
    <x v="109"/>
    <x v="0"/>
    <x v="128"/>
    <x v="21"/>
    <x v="32"/>
    <x v="0"/>
    <x v="0"/>
    <x v="68"/>
    <x v="118"/>
    <x v="13"/>
    <n v="128.21199999999999"/>
    <n v="128.21199999999999"/>
    <n v="128.21199999999999"/>
    <n v="0"/>
    <s v="NULL"/>
    <s v="Winterstorm NY TX MA CT PA"/>
    <n v="3280.0940773799998"/>
    <m/>
    <x v="1"/>
  </r>
  <r>
    <x v="146"/>
    <x v="0"/>
    <x v="0"/>
    <x v="2"/>
    <x v="0"/>
    <x v="129"/>
    <x v="117"/>
    <x v="49"/>
    <x v="0"/>
    <x v="0"/>
    <x v="37"/>
    <x v="119"/>
    <x v="4"/>
    <n v="1088.0613000000001"/>
    <n v="1088.0613000000001"/>
    <n v="1088.0613000000001"/>
    <n v="0"/>
    <s v="NULL"/>
    <s v="Winterstorm NY TX MA NJ PA"/>
    <n v="4781.60363426"/>
    <m/>
    <x v="0"/>
  </r>
  <r>
    <x v="147"/>
    <x v="0"/>
    <x v="3"/>
    <x v="114"/>
    <x v="0"/>
    <x v="130"/>
    <x v="8"/>
    <x v="29"/>
    <x v="0"/>
    <x v="0"/>
    <x v="69"/>
    <x v="120"/>
    <x v="16"/>
    <n v="657.24749999999995"/>
    <n v="657.24749999999995"/>
    <n v="657.24749999999995"/>
    <n v="0"/>
    <s v="NULL"/>
    <s v="Winterstorm NY TX MA NJ PA"/>
    <n v="4781.60363426"/>
    <m/>
    <x v="2"/>
  </r>
  <r>
    <x v="148"/>
    <x v="1"/>
    <x v="0"/>
    <x v="23"/>
    <x v="0"/>
    <x v="131"/>
    <x v="51"/>
    <x v="45"/>
    <x v="0"/>
    <x v="0"/>
    <x v="3"/>
    <x v="121"/>
    <x v="11"/>
    <n v="15262.3284"/>
    <n v="15262.3284"/>
    <n v="15262.3284"/>
    <n v="0"/>
    <s v="NULL"/>
    <s v="Winterstorm NY TX MA CT PA"/>
    <n v="3280.0940773799998"/>
    <m/>
    <x v="0"/>
  </r>
  <r>
    <x v="149"/>
    <x v="0"/>
    <x v="0"/>
    <x v="52"/>
    <x v="0"/>
    <x v="132"/>
    <x v="122"/>
    <x v="72"/>
    <x v="0"/>
    <x v="0"/>
    <x v="70"/>
    <x v="122"/>
    <x v="2"/>
    <n v="2676.8742000000002"/>
    <n v="2676.8742000000002"/>
    <n v="2676.8742000000002"/>
    <n v="0"/>
    <s v="NULL"/>
    <s v="Winterstorm NY TX MA NJ PA"/>
    <n v="4781.60363426"/>
    <m/>
    <x v="0"/>
  </r>
  <r>
    <x v="150"/>
    <x v="0"/>
    <x v="0"/>
    <x v="115"/>
    <x v="0"/>
    <x v="133"/>
    <x v="123"/>
    <x v="72"/>
    <x v="0"/>
    <x v="0"/>
    <x v="3"/>
    <x v="123"/>
    <x v="16"/>
    <n v="39.257249999999999"/>
    <n v="39.257249999999999"/>
    <n v="39.257249999999999"/>
    <n v="0"/>
    <s v="NULL"/>
    <s v="Winterstorm NY TX MA NJ PA"/>
    <n v="4781.60363426"/>
    <m/>
    <x v="0"/>
  </r>
  <r>
    <x v="5"/>
    <x v="2"/>
    <x v="1"/>
    <x v="5"/>
    <x v="0"/>
    <x v="5"/>
    <x v="4"/>
    <x v="3"/>
    <x v="0"/>
    <x v="0"/>
    <x v="4"/>
    <x v="5"/>
    <x v="3"/>
    <n v="152.61330000000001"/>
    <n v="152.61330000000001"/>
    <n v="152.61330000000001"/>
    <n v="0"/>
    <s v="NULL"/>
    <s v="Winterstorm NY MA TX PA SC"/>
    <n v="3949.1976460300002"/>
    <m/>
    <x v="1"/>
  </r>
  <r>
    <x v="124"/>
    <x v="2"/>
    <x v="15"/>
    <x v="101"/>
    <x v="1"/>
    <x v="113"/>
    <x v="106"/>
    <x v="3"/>
    <x v="0"/>
    <x v="0"/>
    <x v="3"/>
    <x v="5"/>
    <x v="3"/>
    <n v="0"/>
    <n v="0"/>
    <n v="-95762.304050999999"/>
    <n v="-14334.384606899999"/>
    <s v="NULL"/>
    <s v="Winterstorm NY MA TX PA SC"/>
    <n v="3949.1976460300002"/>
    <m/>
    <x v="9"/>
  </r>
  <r>
    <x v="151"/>
    <x v="2"/>
    <x v="1"/>
    <x v="5"/>
    <x v="0"/>
    <x v="5"/>
    <x v="124"/>
    <x v="3"/>
    <x v="0"/>
    <x v="0"/>
    <x v="4"/>
    <x v="5"/>
    <x v="3"/>
    <n v="4114.5262890000004"/>
    <n v="4114.5262890000004"/>
    <n v="4114.5262890000004"/>
    <n v="0"/>
    <s v="NULL"/>
    <s v="Winterstorm NY MA TX PA SC"/>
    <n v="3949.1976460300002"/>
    <m/>
    <x v="1"/>
  </r>
  <r>
    <x v="152"/>
    <x v="2"/>
    <x v="11"/>
    <x v="59"/>
    <x v="0"/>
    <x v="61"/>
    <x v="125"/>
    <x v="3"/>
    <x v="0"/>
    <x v="0"/>
    <x v="4"/>
    <x v="5"/>
    <x v="3"/>
    <n v="1831.5142000000001"/>
    <n v="1831.5142000000001"/>
    <n v="1831.5142000000001"/>
    <n v="0"/>
    <s v="NULL"/>
    <s v="Winterstorm NY MA TX PA SC"/>
    <n v="3949.1976460300002"/>
    <m/>
    <x v="1"/>
  </r>
  <r>
    <x v="153"/>
    <x v="2"/>
    <x v="4"/>
    <x v="12"/>
    <x v="0"/>
    <x v="12"/>
    <x v="126"/>
    <x v="3"/>
    <x v="0"/>
    <x v="0"/>
    <x v="4"/>
    <x v="5"/>
    <x v="3"/>
    <n v="248.99534199999999"/>
    <n v="248.99534199999999"/>
    <n v="248.99534199999999"/>
    <n v="0"/>
    <s v="NULL"/>
    <s v="Winterstorm NY MA TX PA SC"/>
    <n v="3949.1976460300002"/>
    <m/>
    <x v="1"/>
  </r>
  <r>
    <x v="36"/>
    <x v="2"/>
    <x v="2"/>
    <x v="27"/>
    <x v="0"/>
    <x v="27"/>
    <x v="32"/>
    <x v="3"/>
    <x v="0"/>
    <x v="0"/>
    <x v="4"/>
    <x v="5"/>
    <x v="3"/>
    <n v="5230.9289520000002"/>
    <n v="5230.9289520000002"/>
    <n v="5230.9289520000002"/>
    <n v="0"/>
    <s v="NULL"/>
    <s v="Winterstorm NY MA TX PA SC"/>
    <n v="3949.1976460300002"/>
    <m/>
    <x v="1"/>
  </r>
  <r>
    <x v="154"/>
    <x v="2"/>
    <x v="12"/>
    <x v="116"/>
    <x v="1"/>
    <x v="72"/>
    <x v="127"/>
    <x v="86"/>
    <x v="0"/>
    <x v="0"/>
    <x v="5"/>
    <x v="124"/>
    <x v="3"/>
    <n v="364.34"/>
    <n v="364.34"/>
    <n v="364.34"/>
    <n v="0"/>
    <s v="NULL"/>
    <s v="Winterstorm NY MA TX PA SC"/>
    <n v="3949.1976460300002"/>
    <m/>
    <x v="4"/>
  </r>
  <r>
    <x v="155"/>
    <x v="2"/>
    <x v="5"/>
    <x v="117"/>
    <x v="1"/>
    <x v="134"/>
    <x v="128"/>
    <x v="87"/>
    <x v="0"/>
    <x v="0"/>
    <x v="5"/>
    <x v="5"/>
    <x v="3"/>
    <n v="0"/>
    <n v="0"/>
    <n v="-205387.21"/>
    <n v="0"/>
    <s v="NULL"/>
    <s v="Winterstorm NY MA TX PA SC"/>
    <n v="3949.1976460300002"/>
    <m/>
    <x v="3"/>
  </r>
  <r>
    <x v="156"/>
    <x v="2"/>
    <x v="14"/>
    <x v="118"/>
    <x v="1"/>
    <x v="135"/>
    <x v="129"/>
    <x v="88"/>
    <x v="0"/>
    <x v="0"/>
    <x v="5"/>
    <x v="125"/>
    <x v="3"/>
    <n v="7516.58"/>
    <n v="7516.58"/>
    <n v="7516.58"/>
    <n v="0"/>
    <s v="NULL"/>
    <s v="Winterstorm NY MA TX PA SC"/>
    <n v="3949.1976460300002"/>
    <m/>
    <x v="4"/>
  </r>
  <r>
    <x v="157"/>
    <x v="2"/>
    <x v="12"/>
    <x v="119"/>
    <x v="1"/>
    <x v="136"/>
    <x v="130"/>
    <x v="89"/>
    <x v="0"/>
    <x v="0"/>
    <x v="5"/>
    <x v="126"/>
    <x v="3"/>
    <n v="354110.97"/>
    <n v="354110.97"/>
    <n v="354110.97"/>
    <n v="0"/>
    <s v="NULL"/>
    <s v="Winterstorm NY MA TX PA SC"/>
    <n v="3949.1976460300002"/>
    <m/>
    <x v="4"/>
  </r>
  <r>
    <x v="158"/>
    <x v="2"/>
    <x v="0"/>
    <x v="120"/>
    <x v="1"/>
    <x v="137"/>
    <x v="131"/>
    <x v="90"/>
    <x v="0"/>
    <x v="0"/>
    <x v="71"/>
    <x v="127"/>
    <x v="12"/>
    <n v="301553.21100000001"/>
    <n v="301553.21100000001"/>
    <n v="301553.21100000001"/>
    <n v="0"/>
    <s v="NULL"/>
    <s v="Winterstorm NY MA TX PA SC"/>
    <n v="3949.1976460300002"/>
    <m/>
    <x v="0"/>
  </r>
  <r>
    <x v="105"/>
    <x v="2"/>
    <x v="0"/>
    <x v="85"/>
    <x v="1"/>
    <x v="96"/>
    <x v="3"/>
    <x v="8"/>
    <x v="0"/>
    <x v="0"/>
    <x v="53"/>
    <x v="88"/>
    <x v="12"/>
    <n v="3893.2820000000002"/>
    <n v="3893.2820000000002"/>
    <n v="3893.2820000000002"/>
    <n v="0"/>
    <s v="NULL"/>
    <s v="Winterstorm NY MA TX PA SC"/>
    <n v="3949.1976460300002"/>
    <m/>
    <x v="0"/>
  </r>
  <r>
    <x v="159"/>
    <x v="2"/>
    <x v="0"/>
    <x v="121"/>
    <x v="1"/>
    <x v="138"/>
    <x v="132"/>
    <x v="24"/>
    <x v="0"/>
    <x v="0"/>
    <x v="15"/>
    <x v="128"/>
    <x v="23"/>
    <n v="30554.838250000001"/>
    <n v="30554.838250000001"/>
    <n v="30554.838250000001"/>
    <n v="0"/>
    <s v="NULL"/>
    <s v="Winterstorm NY MA TX PA SC"/>
    <n v="3949.1976460300002"/>
    <m/>
    <x v="0"/>
  </r>
  <r>
    <x v="160"/>
    <x v="2"/>
    <x v="0"/>
    <x v="122"/>
    <x v="0"/>
    <x v="139"/>
    <x v="38"/>
    <x v="29"/>
    <x v="0"/>
    <x v="0"/>
    <x v="72"/>
    <x v="129"/>
    <x v="41"/>
    <n v="24271.3308"/>
    <n v="24271.3308"/>
    <n v="24271.3308"/>
    <n v="0"/>
    <s v="NULL"/>
    <s v="Winterstorm NY MA TX PA SC"/>
    <n v="3949.1976460300002"/>
    <m/>
    <x v="0"/>
  </r>
  <r>
    <x v="161"/>
    <x v="2"/>
    <x v="0"/>
    <x v="77"/>
    <x v="0"/>
    <x v="140"/>
    <x v="133"/>
    <x v="91"/>
    <x v="0"/>
    <x v="0"/>
    <x v="73"/>
    <x v="130"/>
    <x v="10"/>
    <n v="1233.3495"/>
    <n v="1233.3495"/>
    <n v="1233.3495"/>
    <n v="0"/>
    <s v="NULL"/>
    <s v="Winterstorm NY MA TX PA SC"/>
    <n v="3949.1976460300002"/>
    <m/>
    <x v="0"/>
  </r>
  <r>
    <x v="162"/>
    <x v="2"/>
    <x v="2"/>
    <x v="123"/>
    <x v="1"/>
    <x v="141"/>
    <x v="134"/>
    <x v="92"/>
    <x v="0"/>
    <x v="0"/>
    <x v="5"/>
    <x v="131"/>
    <x v="27"/>
    <n v="4203.625"/>
    <n v="4203.625"/>
    <n v="4203.625"/>
    <n v="0"/>
    <s v="NULL"/>
    <s v="Winterstorm NY MA TX PA SC"/>
    <n v="3949.1976460300002"/>
    <m/>
    <x v="1"/>
  </r>
  <r>
    <x v="163"/>
    <x v="2"/>
    <x v="2"/>
    <x v="124"/>
    <x v="0"/>
    <x v="142"/>
    <x v="122"/>
    <x v="93"/>
    <x v="0"/>
    <x v="0"/>
    <x v="74"/>
    <x v="132"/>
    <x v="5"/>
    <n v="4190.7764999999999"/>
    <n v="4190.7764999999999"/>
    <n v="4190.7764999999999"/>
    <n v="0"/>
    <s v="NULL"/>
    <s v="Winterstorm NY MA TX PA SC"/>
    <n v="3949.1976460300002"/>
    <m/>
    <x v="1"/>
  </r>
  <r>
    <x v="164"/>
    <x v="2"/>
    <x v="0"/>
    <x v="125"/>
    <x v="0"/>
    <x v="143"/>
    <x v="135"/>
    <x v="2"/>
    <x v="0"/>
    <x v="0"/>
    <x v="31"/>
    <x v="133"/>
    <x v="0"/>
    <n v="159.13624999999999"/>
    <n v="159.13624999999999"/>
    <n v="159.13624999999999"/>
    <n v="0"/>
    <s v="NULL"/>
    <s v="Winterstorm NY MA TX PA SC"/>
    <n v="3949.1976460300002"/>
    <m/>
    <x v="0"/>
  </r>
  <r>
    <x v="165"/>
    <x v="2"/>
    <x v="0"/>
    <x v="126"/>
    <x v="0"/>
    <x v="144"/>
    <x v="136"/>
    <x v="94"/>
    <x v="0"/>
    <x v="0"/>
    <x v="75"/>
    <x v="134"/>
    <x v="4"/>
    <n v="74.5929"/>
    <n v="74.5929"/>
    <n v="74.5929"/>
    <n v="0"/>
    <s v="NULL"/>
    <s v="Winterstorm NY MA TX PA SC"/>
    <n v="3949.1976460300002"/>
    <m/>
    <x v="0"/>
  </r>
  <r>
    <x v="166"/>
    <x v="2"/>
    <x v="0"/>
    <x v="127"/>
    <x v="0"/>
    <x v="145"/>
    <x v="65"/>
    <x v="19"/>
    <x v="0"/>
    <x v="0"/>
    <x v="3"/>
    <x v="135"/>
    <x v="12"/>
    <n v="1359.8"/>
    <n v="1359.8"/>
    <n v="1359.8"/>
    <n v="0"/>
    <s v="NULL"/>
    <s v="Winterstorm NY MA TX PA SC"/>
    <n v="3949.1976460300002"/>
    <m/>
    <x v="0"/>
  </r>
  <r>
    <x v="167"/>
    <x v="2"/>
    <x v="0"/>
    <x v="128"/>
    <x v="1"/>
    <x v="146"/>
    <x v="58"/>
    <x v="8"/>
    <x v="0"/>
    <x v="0"/>
    <x v="53"/>
    <x v="136"/>
    <x v="5"/>
    <n v="107802.34149999999"/>
    <n v="107802.34149999999"/>
    <n v="107802.34149999999"/>
    <n v="0"/>
    <s v="NULL"/>
    <s v="Winterstorm NY MA TX PA SC"/>
    <n v="3949.1976460300002"/>
    <m/>
    <x v="0"/>
  </r>
  <r>
    <x v="168"/>
    <x v="2"/>
    <x v="0"/>
    <x v="129"/>
    <x v="1"/>
    <x v="147"/>
    <x v="22"/>
    <x v="30"/>
    <x v="0"/>
    <x v="0"/>
    <x v="21"/>
    <x v="137"/>
    <x v="13"/>
    <n v="1084153.6359999999"/>
    <n v="1084153.6359999999"/>
    <n v="1084153.6359999999"/>
    <n v="0"/>
    <s v="NULL"/>
    <s v="Winterstorm NY MA TX PA SC"/>
    <n v="3949.1976460300002"/>
    <m/>
    <x v="0"/>
  </r>
  <r>
    <x v="169"/>
    <x v="2"/>
    <x v="0"/>
    <x v="94"/>
    <x v="2"/>
    <x v="148"/>
    <x v="137"/>
    <x v="95"/>
    <x v="2"/>
    <x v="0"/>
    <x v="76"/>
    <x v="138"/>
    <x v="38"/>
    <n v="279964.65324999997"/>
    <n v="184275.46016396399"/>
    <n v="184275.46016396399"/>
    <n v="86609.455990890696"/>
    <s v="NULL"/>
    <s v="Winterstorm NY MA TX PA SC"/>
    <n v="3949.1976460300002"/>
    <m/>
    <x v="0"/>
  </r>
  <r>
    <x v="44"/>
    <x v="2"/>
    <x v="0"/>
    <x v="39"/>
    <x v="1"/>
    <x v="39"/>
    <x v="40"/>
    <x v="30"/>
    <x v="0"/>
    <x v="0"/>
    <x v="21"/>
    <x v="35"/>
    <x v="19"/>
    <n v="358084.91399999999"/>
    <n v="358084.91399999999"/>
    <n v="358084.91399999999"/>
    <n v="0"/>
    <s v="NULL"/>
    <s v="Winterstorm NY MA TX PA SC"/>
    <n v="3949.1976460300002"/>
    <m/>
    <x v="0"/>
  </r>
  <r>
    <x v="170"/>
    <x v="2"/>
    <x v="0"/>
    <x v="0"/>
    <x v="0"/>
    <x v="149"/>
    <x v="138"/>
    <x v="96"/>
    <x v="0"/>
    <x v="0"/>
    <x v="77"/>
    <x v="139"/>
    <x v="0"/>
    <n v="42507.554250000001"/>
    <n v="42507.554250000001"/>
    <n v="42507.554250000001"/>
    <n v="0"/>
    <s v="NULL"/>
    <s v="Winterstorm NY MA TX PA SC"/>
    <n v="3949.1976460300002"/>
    <m/>
    <x v="0"/>
  </r>
  <r>
    <x v="171"/>
    <x v="2"/>
    <x v="2"/>
    <x v="130"/>
    <x v="0"/>
    <x v="150"/>
    <x v="139"/>
    <x v="97"/>
    <x v="0"/>
    <x v="0"/>
    <x v="78"/>
    <x v="140"/>
    <x v="5"/>
    <n v="1193.2375"/>
    <n v="1193.2375"/>
    <n v="1193.2375"/>
    <n v="0"/>
    <s v="NULL"/>
    <s v="Winterstorm NY MA TX PA SC"/>
    <n v="3949.1976460300002"/>
    <m/>
    <x v="1"/>
  </r>
  <r>
    <x v="172"/>
    <x v="2"/>
    <x v="3"/>
    <x v="81"/>
    <x v="0"/>
    <x v="151"/>
    <x v="63"/>
    <x v="19"/>
    <x v="0"/>
    <x v="0"/>
    <x v="79"/>
    <x v="141"/>
    <x v="5"/>
    <n v="3414.2080000000001"/>
    <n v="3414.2080000000001"/>
    <n v="3414.2080000000001"/>
    <n v="0"/>
    <s v="NULL"/>
    <s v="Winterstorm NY MA TX PA SC"/>
    <n v="3949.1976460300002"/>
    <m/>
    <x v="2"/>
  </r>
  <r>
    <x v="145"/>
    <x v="2"/>
    <x v="2"/>
    <x v="109"/>
    <x v="0"/>
    <x v="128"/>
    <x v="21"/>
    <x v="32"/>
    <x v="0"/>
    <x v="0"/>
    <x v="68"/>
    <x v="118"/>
    <x v="13"/>
    <n v="181.09"/>
    <n v="181.09"/>
    <n v="181.09"/>
    <n v="0"/>
    <s v="NULL"/>
    <s v="Winterstorm NY MA TX PA SC"/>
    <n v="3949.1976460300002"/>
    <m/>
    <x v="1"/>
  </r>
  <r>
    <x v="173"/>
    <x v="2"/>
    <x v="0"/>
    <x v="46"/>
    <x v="0"/>
    <x v="152"/>
    <x v="40"/>
    <x v="19"/>
    <x v="0"/>
    <x v="0"/>
    <x v="80"/>
    <x v="70"/>
    <x v="28"/>
    <n v="18144.785400000001"/>
    <n v="18144.785400000001"/>
    <n v="18144.785400000001"/>
    <n v="0"/>
    <s v="NULL"/>
    <s v="Winterstorm NY MA TX PA SC"/>
    <n v="3949.1976460300002"/>
    <m/>
    <x v="0"/>
  </r>
  <r>
    <x v="174"/>
    <x v="2"/>
    <x v="0"/>
    <x v="131"/>
    <x v="1"/>
    <x v="153"/>
    <x v="140"/>
    <x v="98"/>
    <x v="0"/>
    <x v="0"/>
    <x v="81"/>
    <x v="142"/>
    <x v="5"/>
    <n v="4687.6625000000004"/>
    <n v="4687.6625000000004"/>
    <n v="4687.6625000000004"/>
    <n v="0"/>
    <s v="NULL"/>
    <s v="Winterstorm NY MA TX PA SC"/>
    <n v="3949.1976460300002"/>
    <m/>
    <x v="0"/>
  </r>
  <r>
    <x v="175"/>
    <x v="2"/>
    <x v="0"/>
    <x v="132"/>
    <x v="1"/>
    <x v="154"/>
    <x v="141"/>
    <x v="45"/>
    <x v="0"/>
    <x v="0"/>
    <x v="27"/>
    <x v="143"/>
    <x v="10"/>
    <n v="941016.19200000004"/>
    <n v="941016.19200000004"/>
    <n v="941016.19200000004"/>
    <n v="0"/>
    <s v="NULL"/>
    <s v="Winterstorm NY MA TX PA SC"/>
    <n v="3949.1976460300002"/>
    <m/>
    <x v="0"/>
  </r>
  <r>
    <x v="176"/>
    <x v="2"/>
    <x v="0"/>
    <x v="133"/>
    <x v="1"/>
    <x v="155"/>
    <x v="142"/>
    <x v="26"/>
    <x v="0"/>
    <x v="0"/>
    <x v="3"/>
    <x v="62"/>
    <x v="28"/>
    <n v="86632.233600000007"/>
    <n v="86632.233600000007"/>
    <n v="86632.233600000007"/>
    <n v="0"/>
    <s v="NULL"/>
    <s v="Winterstorm NY MA TX PA SC"/>
    <n v="3949.1976460300002"/>
    <m/>
    <x v="0"/>
  </r>
  <r>
    <x v="177"/>
    <x v="2"/>
    <x v="0"/>
    <x v="134"/>
    <x v="2"/>
    <x v="156"/>
    <x v="143"/>
    <x v="32"/>
    <x v="3"/>
    <x v="0"/>
    <x v="82"/>
    <x v="144"/>
    <x v="0"/>
    <n v="1050000"/>
    <n v="644794.12632175698"/>
    <n v="644794.12632175698"/>
    <n v="138630.73715917801"/>
    <s v="NULL"/>
    <s v="Winterstorm NY MA TX PA SC"/>
    <n v="3949.1976460300002"/>
    <m/>
    <x v="0"/>
  </r>
  <r>
    <x v="178"/>
    <x v="2"/>
    <x v="0"/>
    <x v="36"/>
    <x v="0"/>
    <x v="157"/>
    <x v="58"/>
    <x v="8"/>
    <x v="0"/>
    <x v="0"/>
    <x v="83"/>
    <x v="145"/>
    <x v="5"/>
    <n v="7.7874999999999996"/>
    <n v="7.7874999999999996"/>
    <n v="7.7874999999999996"/>
    <n v="0"/>
    <s v="NULL"/>
    <s v="Winterstorm NY MA TX PA SC"/>
    <n v="3949.1976460300002"/>
    <m/>
    <x v="0"/>
  </r>
  <r>
    <x v="179"/>
    <x v="2"/>
    <x v="0"/>
    <x v="47"/>
    <x v="0"/>
    <x v="158"/>
    <x v="144"/>
    <x v="95"/>
    <x v="0"/>
    <x v="0"/>
    <x v="3"/>
    <x v="146"/>
    <x v="5"/>
    <n v="42.9285"/>
    <n v="42.9285"/>
    <n v="42.9285"/>
    <n v="0"/>
    <s v="NULL"/>
    <s v="Winterstorm NY MA TX PA SC"/>
    <n v="3949.1976460300002"/>
    <m/>
    <x v="0"/>
  </r>
  <r>
    <x v="180"/>
    <x v="2"/>
    <x v="2"/>
    <x v="135"/>
    <x v="0"/>
    <x v="159"/>
    <x v="141"/>
    <x v="34"/>
    <x v="0"/>
    <x v="0"/>
    <x v="84"/>
    <x v="147"/>
    <x v="12"/>
    <n v="4.9409999999999998"/>
    <n v="4.9409999999999998"/>
    <n v="4.9409999999999998"/>
    <n v="0"/>
    <s v="NULL"/>
    <s v="Winterstorm NY MA TX PA SC"/>
    <n v="3949.1976460300002"/>
    <m/>
    <x v="1"/>
  </r>
  <r>
    <x v="181"/>
    <x v="2"/>
    <x v="7"/>
    <x v="136"/>
    <x v="1"/>
    <x v="160"/>
    <x v="65"/>
    <x v="19"/>
    <x v="0"/>
    <x v="0"/>
    <x v="85"/>
    <x v="148"/>
    <x v="12"/>
    <n v="12550.439"/>
    <n v="12550.439"/>
    <n v="12550.439"/>
    <n v="0"/>
    <s v="NULL"/>
    <s v="Winterstorm NY MA TX PA SC"/>
    <n v="3949.1976460300002"/>
    <m/>
    <x v="5"/>
  </r>
  <r>
    <x v="182"/>
    <x v="2"/>
    <x v="7"/>
    <x v="137"/>
    <x v="1"/>
    <x v="161"/>
    <x v="145"/>
    <x v="8"/>
    <x v="0"/>
    <x v="0"/>
    <x v="53"/>
    <x v="149"/>
    <x v="34"/>
    <n v="13400.307525"/>
    <n v="13400.307525"/>
    <n v="13400.307525"/>
    <n v="0"/>
    <s v="NULL"/>
    <s v="Winterstorm NY MA TX PA SC"/>
    <n v="3949.1976460300002"/>
    <m/>
    <x v="5"/>
  </r>
  <r>
    <x v="183"/>
    <x v="2"/>
    <x v="0"/>
    <x v="138"/>
    <x v="1"/>
    <x v="162"/>
    <x v="146"/>
    <x v="99"/>
    <x v="0"/>
    <x v="0"/>
    <x v="3"/>
    <x v="150"/>
    <x v="41"/>
    <n v="62092.523999999998"/>
    <n v="62092.523999999998"/>
    <n v="62092.523999999998"/>
    <n v="0"/>
    <s v="NULL"/>
    <s v="Winterstorm NY MA TX PA SC"/>
    <n v="3949.1976460300002"/>
    <m/>
    <x v="0"/>
  </r>
  <r>
    <x v="184"/>
    <x v="2"/>
    <x v="0"/>
    <x v="139"/>
    <x v="1"/>
    <x v="163"/>
    <x v="147"/>
    <x v="100"/>
    <x v="0"/>
    <x v="0"/>
    <x v="86"/>
    <x v="151"/>
    <x v="10"/>
    <n v="1118858.148"/>
    <n v="1118858.148"/>
    <n v="1118858.148"/>
    <n v="0"/>
    <s v="NULL"/>
    <s v="Winterstorm NY MA TX PA SC"/>
    <n v="3949.1976460300002"/>
    <m/>
    <x v="0"/>
  </r>
  <r>
    <x v="185"/>
    <x v="2"/>
    <x v="2"/>
    <x v="140"/>
    <x v="0"/>
    <x v="164"/>
    <x v="58"/>
    <x v="31"/>
    <x v="0"/>
    <x v="0"/>
    <x v="87"/>
    <x v="152"/>
    <x v="12"/>
    <n v="17.670999999999999"/>
    <n v="17.670999999999999"/>
    <n v="17.670999999999999"/>
    <n v="3.02839605"/>
    <s v="NULL"/>
    <s v="Winterstorm NY MA TX PA SC"/>
    <n v="3949.1976460300002"/>
    <m/>
    <x v="1"/>
  </r>
  <r>
    <x v="89"/>
    <x v="2"/>
    <x v="2"/>
    <x v="74"/>
    <x v="1"/>
    <x v="80"/>
    <x v="81"/>
    <x v="31"/>
    <x v="0"/>
    <x v="0"/>
    <x v="44"/>
    <x v="73"/>
    <x v="29"/>
    <n v="726.96624999999995"/>
    <n v="726.96624999999995"/>
    <n v="726.96624999999995"/>
    <n v="0"/>
    <s v="NULL"/>
    <s v="Winterstorm NY MA TX PA SC"/>
    <n v="3949.1976460300002"/>
    <m/>
    <x v="1"/>
  </r>
  <r>
    <x v="67"/>
    <x v="2"/>
    <x v="3"/>
    <x v="57"/>
    <x v="1"/>
    <x v="59"/>
    <x v="62"/>
    <x v="44"/>
    <x v="0"/>
    <x v="0"/>
    <x v="33"/>
    <x v="54"/>
    <x v="15"/>
    <n v="1758.799"/>
    <n v="1758.799"/>
    <n v="1758.799"/>
    <n v="0"/>
    <s v="NULL"/>
    <s v="Winterstorm NY MA TX PA SC"/>
    <n v="3949.1976460300002"/>
    <m/>
    <x v="2"/>
  </r>
  <r>
    <x v="186"/>
    <x v="2"/>
    <x v="0"/>
    <x v="141"/>
    <x v="0"/>
    <x v="165"/>
    <x v="148"/>
    <x v="101"/>
    <x v="0"/>
    <x v="0"/>
    <x v="3"/>
    <x v="153"/>
    <x v="11"/>
    <n v="37.206800000000001"/>
    <n v="37.206800000000001"/>
    <n v="37.206800000000001"/>
    <n v="0"/>
    <s v="NULL"/>
    <s v="Winterstorm NY MA TX PA SC"/>
    <n v="3949.1976460300002"/>
    <m/>
    <x v="0"/>
  </r>
  <r>
    <x v="20"/>
    <x v="2"/>
    <x v="2"/>
    <x v="18"/>
    <x v="1"/>
    <x v="18"/>
    <x v="17"/>
    <x v="15"/>
    <x v="0"/>
    <x v="0"/>
    <x v="8"/>
    <x v="15"/>
    <x v="9"/>
    <n v="132.00210000000001"/>
    <n v="132.00210000000001"/>
    <n v="132.00210000000001"/>
    <n v="0"/>
    <s v="NULL"/>
    <s v="Winterstorm NY MA TX PA SC"/>
    <n v="3949.1976460300002"/>
    <m/>
    <x v="1"/>
  </r>
  <r>
    <x v="187"/>
    <x v="2"/>
    <x v="0"/>
    <x v="142"/>
    <x v="3"/>
    <x v="166"/>
    <x v="149"/>
    <x v="26"/>
    <x v="0"/>
    <x v="0"/>
    <x v="88"/>
    <x v="154"/>
    <x v="2"/>
    <n v="870.26160000000004"/>
    <n v="870.26160000000004"/>
    <n v="870.26160000000004"/>
    <n v="0"/>
    <s v="NULL"/>
    <s v="Winterstorm NY MA TX PA SC"/>
    <n v="3949.1976460300002"/>
    <m/>
    <x v="0"/>
  </r>
  <r>
    <x v="188"/>
    <x v="2"/>
    <x v="8"/>
    <x v="25"/>
    <x v="0"/>
    <x v="167"/>
    <x v="150"/>
    <x v="102"/>
    <x v="0"/>
    <x v="0"/>
    <x v="3"/>
    <x v="155"/>
    <x v="9"/>
    <n v="72.480175430000003"/>
    <n v="72.480175430000003"/>
    <n v="72.480175430000003"/>
    <n v="0"/>
    <s v="NULL"/>
    <s v="Winterstorm NY MA TX PA SC"/>
    <n v="3949.1976460300002"/>
    <m/>
    <x v="6"/>
  </r>
  <r>
    <x v="189"/>
    <x v="2"/>
    <x v="0"/>
    <x v="143"/>
    <x v="0"/>
    <x v="168"/>
    <x v="151"/>
    <x v="103"/>
    <x v="0"/>
    <x v="0"/>
    <x v="89"/>
    <x v="93"/>
    <x v="5"/>
    <n v="60.985999999999997"/>
    <n v="60.985999999999997"/>
    <n v="60.985999999999997"/>
    <n v="0"/>
    <s v="NULL"/>
    <s v="Winterstorm NY MA TX PA SC"/>
    <n v="3949.1976460300002"/>
    <m/>
    <x v="0"/>
  </r>
  <r>
    <x v="190"/>
    <x v="2"/>
    <x v="0"/>
    <x v="144"/>
    <x v="0"/>
    <x v="169"/>
    <x v="152"/>
    <x v="104"/>
    <x v="0"/>
    <x v="0"/>
    <x v="3"/>
    <x v="156"/>
    <x v="23"/>
    <n v="36.535499999999999"/>
    <n v="36.535499999999999"/>
    <n v="36.535499999999999"/>
    <n v="0"/>
    <s v="NULL"/>
    <s v="Winterstorm NY MA TX PA SC"/>
    <n v="3949.1976460300002"/>
    <m/>
    <x v="0"/>
  </r>
  <r>
    <x v="38"/>
    <x v="1"/>
    <x v="2"/>
    <x v="33"/>
    <x v="0"/>
    <x v="33"/>
    <x v="34"/>
    <x v="26"/>
    <x v="0"/>
    <x v="0"/>
    <x v="17"/>
    <x v="29"/>
    <x v="17"/>
    <n v="49.055500000000002"/>
    <n v="49.055500000000002"/>
    <n v="49.055500000000002"/>
    <n v="0"/>
    <s v="NULL"/>
    <s v="Winterstorm NY TX MA CT PA"/>
    <n v="3280.0940773799998"/>
    <m/>
    <x v="1"/>
  </r>
  <r>
    <x v="23"/>
    <x v="0"/>
    <x v="0"/>
    <x v="21"/>
    <x v="1"/>
    <x v="21"/>
    <x v="20"/>
    <x v="17"/>
    <x v="0"/>
    <x v="0"/>
    <x v="3"/>
    <x v="18"/>
    <x v="10"/>
    <n v="1078274.1435"/>
    <n v="1078274.1435"/>
    <n v="1078274.1435"/>
    <n v="0"/>
    <s v="NULL"/>
    <s v="Winterstorm NY TX MA NJ PA"/>
    <n v="4781.60363426"/>
    <m/>
    <x v="0"/>
  </r>
  <r>
    <x v="191"/>
    <x v="1"/>
    <x v="4"/>
    <x v="12"/>
    <x v="0"/>
    <x v="12"/>
    <x v="153"/>
    <x v="3"/>
    <x v="0"/>
    <x v="0"/>
    <x v="4"/>
    <x v="5"/>
    <x v="3"/>
    <n v="119.56910000000001"/>
    <n v="119.56910000000001"/>
    <n v="119.56910000000001"/>
    <n v="0"/>
    <s v="NULL"/>
    <s v="Winterstorm NY TX MA CT PA"/>
    <n v="3280.0940773799998"/>
    <m/>
    <x v="1"/>
  </r>
  <r>
    <x v="192"/>
    <x v="0"/>
    <x v="0"/>
    <x v="145"/>
    <x v="1"/>
    <x v="170"/>
    <x v="154"/>
    <x v="1"/>
    <x v="0"/>
    <x v="0"/>
    <x v="1"/>
    <x v="157"/>
    <x v="20"/>
    <n v="70221.914000000004"/>
    <n v="70221.914000000004"/>
    <n v="70221.914000000004"/>
    <n v="0"/>
    <s v="NULL"/>
    <s v="Winterstorm NY TX MA NJ PA"/>
    <n v="4781.60363426"/>
    <m/>
    <x v="0"/>
  </r>
  <r>
    <x v="193"/>
    <x v="0"/>
    <x v="0"/>
    <x v="146"/>
    <x v="0"/>
    <x v="171"/>
    <x v="41"/>
    <x v="32"/>
    <x v="0"/>
    <x v="0"/>
    <x v="3"/>
    <x v="57"/>
    <x v="42"/>
    <n v="33.3705"/>
    <n v="33.3705"/>
    <n v="33.3705"/>
    <n v="0"/>
    <s v="NULL"/>
    <s v="Winterstorm NY TX MA NJ PA"/>
    <n v="4781.60363426"/>
    <m/>
    <x v="0"/>
  </r>
  <r>
    <x v="194"/>
    <x v="1"/>
    <x v="3"/>
    <x v="147"/>
    <x v="1"/>
    <x v="172"/>
    <x v="155"/>
    <x v="105"/>
    <x v="0"/>
    <x v="0"/>
    <x v="90"/>
    <x v="158"/>
    <x v="43"/>
    <n v="10495.15240653"/>
    <n v="10495.15240653"/>
    <n v="10495.15240653"/>
    <n v="0"/>
    <s v="NULL"/>
    <s v="Winterstorm NY TX MA CT PA"/>
    <n v="3280.0940773799998"/>
    <m/>
    <x v="2"/>
  </r>
  <r>
    <x v="195"/>
    <x v="1"/>
    <x v="12"/>
    <x v="148"/>
    <x v="1"/>
    <x v="72"/>
    <x v="156"/>
    <x v="106"/>
    <x v="0"/>
    <x v="0"/>
    <x v="5"/>
    <x v="159"/>
    <x v="3"/>
    <n v="2.52"/>
    <n v="2.52"/>
    <n v="2.52"/>
    <n v="0"/>
    <s v="NULL"/>
    <s v="Winterstorm NY TX MA CT PA"/>
    <n v="3280.0940773799998"/>
    <m/>
    <x v="4"/>
  </r>
  <r>
    <x v="123"/>
    <x v="2"/>
    <x v="13"/>
    <x v="100"/>
    <x v="1"/>
    <x v="112"/>
    <x v="105"/>
    <x v="77"/>
    <x v="0"/>
    <x v="0"/>
    <x v="1"/>
    <x v="104"/>
    <x v="37"/>
    <n v="18565.404473250001"/>
    <n v="18565.404473250001"/>
    <n v="18565.404473250001"/>
    <n v="0"/>
    <s v="NULL"/>
    <s v="Winterstorm NY MA TX PA SC"/>
    <n v="3949.1976460300002"/>
    <m/>
    <x v="8"/>
  </r>
  <r>
    <x v="196"/>
    <x v="0"/>
    <x v="0"/>
    <x v="1"/>
    <x v="0"/>
    <x v="173"/>
    <x v="157"/>
    <x v="107"/>
    <x v="0"/>
    <x v="0"/>
    <x v="91"/>
    <x v="160"/>
    <x v="1"/>
    <n v="297.27809999999999"/>
    <n v="297.27809999999999"/>
    <n v="297.27809999999999"/>
    <n v="0"/>
    <s v="NULL"/>
    <s v="Winterstorm NY TX MA NJ PA"/>
    <n v="4781.60363426"/>
    <m/>
    <x v="0"/>
  </r>
  <r>
    <x v="197"/>
    <x v="1"/>
    <x v="16"/>
    <x v="149"/>
    <x v="1"/>
    <x v="174"/>
    <x v="158"/>
    <x v="108"/>
    <x v="0"/>
    <x v="0"/>
    <x v="5"/>
    <x v="161"/>
    <x v="3"/>
    <n v="2455.92"/>
    <n v="2455.92"/>
    <n v="2455.92"/>
    <n v="0"/>
    <s v="NULL"/>
    <s v="Winterstorm NY TX MA CT PA"/>
    <n v="3280.0940773799998"/>
    <m/>
    <x v="4"/>
  </r>
  <r>
    <x v="120"/>
    <x v="0"/>
    <x v="0"/>
    <x v="97"/>
    <x v="1"/>
    <x v="109"/>
    <x v="104"/>
    <x v="76"/>
    <x v="0"/>
    <x v="0"/>
    <x v="58"/>
    <x v="101"/>
    <x v="25"/>
    <n v="4577.1018750000003"/>
    <n v="4577.1018750000003"/>
    <n v="4577.1018750000003"/>
    <n v="0"/>
    <s v="NULL"/>
    <s v="Winterstorm NY TX MA NJ PA"/>
    <n v="4781.60363426"/>
    <m/>
    <x v="0"/>
  </r>
  <r>
    <x v="22"/>
    <x v="2"/>
    <x v="4"/>
    <x v="20"/>
    <x v="1"/>
    <x v="20"/>
    <x v="19"/>
    <x v="1"/>
    <x v="0"/>
    <x v="0"/>
    <x v="1"/>
    <x v="17"/>
    <x v="5"/>
    <n v="143.196"/>
    <n v="143.196"/>
    <n v="143.196"/>
    <n v="0"/>
    <s v="NULL"/>
    <s v="Winterstorm NY MA TX PA SC"/>
    <n v="3949.1976460300002"/>
    <m/>
    <x v="1"/>
  </r>
  <r>
    <x v="198"/>
    <x v="0"/>
    <x v="0"/>
    <x v="150"/>
    <x v="0"/>
    <x v="175"/>
    <x v="87"/>
    <x v="4"/>
    <x v="0"/>
    <x v="0"/>
    <x v="92"/>
    <x v="162"/>
    <x v="23"/>
    <n v="13508.696749999999"/>
    <n v="13508.696749999999"/>
    <n v="13508.696749999999"/>
    <n v="0"/>
    <s v="NULL"/>
    <s v="Winterstorm NY TX MA NJ PA"/>
    <n v="4781.60363426"/>
    <m/>
    <x v="0"/>
  </r>
  <r>
    <x v="199"/>
    <x v="2"/>
    <x v="0"/>
    <x v="151"/>
    <x v="1"/>
    <x v="176"/>
    <x v="19"/>
    <x v="46"/>
    <x v="0"/>
    <x v="0"/>
    <x v="93"/>
    <x v="163"/>
    <x v="9"/>
    <n v="22064.229599999999"/>
    <n v="22064.229599999999"/>
    <n v="22064.229599999999"/>
    <n v="0"/>
    <s v="NULL"/>
    <s v="Winterstorm NY MA TX PA SC"/>
    <n v="3949.1976460300002"/>
    <m/>
    <x v="0"/>
  </r>
  <r>
    <x v="143"/>
    <x v="2"/>
    <x v="8"/>
    <x v="112"/>
    <x v="1"/>
    <x v="126"/>
    <x v="120"/>
    <x v="84"/>
    <x v="0"/>
    <x v="0"/>
    <x v="66"/>
    <x v="116"/>
    <x v="21"/>
    <n v="7498.6765356100004"/>
    <n v="7498.6765356100004"/>
    <n v="7498.6765356100004"/>
    <n v="0"/>
    <s v="NULL"/>
    <s v="Winterstorm NY MA TX PA SC"/>
    <n v="3949.1976460300002"/>
    <m/>
    <x v="6"/>
  </r>
  <r>
    <x v="88"/>
    <x v="0"/>
    <x v="0"/>
    <x v="73"/>
    <x v="0"/>
    <x v="79"/>
    <x v="80"/>
    <x v="8"/>
    <x v="0"/>
    <x v="0"/>
    <x v="3"/>
    <x v="72"/>
    <x v="13"/>
    <n v="4.1020000000000003"/>
    <n v="4.1020000000000003"/>
    <n v="4.1020000000000003"/>
    <n v="0"/>
    <s v="NULL"/>
    <s v="Winterstorm NY TX MA NJ PA"/>
    <n v="4781.60363426"/>
    <m/>
    <x v="0"/>
  </r>
  <r>
    <x v="21"/>
    <x v="1"/>
    <x v="0"/>
    <x v="19"/>
    <x v="0"/>
    <x v="19"/>
    <x v="18"/>
    <x v="16"/>
    <x v="0"/>
    <x v="0"/>
    <x v="9"/>
    <x v="16"/>
    <x v="5"/>
    <n v="906.57500000000005"/>
    <n v="906.57500000000005"/>
    <n v="906.57500000000005"/>
    <n v="0"/>
    <s v="NULL"/>
    <s v="Winterstorm NY TX MA CT PA"/>
    <n v="3280.0940773799998"/>
    <m/>
    <x v="0"/>
  </r>
  <r>
    <x v="60"/>
    <x v="2"/>
    <x v="0"/>
    <x v="52"/>
    <x v="0"/>
    <x v="52"/>
    <x v="55"/>
    <x v="30"/>
    <x v="0"/>
    <x v="0"/>
    <x v="28"/>
    <x v="48"/>
    <x v="2"/>
    <n v="592.92960000000005"/>
    <n v="592.92960000000005"/>
    <n v="592.92960000000005"/>
    <n v="0"/>
    <s v="NULL"/>
    <s v="Winterstorm NY MA TX PA SC"/>
    <n v="3949.1976460300002"/>
    <m/>
    <x v="0"/>
  </r>
  <r>
    <x v="200"/>
    <x v="1"/>
    <x v="7"/>
    <x v="152"/>
    <x v="1"/>
    <x v="177"/>
    <x v="159"/>
    <x v="34"/>
    <x v="0"/>
    <x v="0"/>
    <x v="63"/>
    <x v="132"/>
    <x v="44"/>
    <n v="35391.244735"/>
    <n v="35391.244735"/>
    <n v="35391.244735"/>
    <n v="0"/>
    <s v="NULL"/>
    <s v="Winterstorm NY TX MA CT PA"/>
    <n v="3280.0940773799998"/>
    <m/>
    <x v="5"/>
  </r>
  <r>
    <x v="136"/>
    <x v="2"/>
    <x v="2"/>
    <x v="27"/>
    <x v="0"/>
    <x v="27"/>
    <x v="115"/>
    <x v="3"/>
    <x v="0"/>
    <x v="0"/>
    <x v="4"/>
    <x v="5"/>
    <x v="3"/>
    <n v="98715.492524000001"/>
    <n v="98715.492524000001"/>
    <n v="98715.492524000001"/>
    <n v="0"/>
    <s v="NULL"/>
    <s v="Winterstorm NY MA TX PA SC"/>
    <n v="3949.1976460300002"/>
    <m/>
    <x v="1"/>
  </r>
  <r>
    <x v="201"/>
    <x v="2"/>
    <x v="0"/>
    <x v="19"/>
    <x v="0"/>
    <x v="178"/>
    <x v="160"/>
    <x v="109"/>
    <x v="0"/>
    <x v="0"/>
    <x v="94"/>
    <x v="164"/>
    <x v="5"/>
    <n v="5186.3879999999999"/>
    <n v="5186.3879999999999"/>
    <n v="5186.3879999999999"/>
    <n v="0"/>
    <s v="NULL"/>
    <s v="Winterstorm NY MA TX PA SC"/>
    <n v="3949.1976460300002"/>
    <m/>
    <x v="0"/>
  </r>
  <r>
    <x v="202"/>
    <x v="1"/>
    <x v="0"/>
    <x v="151"/>
    <x v="1"/>
    <x v="179"/>
    <x v="161"/>
    <x v="110"/>
    <x v="0"/>
    <x v="0"/>
    <x v="95"/>
    <x v="165"/>
    <x v="45"/>
    <n v="72453.662624999997"/>
    <n v="72453.662624999997"/>
    <n v="72453.662624999997"/>
    <n v="0"/>
    <s v="NULL"/>
    <s v="Winterstorm NY TX MA CT PA"/>
    <n v="3280.0940773799998"/>
    <m/>
    <x v="0"/>
  </r>
  <r>
    <x v="203"/>
    <x v="0"/>
    <x v="13"/>
    <x v="153"/>
    <x v="1"/>
    <x v="180"/>
    <x v="162"/>
    <x v="111"/>
    <x v="0"/>
    <x v="0"/>
    <x v="52"/>
    <x v="166"/>
    <x v="4"/>
    <n v="8646.6600758000004"/>
    <n v="8646.6600758000004"/>
    <n v="8646.6600758000004"/>
    <n v="0"/>
    <s v="NULL"/>
    <s v="Winterstorm NY TX MA NJ PA"/>
    <n v="4781.60363426"/>
    <m/>
    <x v="8"/>
  </r>
  <r>
    <x v="204"/>
    <x v="0"/>
    <x v="6"/>
    <x v="154"/>
    <x v="1"/>
    <x v="181"/>
    <x v="163"/>
    <x v="112"/>
    <x v="0"/>
    <x v="0"/>
    <x v="5"/>
    <x v="167"/>
    <x v="3"/>
    <n v="1884.28"/>
    <n v="1884.28"/>
    <n v="1884.28"/>
    <n v="0"/>
    <s v="NULL"/>
    <s v="Winterstorm NY TX MA NJ PA"/>
    <n v="4781.60363426"/>
    <m/>
    <x v="4"/>
  </r>
  <r>
    <x v="17"/>
    <x v="2"/>
    <x v="0"/>
    <x v="15"/>
    <x v="1"/>
    <x v="15"/>
    <x v="14"/>
    <x v="12"/>
    <x v="0"/>
    <x v="0"/>
    <x v="3"/>
    <x v="13"/>
    <x v="8"/>
    <n v="38316.4636904"/>
    <n v="38316.4636904"/>
    <n v="38316.4636904"/>
    <n v="0"/>
    <s v="NULL"/>
    <s v="Winterstorm NY MA TX PA SC"/>
    <n v="3949.1976460300002"/>
    <m/>
    <x v="0"/>
  </r>
  <r>
    <x v="205"/>
    <x v="1"/>
    <x v="14"/>
    <x v="155"/>
    <x v="0"/>
    <x v="182"/>
    <x v="164"/>
    <x v="113"/>
    <x v="0"/>
    <x v="0"/>
    <x v="96"/>
    <x v="5"/>
    <x v="3"/>
    <n v="0"/>
    <n v="0"/>
    <n v="-583.5"/>
    <n v="0"/>
    <s v="NULL"/>
    <s v="Winterstorm NY TX MA CT PA"/>
    <n v="3280.0940773799998"/>
    <m/>
    <x v="4"/>
  </r>
  <r>
    <x v="206"/>
    <x v="0"/>
    <x v="2"/>
    <x v="156"/>
    <x v="0"/>
    <x v="183"/>
    <x v="1"/>
    <x v="32"/>
    <x v="0"/>
    <x v="0"/>
    <x v="68"/>
    <x v="168"/>
    <x v="16"/>
    <n v="978.25575000000003"/>
    <n v="978.25575000000003"/>
    <n v="978.25575000000003"/>
    <n v="0"/>
    <s v="NULL"/>
    <s v="Winterstorm NY TX MA NJ PA"/>
    <n v="4781.60363426"/>
    <m/>
    <x v="1"/>
  </r>
  <r>
    <x v="207"/>
    <x v="2"/>
    <x v="0"/>
    <x v="6"/>
    <x v="0"/>
    <x v="184"/>
    <x v="165"/>
    <x v="29"/>
    <x v="0"/>
    <x v="0"/>
    <x v="3"/>
    <x v="169"/>
    <x v="4"/>
    <n v="148.77420000000001"/>
    <n v="148.77420000000001"/>
    <n v="148.77420000000001"/>
    <n v="0"/>
    <s v="NULL"/>
    <s v="Winterstorm NY MA TX PA SC"/>
    <n v="3949.1976460300002"/>
    <m/>
    <x v="0"/>
  </r>
  <r>
    <x v="208"/>
    <x v="0"/>
    <x v="12"/>
    <x v="157"/>
    <x v="1"/>
    <x v="185"/>
    <x v="166"/>
    <x v="114"/>
    <x v="0"/>
    <x v="0"/>
    <x v="5"/>
    <x v="170"/>
    <x v="3"/>
    <n v="2779.38"/>
    <n v="2779.38"/>
    <n v="2779.38"/>
    <n v="0"/>
    <s v="NULL"/>
    <s v="Winterstorm NY TX MA NJ PA"/>
    <n v="4781.60363426"/>
    <m/>
    <x v="4"/>
  </r>
  <r>
    <x v="209"/>
    <x v="0"/>
    <x v="0"/>
    <x v="23"/>
    <x v="0"/>
    <x v="186"/>
    <x v="47"/>
    <x v="4"/>
    <x v="0"/>
    <x v="0"/>
    <x v="3"/>
    <x v="171"/>
    <x v="11"/>
    <n v="39719.184800000003"/>
    <n v="39719.184800000003"/>
    <n v="39719.184800000003"/>
    <n v="0"/>
    <s v="NULL"/>
    <s v="Winterstorm NY TX MA NJ PA"/>
    <n v="4781.60363426"/>
    <m/>
    <x v="0"/>
  </r>
  <r>
    <x v="210"/>
    <x v="1"/>
    <x v="0"/>
    <x v="158"/>
    <x v="0"/>
    <x v="187"/>
    <x v="58"/>
    <x v="8"/>
    <x v="0"/>
    <x v="0"/>
    <x v="12"/>
    <x v="172"/>
    <x v="5"/>
    <n v="7295.3644999999997"/>
    <n v="7295.3644999999997"/>
    <n v="7295.3644999999997"/>
    <n v="0"/>
    <s v="NULL"/>
    <s v="Winterstorm NY TX MA CT PA"/>
    <n v="3280.0940773799998"/>
    <m/>
    <x v="0"/>
  </r>
  <r>
    <x v="211"/>
    <x v="2"/>
    <x v="0"/>
    <x v="35"/>
    <x v="0"/>
    <x v="188"/>
    <x v="36"/>
    <x v="8"/>
    <x v="0"/>
    <x v="0"/>
    <x v="14"/>
    <x v="173"/>
    <x v="0"/>
    <n v="73.588200000000001"/>
    <n v="73.588200000000001"/>
    <n v="73.588200000000001"/>
    <n v="0"/>
    <s v="NULL"/>
    <s v="Winterstorm NY MA TX PA SC"/>
    <n v="3949.1976460300002"/>
    <m/>
    <x v="0"/>
  </r>
  <r>
    <x v="212"/>
    <x v="2"/>
    <x v="3"/>
    <x v="159"/>
    <x v="1"/>
    <x v="189"/>
    <x v="167"/>
    <x v="115"/>
    <x v="0"/>
    <x v="0"/>
    <x v="97"/>
    <x v="174"/>
    <x v="32"/>
    <n v="79369.989391419993"/>
    <n v="79369.989391419993"/>
    <n v="79369.989391419993"/>
    <n v="0"/>
    <s v="NULL"/>
    <s v="Winterstorm NY MA TX PA SC"/>
    <n v="3949.1976460300002"/>
    <m/>
    <x v="2"/>
  </r>
  <r>
    <x v="71"/>
    <x v="1"/>
    <x v="0"/>
    <x v="61"/>
    <x v="0"/>
    <x v="63"/>
    <x v="65"/>
    <x v="46"/>
    <x v="0"/>
    <x v="0"/>
    <x v="35"/>
    <x v="57"/>
    <x v="24"/>
    <n v="1158.8992000000001"/>
    <n v="1158.8992000000001"/>
    <n v="1158.8992000000001"/>
    <n v="0"/>
    <s v="NULL"/>
    <s v="Winterstorm NY TX MA CT PA"/>
    <n v="3280.0940773799998"/>
    <m/>
    <x v="0"/>
  </r>
  <r>
    <x v="18"/>
    <x v="2"/>
    <x v="5"/>
    <x v="16"/>
    <x v="1"/>
    <x v="16"/>
    <x v="15"/>
    <x v="13"/>
    <x v="0"/>
    <x v="0"/>
    <x v="5"/>
    <x v="5"/>
    <x v="3"/>
    <n v="0"/>
    <n v="0"/>
    <n v="-1740.32"/>
    <n v="0"/>
    <s v="NULL"/>
    <s v="Winterstorm NY MA TX PA SC"/>
    <n v="3949.1976460300002"/>
    <m/>
    <x v="3"/>
  </r>
  <r>
    <x v="209"/>
    <x v="2"/>
    <x v="0"/>
    <x v="23"/>
    <x v="0"/>
    <x v="186"/>
    <x v="47"/>
    <x v="4"/>
    <x v="0"/>
    <x v="0"/>
    <x v="3"/>
    <x v="171"/>
    <x v="11"/>
    <n v="19066.129199999999"/>
    <n v="19066.129199999999"/>
    <n v="19066.129199999999"/>
    <n v="0"/>
    <s v="NULL"/>
    <s v="Winterstorm NY MA TX PA SC"/>
    <n v="3949.1976460300002"/>
    <m/>
    <x v="0"/>
  </r>
  <r>
    <x v="0"/>
    <x v="1"/>
    <x v="0"/>
    <x v="0"/>
    <x v="0"/>
    <x v="0"/>
    <x v="0"/>
    <x v="0"/>
    <x v="0"/>
    <x v="0"/>
    <x v="0"/>
    <x v="0"/>
    <x v="0"/>
    <n v="2547.1981500000002"/>
    <n v="2547.1981500000002"/>
    <n v="2547.1981500000002"/>
    <n v="0"/>
    <s v="NULL"/>
    <s v="Winterstorm NY TX MA CT PA"/>
    <n v="3280.0940773799998"/>
    <m/>
    <x v="0"/>
  </r>
  <r>
    <x v="33"/>
    <x v="2"/>
    <x v="2"/>
    <x v="27"/>
    <x v="0"/>
    <x v="27"/>
    <x v="29"/>
    <x v="3"/>
    <x v="0"/>
    <x v="0"/>
    <x v="4"/>
    <x v="5"/>
    <x v="3"/>
    <n v="9401.4745390000007"/>
    <n v="9401.4745390000007"/>
    <n v="9401.4745390000007"/>
    <n v="0"/>
    <s v="NULL"/>
    <s v="Winterstorm NY MA TX PA SC"/>
    <n v="3949.1976460300002"/>
    <m/>
    <x v="1"/>
  </r>
  <r>
    <x v="213"/>
    <x v="1"/>
    <x v="0"/>
    <x v="108"/>
    <x v="0"/>
    <x v="190"/>
    <x v="117"/>
    <x v="32"/>
    <x v="0"/>
    <x v="0"/>
    <x v="46"/>
    <x v="77"/>
    <x v="23"/>
    <n v="34.973999999999997"/>
    <n v="34.973999999999997"/>
    <n v="34.973999999999997"/>
    <n v="0"/>
    <s v="NULL"/>
    <s v="Winterstorm NY TX MA CT PA"/>
    <n v="3280.0940773799998"/>
    <m/>
    <x v="0"/>
  </r>
  <r>
    <x v="214"/>
    <x v="1"/>
    <x v="13"/>
    <x v="160"/>
    <x v="1"/>
    <x v="191"/>
    <x v="168"/>
    <x v="46"/>
    <x v="0"/>
    <x v="0"/>
    <x v="3"/>
    <x v="175"/>
    <x v="12"/>
    <n v="55004.985999999997"/>
    <n v="55004.985999999997"/>
    <n v="55004.985999999997"/>
    <n v="0"/>
    <s v="NULL"/>
    <s v="Winterstorm NY TX MA CT PA"/>
    <n v="3280.0940773799998"/>
    <m/>
    <x v="8"/>
  </r>
  <r>
    <x v="215"/>
    <x v="2"/>
    <x v="2"/>
    <x v="60"/>
    <x v="0"/>
    <x v="192"/>
    <x v="169"/>
    <x v="9"/>
    <x v="0"/>
    <x v="0"/>
    <x v="7"/>
    <x v="176"/>
    <x v="27"/>
    <n v="335.47"/>
    <n v="335.47"/>
    <n v="335.47"/>
    <n v="0"/>
    <s v="NULL"/>
    <s v="Winterstorm NY MA TX PA SC"/>
    <n v="3949.1976460300002"/>
    <m/>
    <x v="1"/>
  </r>
  <r>
    <x v="216"/>
    <x v="0"/>
    <x v="11"/>
    <x v="59"/>
    <x v="0"/>
    <x v="61"/>
    <x v="170"/>
    <x v="3"/>
    <x v="0"/>
    <x v="0"/>
    <x v="4"/>
    <x v="5"/>
    <x v="3"/>
    <n v="775.62699999999995"/>
    <n v="775.62699999999995"/>
    <n v="775.62699999999995"/>
    <n v="0"/>
    <s v="NULL"/>
    <s v="Winterstorm NY TX MA NJ PA"/>
    <n v="4781.60363426"/>
    <m/>
    <x v="1"/>
  </r>
  <r>
    <x v="50"/>
    <x v="2"/>
    <x v="4"/>
    <x v="12"/>
    <x v="0"/>
    <x v="12"/>
    <x v="46"/>
    <x v="3"/>
    <x v="0"/>
    <x v="0"/>
    <x v="4"/>
    <x v="5"/>
    <x v="3"/>
    <n v="10186.722544"/>
    <n v="10186.722544"/>
    <n v="10186.722544"/>
    <n v="0"/>
    <s v="NULL"/>
    <s v="Winterstorm NY MA TX PA SC"/>
    <n v="3949.1976460300002"/>
    <m/>
    <x v="1"/>
  </r>
  <r>
    <x v="217"/>
    <x v="1"/>
    <x v="0"/>
    <x v="161"/>
    <x v="1"/>
    <x v="193"/>
    <x v="87"/>
    <x v="32"/>
    <x v="0"/>
    <x v="0"/>
    <x v="3"/>
    <x v="177"/>
    <x v="46"/>
    <n v="65143.026875000003"/>
    <n v="65143.026875000003"/>
    <n v="65143.026875000003"/>
    <n v="0"/>
    <s v="NULL"/>
    <s v="Winterstorm NY TX MA CT PA"/>
    <n v="3280.0940773799998"/>
    <m/>
    <x v="0"/>
  </r>
  <r>
    <x v="218"/>
    <x v="0"/>
    <x v="0"/>
    <x v="162"/>
    <x v="0"/>
    <x v="194"/>
    <x v="3"/>
    <x v="8"/>
    <x v="0"/>
    <x v="0"/>
    <x v="42"/>
    <x v="178"/>
    <x v="12"/>
    <n v="167.43299999999999"/>
    <n v="167.43299999999999"/>
    <n v="167.43299999999999"/>
    <n v="0"/>
    <s v="NULL"/>
    <s v="Winterstorm NY TX MA NJ PA"/>
    <n v="4781.60363426"/>
    <m/>
    <x v="0"/>
  </r>
  <r>
    <x v="70"/>
    <x v="0"/>
    <x v="2"/>
    <x v="60"/>
    <x v="0"/>
    <x v="62"/>
    <x v="39"/>
    <x v="8"/>
    <x v="0"/>
    <x v="0"/>
    <x v="34"/>
    <x v="56"/>
    <x v="10"/>
    <n v="1004.61"/>
    <n v="1004.61"/>
    <n v="1004.61"/>
    <n v="0"/>
    <s v="NULL"/>
    <s v="Winterstorm NY TX MA NJ PA"/>
    <n v="4781.60363426"/>
    <m/>
    <x v="1"/>
  </r>
  <r>
    <x v="219"/>
    <x v="0"/>
    <x v="0"/>
    <x v="163"/>
    <x v="0"/>
    <x v="195"/>
    <x v="8"/>
    <x v="72"/>
    <x v="0"/>
    <x v="0"/>
    <x v="98"/>
    <x v="152"/>
    <x v="10"/>
    <n v="544.74300000000005"/>
    <n v="544.74300000000005"/>
    <n v="544.74300000000005"/>
    <n v="0"/>
    <s v="NULL"/>
    <s v="Winterstorm NY TX MA NJ PA"/>
    <n v="4781.60363426"/>
    <m/>
    <x v="0"/>
  </r>
  <r>
    <x v="203"/>
    <x v="2"/>
    <x v="13"/>
    <x v="153"/>
    <x v="1"/>
    <x v="180"/>
    <x v="162"/>
    <x v="111"/>
    <x v="0"/>
    <x v="0"/>
    <x v="52"/>
    <x v="166"/>
    <x v="4"/>
    <n v="6331.0952619999998"/>
    <n v="6331.0952619999998"/>
    <n v="6331.0952619999998"/>
    <n v="0"/>
    <s v="NULL"/>
    <s v="Winterstorm NY MA TX PA SC"/>
    <n v="3949.1976460300002"/>
    <m/>
    <x v="8"/>
  </r>
  <r>
    <x v="72"/>
    <x v="1"/>
    <x v="0"/>
    <x v="56"/>
    <x v="0"/>
    <x v="64"/>
    <x v="66"/>
    <x v="47"/>
    <x v="0"/>
    <x v="0"/>
    <x v="36"/>
    <x v="58"/>
    <x v="23"/>
    <n v="9992.6657500000001"/>
    <n v="9992.6657500000001"/>
    <n v="9992.6657500000001"/>
    <n v="0"/>
    <s v="NULL"/>
    <s v="Winterstorm NY TX MA CT PA"/>
    <n v="3280.0940773799998"/>
    <m/>
    <x v="0"/>
  </r>
  <r>
    <x v="220"/>
    <x v="2"/>
    <x v="2"/>
    <x v="164"/>
    <x v="0"/>
    <x v="196"/>
    <x v="171"/>
    <x v="116"/>
    <x v="0"/>
    <x v="0"/>
    <x v="99"/>
    <x v="179"/>
    <x v="47"/>
    <n v="2569.6300700000002"/>
    <n v="2569.6300700000002"/>
    <n v="2569.6300700000002"/>
    <n v="0"/>
    <s v="NULL"/>
    <s v="Winterstorm NY MA TX PA SC"/>
    <n v="3949.1976460300002"/>
    <m/>
    <x v="1"/>
  </r>
  <r>
    <x v="216"/>
    <x v="2"/>
    <x v="11"/>
    <x v="59"/>
    <x v="0"/>
    <x v="61"/>
    <x v="170"/>
    <x v="3"/>
    <x v="0"/>
    <x v="0"/>
    <x v="4"/>
    <x v="5"/>
    <x v="3"/>
    <n v="89.835499999999996"/>
    <n v="89.835499999999996"/>
    <n v="89.835499999999996"/>
    <n v="0"/>
    <s v="NULL"/>
    <s v="Winterstorm NY MA TX PA SC"/>
    <n v="3949.1976460300002"/>
    <m/>
    <x v="1"/>
  </r>
  <r>
    <x v="114"/>
    <x v="2"/>
    <x v="0"/>
    <x v="37"/>
    <x v="0"/>
    <x v="104"/>
    <x v="99"/>
    <x v="8"/>
    <x v="0"/>
    <x v="0"/>
    <x v="12"/>
    <x v="95"/>
    <x v="37"/>
    <n v="7632.6804000000002"/>
    <n v="7632.6804000000002"/>
    <n v="7632.6804000000002"/>
    <n v="0"/>
    <s v="NULL"/>
    <s v="Winterstorm NY MA TX PA SC"/>
    <n v="3949.1976460300002"/>
    <m/>
    <x v="0"/>
  </r>
  <r>
    <x v="221"/>
    <x v="1"/>
    <x v="1"/>
    <x v="5"/>
    <x v="0"/>
    <x v="5"/>
    <x v="172"/>
    <x v="3"/>
    <x v="0"/>
    <x v="0"/>
    <x v="4"/>
    <x v="5"/>
    <x v="3"/>
    <n v="208.986806"/>
    <n v="208.986806"/>
    <n v="208.986806"/>
    <n v="0"/>
    <s v="NULL"/>
    <s v="Winterstorm NY TX MA CT PA"/>
    <n v="3280.0940773799998"/>
    <m/>
    <x v="1"/>
  </r>
  <r>
    <x v="222"/>
    <x v="1"/>
    <x v="11"/>
    <x v="59"/>
    <x v="0"/>
    <x v="61"/>
    <x v="173"/>
    <x v="3"/>
    <x v="0"/>
    <x v="0"/>
    <x v="4"/>
    <x v="5"/>
    <x v="3"/>
    <n v="847.83205099999998"/>
    <n v="847.83205099999998"/>
    <n v="847.83205099999998"/>
    <n v="0"/>
    <s v="NULL"/>
    <s v="Winterstorm NY TX MA CT PA"/>
    <n v="3280.0940773799998"/>
    <m/>
    <x v="1"/>
  </r>
  <r>
    <x v="223"/>
    <x v="1"/>
    <x v="11"/>
    <x v="59"/>
    <x v="0"/>
    <x v="61"/>
    <x v="174"/>
    <x v="3"/>
    <x v="0"/>
    <x v="0"/>
    <x v="4"/>
    <x v="5"/>
    <x v="3"/>
    <n v="479.00592899999998"/>
    <n v="479.00592899999998"/>
    <n v="479.00592899999998"/>
    <n v="0"/>
    <s v="NULL"/>
    <s v="Winterstorm NY TX MA CT PA"/>
    <n v="3280.0940773799998"/>
    <m/>
    <x v="1"/>
  </r>
  <r>
    <x v="224"/>
    <x v="1"/>
    <x v="4"/>
    <x v="12"/>
    <x v="0"/>
    <x v="12"/>
    <x v="175"/>
    <x v="3"/>
    <x v="0"/>
    <x v="0"/>
    <x v="4"/>
    <x v="5"/>
    <x v="3"/>
    <n v="589.15017799999998"/>
    <n v="589.15017799999998"/>
    <n v="589.15017799999998"/>
    <n v="0"/>
    <s v="NULL"/>
    <s v="Winterstorm NY TX MA CT PA"/>
    <n v="3280.0940773799998"/>
    <m/>
    <x v="1"/>
  </r>
  <r>
    <x v="225"/>
    <x v="1"/>
    <x v="17"/>
    <x v="165"/>
    <x v="0"/>
    <x v="197"/>
    <x v="176"/>
    <x v="3"/>
    <x v="0"/>
    <x v="0"/>
    <x v="4"/>
    <x v="5"/>
    <x v="3"/>
    <n v="31.444400000000002"/>
    <n v="31.444400000000002"/>
    <n v="31.444400000000002"/>
    <n v="0"/>
    <s v="NULL"/>
    <s v="Winterstorm NY TX MA CT PA"/>
    <n v="3280.0940773799998"/>
    <m/>
    <x v="10"/>
  </r>
  <r>
    <x v="226"/>
    <x v="1"/>
    <x v="2"/>
    <x v="27"/>
    <x v="0"/>
    <x v="27"/>
    <x v="177"/>
    <x v="3"/>
    <x v="0"/>
    <x v="0"/>
    <x v="4"/>
    <x v="5"/>
    <x v="3"/>
    <n v="100.1644"/>
    <n v="100.1644"/>
    <n v="100.1644"/>
    <n v="0"/>
    <s v="NULL"/>
    <s v="Winterstorm NY TX MA CT PA"/>
    <n v="3280.0940773799998"/>
    <m/>
    <x v="1"/>
  </r>
  <r>
    <x v="227"/>
    <x v="1"/>
    <x v="2"/>
    <x v="27"/>
    <x v="0"/>
    <x v="27"/>
    <x v="178"/>
    <x v="3"/>
    <x v="0"/>
    <x v="0"/>
    <x v="4"/>
    <x v="5"/>
    <x v="3"/>
    <n v="213795.51026000001"/>
    <n v="213795.51026000001"/>
    <n v="213795.51026000001"/>
    <n v="0"/>
    <s v="NULL"/>
    <s v="Winterstorm NY TX MA CT PA"/>
    <n v="3280.0940773799998"/>
    <m/>
    <x v="1"/>
  </r>
  <r>
    <x v="228"/>
    <x v="1"/>
    <x v="12"/>
    <x v="166"/>
    <x v="1"/>
    <x v="198"/>
    <x v="179"/>
    <x v="117"/>
    <x v="0"/>
    <x v="0"/>
    <x v="5"/>
    <x v="180"/>
    <x v="3"/>
    <n v="21613.75"/>
    <n v="21613.75"/>
    <n v="21613.75"/>
    <n v="0"/>
    <s v="NULL"/>
    <s v="Winterstorm NY TX MA CT PA"/>
    <n v="3280.0940773799998"/>
    <m/>
    <x v="4"/>
  </r>
  <r>
    <x v="229"/>
    <x v="1"/>
    <x v="0"/>
    <x v="1"/>
    <x v="0"/>
    <x v="199"/>
    <x v="180"/>
    <x v="118"/>
    <x v="0"/>
    <x v="0"/>
    <x v="100"/>
    <x v="181"/>
    <x v="1"/>
    <n v="21.818249999999999"/>
    <n v="21.818249999999999"/>
    <n v="21.818249999999999"/>
    <n v="0"/>
    <s v="NULL"/>
    <s v="Winterstorm NY TX MA CT PA"/>
    <n v="3280.0940773799998"/>
    <m/>
    <x v="0"/>
  </r>
  <r>
    <x v="161"/>
    <x v="1"/>
    <x v="0"/>
    <x v="77"/>
    <x v="0"/>
    <x v="140"/>
    <x v="133"/>
    <x v="91"/>
    <x v="0"/>
    <x v="0"/>
    <x v="73"/>
    <x v="130"/>
    <x v="10"/>
    <n v="1404.558"/>
    <n v="1404.558"/>
    <n v="1404.558"/>
    <n v="0"/>
    <s v="NULL"/>
    <s v="Winterstorm NY TX MA CT PA"/>
    <n v="3280.0940773799998"/>
    <m/>
    <x v="0"/>
  </r>
  <r>
    <x v="230"/>
    <x v="1"/>
    <x v="3"/>
    <x v="167"/>
    <x v="1"/>
    <x v="200"/>
    <x v="181"/>
    <x v="119"/>
    <x v="0"/>
    <x v="0"/>
    <x v="3"/>
    <x v="182"/>
    <x v="2"/>
    <n v="123799.8642"/>
    <n v="123799.8642"/>
    <n v="123799.8642"/>
    <n v="0"/>
    <s v="NULL"/>
    <s v="Winterstorm NY TX MA CT PA"/>
    <n v="3280.0940773799998"/>
    <m/>
    <x v="2"/>
  </r>
  <r>
    <x v="231"/>
    <x v="1"/>
    <x v="0"/>
    <x v="168"/>
    <x v="0"/>
    <x v="201"/>
    <x v="80"/>
    <x v="9"/>
    <x v="0"/>
    <x v="0"/>
    <x v="101"/>
    <x v="183"/>
    <x v="12"/>
    <n v="1336.02"/>
    <n v="1336.02"/>
    <n v="1336.02"/>
    <n v="0"/>
    <s v="NULL"/>
    <s v="Winterstorm NY TX MA CT PA"/>
    <n v="3280.0940773799998"/>
    <m/>
    <x v="0"/>
  </r>
  <r>
    <x v="232"/>
    <x v="1"/>
    <x v="0"/>
    <x v="169"/>
    <x v="0"/>
    <x v="202"/>
    <x v="123"/>
    <x v="72"/>
    <x v="0"/>
    <x v="0"/>
    <x v="102"/>
    <x v="184"/>
    <x v="16"/>
    <n v="13.116"/>
    <n v="13.116"/>
    <n v="13.116"/>
    <n v="0"/>
    <s v="NULL"/>
    <s v="Winterstorm NY TX MA CT PA"/>
    <n v="3280.0940773799998"/>
    <m/>
    <x v="0"/>
  </r>
  <r>
    <x v="164"/>
    <x v="1"/>
    <x v="0"/>
    <x v="125"/>
    <x v="0"/>
    <x v="143"/>
    <x v="135"/>
    <x v="2"/>
    <x v="0"/>
    <x v="0"/>
    <x v="31"/>
    <x v="133"/>
    <x v="0"/>
    <n v="42.137549999999997"/>
    <n v="42.137549999999997"/>
    <n v="42.137549999999997"/>
    <n v="0"/>
    <s v="NULL"/>
    <s v="Winterstorm NY TX MA CT PA"/>
    <n v="3280.0940773799998"/>
    <m/>
    <x v="0"/>
  </r>
  <r>
    <x v="166"/>
    <x v="1"/>
    <x v="0"/>
    <x v="127"/>
    <x v="0"/>
    <x v="145"/>
    <x v="65"/>
    <x v="19"/>
    <x v="0"/>
    <x v="0"/>
    <x v="3"/>
    <x v="135"/>
    <x v="12"/>
    <n v="523.91800000000001"/>
    <n v="523.91800000000001"/>
    <n v="523.91800000000001"/>
    <n v="0"/>
    <s v="NULL"/>
    <s v="Winterstorm NY TX MA CT PA"/>
    <n v="3280.0940773799998"/>
    <m/>
    <x v="0"/>
  </r>
  <r>
    <x v="168"/>
    <x v="1"/>
    <x v="0"/>
    <x v="129"/>
    <x v="1"/>
    <x v="147"/>
    <x v="22"/>
    <x v="30"/>
    <x v="0"/>
    <x v="0"/>
    <x v="21"/>
    <x v="137"/>
    <x v="13"/>
    <n v="621789.6"/>
    <n v="621789.6"/>
    <n v="621789.6"/>
    <n v="0"/>
    <s v="NULL"/>
    <s v="Winterstorm NY TX MA CT PA"/>
    <n v="3280.0940773799998"/>
    <m/>
    <x v="0"/>
  </r>
  <r>
    <x v="233"/>
    <x v="1"/>
    <x v="0"/>
    <x v="170"/>
    <x v="1"/>
    <x v="203"/>
    <x v="51"/>
    <x v="30"/>
    <x v="0"/>
    <x v="0"/>
    <x v="21"/>
    <x v="185"/>
    <x v="12"/>
    <n v="1079249.3319999999"/>
    <n v="1079249.3319999999"/>
    <n v="1079249.3319999999"/>
    <n v="0"/>
    <s v="NULL"/>
    <s v="Winterstorm NY TX MA CT PA"/>
    <n v="3280.0940773799998"/>
    <m/>
    <x v="0"/>
  </r>
  <r>
    <x v="234"/>
    <x v="1"/>
    <x v="2"/>
    <x v="88"/>
    <x v="0"/>
    <x v="204"/>
    <x v="21"/>
    <x v="32"/>
    <x v="0"/>
    <x v="0"/>
    <x v="103"/>
    <x v="186"/>
    <x v="13"/>
    <n v="856.92"/>
    <n v="856.92"/>
    <n v="856.92"/>
    <n v="0"/>
    <s v="NULL"/>
    <s v="Winterstorm NY TX MA CT PA"/>
    <n v="3280.0940773799998"/>
    <m/>
    <x v="1"/>
  </r>
  <r>
    <x v="235"/>
    <x v="1"/>
    <x v="2"/>
    <x v="171"/>
    <x v="0"/>
    <x v="205"/>
    <x v="19"/>
    <x v="49"/>
    <x v="0"/>
    <x v="0"/>
    <x v="37"/>
    <x v="187"/>
    <x v="12"/>
    <n v="1710.5150000000001"/>
    <n v="1710.5150000000001"/>
    <n v="1710.5150000000001"/>
    <n v="0"/>
    <s v="NULL"/>
    <s v="Winterstorm NY TX MA CT PA"/>
    <n v="3280.0940773799998"/>
    <m/>
    <x v="1"/>
  </r>
  <r>
    <x v="236"/>
    <x v="1"/>
    <x v="0"/>
    <x v="172"/>
    <x v="1"/>
    <x v="206"/>
    <x v="154"/>
    <x v="65"/>
    <x v="0"/>
    <x v="0"/>
    <x v="104"/>
    <x v="188"/>
    <x v="15"/>
    <n v="31311.612499999999"/>
    <n v="31311.612499999999"/>
    <n v="31311.612499999999"/>
    <n v="0"/>
    <s v="NULL"/>
    <s v="Winterstorm NY TX MA CT PA"/>
    <n v="3280.0940773799998"/>
    <m/>
    <x v="0"/>
  </r>
  <r>
    <x v="237"/>
    <x v="1"/>
    <x v="0"/>
    <x v="44"/>
    <x v="0"/>
    <x v="207"/>
    <x v="3"/>
    <x v="30"/>
    <x v="0"/>
    <x v="0"/>
    <x v="3"/>
    <x v="189"/>
    <x v="23"/>
    <n v="85.364999999999995"/>
    <n v="85.364999999999995"/>
    <n v="85.364999999999995"/>
    <n v="0"/>
    <s v="NULL"/>
    <s v="Winterstorm NY TX MA CT PA"/>
    <n v="3280.0940773799998"/>
    <m/>
    <x v="0"/>
  </r>
  <r>
    <x v="238"/>
    <x v="1"/>
    <x v="0"/>
    <x v="150"/>
    <x v="0"/>
    <x v="208"/>
    <x v="182"/>
    <x v="120"/>
    <x v="0"/>
    <x v="0"/>
    <x v="105"/>
    <x v="190"/>
    <x v="23"/>
    <n v="4880.6875"/>
    <n v="4880.6875"/>
    <n v="4880.6875"/>
    <n v="0"/>
    <s v="NULL"/>
    <s v="Winterstorm NY TX MA CT PA"/>
    <n v="3280.0940773799998"/>
    <m/>
    <x v="0"/>
  </r>
  <r>
    <x v="239"/>
    <x v="1"/>
    <x v="0"/>
    <x v="35"/>
    <x v="0"/>
    <x v="209"/>
    <x v="151"/>
    <x v="31"/>
    <x v="0"/>
    <x v="0"/>
    <x v="87"/>
    <x v="59"/>
    <x v="0"/>
    <n v="14.261799999999999"/>
    <n v="14.261799999999999"/>
    <n v="14.261799999999999"/>
    <n v="0"/>
    <s v="NULL"/>
    <s v="Winterstorm NY TX MA CT PA"/>
    <n v="3280.0940773799998"/>
    <m/>
    <x v="0"/>
  </r>
  <r>
    <x v="240"/>
    <x v="1"/>
    <x v="0"/>
    <x v="0"/>
    <x v="0"/>
    <x v="210"/>
    <x v="183"/>
    <x v="121"/>
    <x v="0"/>
    <x v="0"/>
    <x v="106"/>
    <x v="191"/>
    <x v="0"/>
    <n v="18453.472099999999"/>
    <n v="18453.472099999999"/>
    <n v="18453.472099999999"/>
    <n v="0"/>
    <s v="NULL"/>
    <s v="Winterstorm NY TX MA CT PA"/>
    <n v="3280.0940773799998"/>
    <m/>
    <x v="0"/>
  </r>
  <r>
    <x v="241"/>
    <x v="1"/>
    <x v="3"/>
    <x v="81"/>
    <x v="0"/>
    <x v="211"/>
    <x v="184"/>
    <x v="122"/>
    <x v="0"/>
    <x v="0"/>
    <x v="107"/>
    <x v="192"/>
    <x v="5"/>
    <n v="36322.682000000001"/>
    <n v="36322.682000000001"/>
    <n v="36322.682000000001"/>
    <n v="0"/>
    <s v="NULL"/>
    <s v="Winterstorm NY TX MA CT PA"/>
    <n v="3280.0940773799998"/>
    <m/>
    <x v="2"/>
  </r>
  <r>
    <x v="242"/>
    <x v="1"/>
    <x v="11"/>
    <x v="173"/>
    <x v="1"/>
    <x v="212"/>
    <x v="185"/>
    <x v="123"/>
    <x v="0"/>
    <x v="0"/>
    <x v="5"/>
    <x v="193"/>
    <x v="3"/>
    <n v="485.59"/>
    <n v="485.59"/>
    <n v="485.59"/>
    <n v="0"/>
    <s v="NULL"/>
    <s v="Winterstorm NY TX MA CT PA"/>
    <n v="3280.0940773799998"/>
    <m/>
    <x v="1"/>
  </r>
  <r>
    <x v="243"/>
    <x v="1"/>
    <x v="2"/>
    <x v="111"/>
    <x v="1"/>
    <x v="213"/>
    <x v="119"/>
    <x v="83"/>
    <x v="0"/>
    <x v="0"/>
    <x v="108"/>
    <x v="194"/>
    <x v="13"/>
    <n v="48.898000000000003"/>
    <n v="48.898000000000003"/>
    <n v="48.898000000000003"/>
    <n v="0"/>
    <s v="NULL"/>
    <s v="Winterstorm NY TX MA CT PA"/>
    <n v="3280.0940773799998"/>
    <m/>
    <x v="1"/>
  </r>
  <r>
    <x v="244"/>
    <x v="1"/>
    <x v="0"/>
    <x v="174"/>
    <x v="0"/>
    <x v="214"/>
    <x v="69"/>
    <x v="124"/>
    <x v="0"/>
    <x v="0"/>
    <x v="3"/>
    <x v="195"/>
    <x v="5"/>
    <n v="3.0870000000000002"/>
    <n v="3.0870000000000002"/>
    <n v="3.0870000000000002"/>
    <n v="0"/>
    <s v="NULL"/>
    <s v="Winterstorm NY TX MA CT PA"/>
    <n v="3280.0940773799998"/>
    <m/>
    <x v="0"/>
  </r>
  <r>
    <x v="177"/>
    <x v="1"/>
    <x v="0"/>
    <x v="134"/>
    <x v="2"/>
    <x v="156"/>
    <x v="143"/>
    <x v="32"/>
    <x v="3"/>
    <x v="0"/>
    <x v="82"/>
    <x v="144"/>
    <x v="0"/>
    <n v="1050000"/>
    <n v="644794.12632175698"/>
    <n v="644794.12632175698"/>
    <n v="138630.73715917801"/>
    <s v="NULL"/>
    <s v="Winterstorm NY TX MA CT PA"/>
    <n v="3280.0940773799998"/>
    <m/>
    <x v="0"/>
  </r>
  <r>
    <x v="245"/>
    <x v="1"/>
    <x v="0"/>
    <x v="175"/>
    <x v="0"/>
    <x v="215"/>
    <x v="58"/>
    <x v="8"/>
    <x v="0"/>
    <x v="0"/>
    <x v="3"/>
    <x v="196"/>
    <x v="5"/>
    <n v="20.803000000000001"/>
    <n v="20.803000000000001"/>
    <n v="20.803000000000001"/>
    <n v="0"/>
    <s v="NULL"/>
    <s v="Winterstorm NY TX MA CT PA"/>
    <n v="3280.0940773799998"/>
    <m/>
    <x v="0"/>
  </r>
  <r>
    <x v="246"/>
    <x v="1"/>
    <x v="7"/>
    <x v="176"/>
    <x v="1"/>
    <x v="216"/>
    <x v="98"/>
    <x v="101"/>
    <x v="0"/>
    <x v="0"/>
    <x v="109"/>
    <x v="197"/>
    <x v="12"/>
    <n v="2523.6819999999998"/>
    <n v="2523.6819999999998"/>
    <n v="2523.6819999999998"/>
    <n v="0"/>
    <s v="NULL"/>
    <s v="Winterstorm NY TX MA CT PA"/>
    <n v="3280.0940773799998"/>
    <m/>
    <x v="5"/>
  </r>
  <r>
    <x v="247"/>
    <x v="1"/>
    <x v="0"/>
    <x v="6"/>
    <x v="0"/>
    <x v="217"/>
    <x v="144"/>
    <x v="8"/>
    <x v="0"/>
    <x v="0"/>
    <x v="3"/>
    <x v="198"/>
    <x v="4"/>
    <n v="160.6113"/>
    <n v="160.6113"/>
    <n v="160.6113"/>
    <n v="0"/>
    <s v="NULL"/>
    <s v="Winterstorm NY TX MA CT PA"/>
    <n v="3280.0940773799998"/>
    <m/>
    <x v="0"/>
  </r>
  <r>
    <x v="248"/>
    <x v="1"/>
    <x v="7"/>
    <x v="177"/>
    <x v="1"/>
    <x v="218"/>
    <x v="168"/>
    <x v="125"/>
    <x v="0"/>
    <x v="0"/>
    <x v="110"/>
    <x v="199"/>
    <x v="46"/>
    <n v="22793.190624999999"/>
    <n v="22793.190624999999"/>
    <n v="22793.190624999999"/>
    <n v="0"/>
    <s v="NULL"/>
    <s v="Winterstorm NY TX MA CT PA"/>
    <n v="3280.0940773799998"/>
    <m/>
    <x v="5"/>
  </r>
  <r>
    <x v="249"/>
    <x v="1"/>
    <x v="0"/>
    <x v="162"/>
    <x v="0"/>
    <x v="219"/>
    <x v="186"/>
    <x v="124"/>
    <x v="0"/>
    <x v="0"/>
    <x v="94"/>
    <x v="59"/>
    <x v="12"/>
    <n v="58.533999999999999"/>
    <n v="58.533999999999999"/>
    <n v="58.533999999999999"/>
    <n v="0"/>
    <s v="NULL"/>
    <s v="Winterstorm NY TX MA CT PA"/>
    <n v="3280.0940773799998"/>
    <m/>
    <x v="0"/>
  </r>
  <r>
    <x v="250"/>
    <x v="1"/>
    <x v="0"/>
    <x v="178"/>
    <x v="1"/>
    <x v="220"/>
    <x v="187"/>
    <x v="126"/>
    <x v="0"/>
    <x v="0"/>
    <x v="111"/>
    <x v="200"/>
    <x v="5"/>
    <n v="332634.04749999999"/>
    <n v="332634.04749999999"/>
    <n v="332634.04749999999"/>
    <n v="0"/>
    <s v="NULL"/>
    <s v="Winterstorm NY TX MA CT PA"/>
    <n v="3280.0940773799998"/>
    <m/>
    <x v="0"/>
  </r>
  <r>
    <x v="251"/>
    <x v="1"/>
    <x v="0"/>
    <x v="179"/>
    <x v="0"/>
    <x v="221"/>
    <x v="58"/>
    <x v="31"/>
    <x v="0"/>
    <x v="0"/>
    <x v="87"/>
    <x v="201"/>
    <x v="12"/>
    <n v="4.4690000000000003"/>
    <n v="4.4690000000000003"/>
    <n v="4.4690000000000003"/>
    <n v="0"/>
    <s v="NULL"/>
    <s v="Winterstorm NY TX MA CT PA"/>
    <n v="3280.0940773799998"/>
    <m/>
    <x v="0"/>
  </r>
  <r>
    <x v="252"/>
    <x v="1"/>
    <x v="0"/>
    <x v="23"/>
    <x v="0"/>
    <x v="222"/>
    <x v="70"/>
    <x v="2"/>
    <x v="0"/>
    <x v="0"/>
    <x v="3"/>
    <x v="202"/>
    <x v="16"/>
    <n v="4597.2667499999998"/>
    <n v="4597.2667499999998"/>
    <n v="4597.2667499999998"/>
    <n v="0"/>
    <s v="NULL"/>
    <s v="Winterstorm NY TX MA CT PA"/>
    <n v="3280.0940773799998"/>
    <m/>
    <x v="0"/>
  </r>
  <r>
    <x v="253"/>
    <x v="1"/>
    <x v="7"/>
    <x v="180"/>
    <x v="1"/>
    <x v="223"/>
    <x v="188"/>
    <x v="127"/>
    <x v="0"/>
    <x v="0"/>
    <x v="112"/>
    <x v="203"/>
    <x v="4"/>
    <n v="37.220399999999998"/>
    <n v="37.220399999999998"/>
    <n v="37.220399999999998"/>
    <n v="0"/>
    <s v="NULL"/>
    <s v="Winterstorm NY TX MA CT PA"/>
    <n v="3280.0940773799998"/>
    <m/>
    <x v="5"/>
  </r>
  <r>
    <x v="254"/>
    <x v="1"/>
    <x v="0"/>
    <x v="181"/>
    <x v="0"/>
    <x v="224"/>
    <x v="47"/>
    <x v="32"/>
    <x v="0"/>
    <x v="0"/>
    <x v="3"/>
    <x v="204"/>
    <x v="12"/>
    <n v="57.393000000000001"/>
    <n v="57.393000000000001"/>
    <n v="57.393000000000001"/>
    <n v="0"/>
    <s v="NULL"/>
    <s v="Winterstorm NY TX MA CT PA"/>
    <n v="3280.0940773799998"/>
    <m/>
    <x v="0"/>
  </r>
  <r>
    <x v="255"/>
    <x v="0"/>
    <x v="0"/>
    <x v="182"/>
    <x v="2"/>
    <x v="225"/>
    <x v="2"/>
    <x v="95"/>
    <x v="2"/>
    <x v="0"/>
    <x v="76"/>
    <x v="205"/>
    <x v="10"/>
    <n v="178877.74050000001"/>
    <n v="109846.968003912"/>
    <n v="109846.968003912"/>
    <n v="19058.444633630399"/>
    <s v="NULL"/>
    <s v="Winterstorm NY TX MA NJ PA"/>
    <n v="4781.60363426"/>
    <m/>
    <x v="0"/>
  </r>
  <r>
    <x v="256"/>
    <x v="0"/>
    <x v="0"/>
    <x v="183"/>
    <x v="0"/>
    <x v="226"/>
    <x v="189"/>
    <x v="124"/>
    <x v="0"/>
    <x v="0"/>
    <x v="3"/>
    <x v="206"/>
    <x v="48"/>
    <n v="92.108625000000004"/>
    <n v="92.108625000000004"/>
    <n v="92.108625000000004"/>
    <n v="0"/>
    <s v="NULL"/>
    <s v="Winterstorm NY TX MA NJ PA"/>
    <n v="4781.60363426"/>
    <m/>
    <x v="0"/>
  </r>
  <r>
    <x v="257"/>
    <x v="0"/>
    <x v="3"/>
    <x v="184"/>
    <x v="1"/>
    <x v="227"/>
    <x v="190"/>
    <x v="128"/>
    <x v="0"/>
    <x v="0"/>
    <x v="3"/>
    <x v="207"/>
    <x v="0"/>
    <n v="482533.43914999999"/>
    <n v="482533.43914999999"/>
    <n v="482533.43914999999"/>
    <n v="0"/>
    <s v="NULL"/>
    <s v="Winterstorm NY TX MA NJ PA"/>
    <n v="4781.60363426"/>
    <m/>
    <x v="2"/>
  </r>
  <r>
    <x v="258"/>
    <x v="0"/>
    <x v="2"/>
    <x v="140"/>
    <x v="0"/>
    <x v="228"/>
    <x v="58"/>
    <x v="31"/>
    <x v="0"/>
    <x v="0"/>
    <x v="113"/>
    <x v="208"/>
    <x v="12"/>
    <n v="2.677"/>
    <n v="2.677"/>
    <n v="2.677"/>
    <n v="0.20012460000000001"/>
    <s v="NULL"/>
    <s v="Winterstorm NY TX MA NJ PA"/>
    <n v="4781.60363426"/>
    <m/>
    <x v="1"/>
  </r>
  <r>
    <x v="259"/>
    <x v="0"/>
    <x v="0"/>
    <x v="185"/>
    <x v="2"/>
    <x v="229"/>
    <x v="143"/>
    <x v="32"/>
    <x v="4"/>
    <x v="0"/>
    <x v="114"/>
    <x v="209"/>
    <x v="0"/>
    <n v="233529.02439999999"/>
    <n v="143407.75548454301"/>
    <n v="143407.75548454301"/>
    <n v="34417.769291272598"/>
    <s v="NULL"/>
    <s v="Winterstorm NY TX MA NJ PA"/>
    <n v="4781.60363426"/>
    <m/>
    <x v="0"/>
  </r>
  <r>
    <x v="260"/>
    <x v="0"/>
    <x v="0"/>
    <x v="186"/>
    <x v="1"/>
    <x v="230"/>
    <x v="191"/>
    <x v="129"/>
    <x v="0"/>
    <x v="0"/>
    <x v="3"/>
    <x v="44"/>
    <x v="49"/>
    <n v="186104.66252000001"/>
    <n v="186104.66252000001"/>
    <n v="186104.66252000001"/>
    <n v="0"/>
    <s v="NULL"/>
    <s v="Winterstorm NY TX MA NJ PA"/>
    <n v="4781.60363426"/>
    <m/>
    <x v="0"/>
  </r>
  <r>
    <x v="261"/>
    <x v="0"/>
    <x v="2"/>
    <x v="140"/>
    <x v="0"/>
    <x v="231"/>
    <x v="144"/>
    <x v="93"/>
    <x v="0"/>
    <x v="0"/>
    <x v="74"/>
    <x v="210"/>
    <x v="12"/>
    <n v="1646.8440000000001"/>
    <n v="1646.8440000000001"/>
    <n v="1646.8440000000001"/>
    <n v="905.68499998000004"/>
    <s v="NULL"/>
    <s v="Winterstorm NY TX MA NJ PA"/>
    <n v="4781.60363426"/>
    <m/>
    <x v="1"/>
  </r>
  <r>
    <x v="188"/>
    <x v="0"/>
    <x v="8"/>
    <x v="25"/>
    <x v="0"/>
    <x v="167"/>
    <x v="150"/>
    <x v="102"/>
    <x v="0"/>
    <x v="0"/>
    <x v="3"/>
    <x v="155"/>
    <x v="9"/>
    <n v="54.474748439999999"/>
    <n v="54.474748439999999"/>
    <n v="54.474748439999999"/>
    <n v="0"/>
    <s v="NULL"/>
    <s v="Winterstorm NY TX MA NJ PA"/>
    <n v="4781.60363426"/>
    <m/>
    <x v="6"/>
  </r>
  <r>
    <x v="189"/>
    <x v="0"/>
    <x v="0"/>
    <x v="143"/>
    <x v="0"/>
    <x v="168"/>
    <x v="151"/>
    <x v="103"/>
    <x v="0"/>
    <x v="0"/>
    <x v="89"/>
    <x v="93"/>
    <x v="5"/>
    <n v="226.50200000000001"/>
    <n v="226.50200000000001"/>
    <n v="226.50200000000001"/>
    <n v="0"/>
    <s v="NULL"/>
    <s v="Winterstorm NY TX MA NJ PA"/>
    <n v="4781.60363426"/>
    <m/>
    <x v="0"/>
  </r>
  <r>
    <x v="262"/>
    <x v="0"/>
    <x v="2"/>
    <x v="7"/>
    <x v="1"/>
    <x v="232"/>
    <x v="192"/>
    <x v="5"/>
    <x v="0"/>
    <x v="0"/>
    <x v="5"/>
    <x v="7"/>
    <x v="25"/>
    <n v="90168.135974999997"/>
    <n v="90168.135974999997"/>
    <n v="90168.135974999997"/>
    <n v="0"/>
    <s v="NULL"/>
    <s v="Winterstorm NY TX MA NJ PA"/>
    <n v="4781.60363426"/>
    <m/>
    <x v="1"/>
  </r>
  <r>
    <x v="190"/>
    <x v="0"/>
    <x v="0"/>
    <x v="144"/>
    <x v="0"/>
    <x v="169"/>
    <x v="152"/>
    <x v="104"/>
    <x v="0"/>
    <x v="0"/>
    <x v="3"/>
    <x v="156"/>
    <x v="23"/>
    <n v="48.122250000000001"/>
    <n v="48.122250000000001"/>
    <n v="48.122250000000001"/>
    <n v="0"/>
    <s v="NULL"/>
    <s v="Winterstorm NY TX MA NJ PA"/>
    <n v="4781.60363426"/>
    <m/>
    <x v="0"/>
  </r>
  <r>
    <x v="130"/>
    <x v="2"/>
    <x v="1"/>
    <x v="5"/>
    <x v="0"/>
    <x v="5"/>
    <x v="111"/>
    <x v="3"/>
    <x v="0"/>
    <x v="0"/>
    <x v="4"/>
    <x v="5"/>
    <x v="3"/>
    <n v="80703.934999999998"/>
    <n v="80703.934999999998"/>
    <n v="80703.934999999998"/>
    <n v="0"/>
    <s v="NULL"/>
    <s v="Winterstorm NY MA TX PA SC"/>
    <n v="3949.1976460300002"/>
    <m/>
    <x v="1"/>
  </r>
  <r>
    <x v="263"/>
    <x v="2"/>
    <x v="11"/>
    <x v="59"/>
    <x v="0"/>
    <x v="61"/>
    <x v="193"/>
    <x v="3"/>
    <x v="0"/>
    <x v="0"/>
    <x v="4"/>
    <x v="5"/>
    <x v="3"/>
    <n v="683.86763900000005"/>
    <n v="683.86763900000005"/>
    <n v="683.86763900000005"/>
    <n v="0"/>
    <s v="NULL"/>
    <s v="Winterstorm NY MA TX PA SC"/>
    <n v="3949.1976460300002"/>
    <m/>
    <x v="1"/>
  </r>
  <r>
    <x v="110"/>
    <x v="2"/>
    <x v="2"/>
    <x v="27"/>
    <x v="0"/>
    <x v="27"/>
    <x v="97"/>
    <x v="3"/>
    <x v="0"/>
    <x v="0"/>
    <x v="4"/>
    <x v="5"/>
    <x v="3"/>
    <n v="136175.42381099999"/>
    <n v="136175.42381099999"/>
    <n v="136175.42381099999"/>
    <n v="0"/>
    <s v="NULL"/>
    <s v="Winterstorm NY MA TX PA SC"/>
    <n v="3949.1976460300002"/>
    <m/>
    <x v="1"/>
  </r>
  <r>
    <x v="118"/>
    <x v="2"/>
    <x v="14"/>
    <x v="95"/>
    <x v="1"/>
    <x v="107"/>
    <x v="102"/>
    <x v="74"/>
    <x v="0"/>
    <x v="0"/>
    <x v="5"/>
    <x v="99"/>
    <x v="3"/>
    <n v="166470.53"/>
    <n v="166470.53"/>
    <n v="166470.53"/>
    <n v="0"/>
    <s v="NULL"/>
    <s v="Winterstorm NY MA TX PA SC"/>
    <n v="3949.1976460300002"/>
    <m/>
    <x v="4"/>
  </r>
  <r>
    <x v="264"/>
    <x v="2"/>
    <x v="12"/>
    <x v="187"/>
    <x v="1"/>
    <x v="233"/>
    <x v="194"/>
    <x v="130"/>
    <x v="0"/>
    <x v="0"/>
    <x v="5"/>
    <x v="211"/>
    <x v="3"/>
    <n v="171771.86"/>
    <n v="171771.86"/>
    <n v="171771.86"/>
    <n v="0"/>
    <s v="NULL"/>
    <s v="Winterstorm NY MA TX PA SC"/>
    <n v="3949.1976460300002"/>
    <m/>
    <x v="4"/>
  </r>
  <r>
    <x v="208"/>
    <x v="2"/>
    <x v="12"/>
    <x v="157"/>
    <x v="1"/>
    <x v="185"/>
    <x v="166"/>
    <x v="114"/>
    <x v="0"/>
    <x v="0"/>
    <x v="5"/>
    <x v="170"/>
    <x v="3"/>
    <n v="1691.75"/>
    <n v="1691.75"/>
    <n v="1691.75"/>
    <n v="0"/>
    <s v="NULL"/>
    <s v="Winterstorm NY MA TX PA SC"/>
    <n v="3949.1976460300002"/>
    <m/>
    <x v="4"/>
  </r>
  <r>
    <x v="204"/>
    <x v="2"/>
    <x v="6"/>
    <x v="154"/>
    <x v="1"/>
    <x v="181"/>
    <x v="163"/>
    <x v="112"/>
    <x v="0"/>
    <x v="0"/>
    <x v="5"/>
    <x v="167"/>
    <x v="3"/>
    <n v="1214.73"/>
    <n v="1214.73"/>
    <n v="1214.73"/>
    <n v="0"/>
    <s v="NULL"/>
    <s v="Winterstorm NY MA TX PA SC"/>
    <n v="3949.1976460300002"/>
    <m/>
    <x v="4"/>
  </r>
  <r>
    <x v="149"/>
    <x v="2"/>
    <x v="0"/>
    <x v="52"/>
    <x v="0"/>
    <x v="132"/>
    <x v="122"/>
    <x v="72"/>
    <x v="0"/>
    <x v="0"/>
    <x v="70"/>
    <x v="122"/>
    <x v="2"/>
    <n v="2083.6972000000001"/>
    <n v="2083.6972000000001"/>
    <n v="2083.6972000000001"/>
    <n v="0"/>
    <s v="NULL"/>
    <s v="Winterstorm NY MA TX PA SC"/>
    <n v="3949.1976460300002"/>
    <m/>
    <x v="0"/>
  </r>
  <r>
    <x v="196"/>
    <x v="2"/>
    <x v="0"/>
    <x v="1"/>
    <x v="0"/>
    <x v="173"/>
    <x v="157"/>
    <x v="107"/>
    <x v="0"/>
    <x v="0"/>
    <x v="91"/>
    <x v="160"/>
    <x v="1"/>
    <n v="294.03989999999999"/>
    <n v="294.03989999999999"/>
    <n v="294.03989999999999"/>
    <n v="0"/>
    <s v="NULL"/>
    <s v="Winterstorm NY MA TX PA SC"/>
    <n v="3949.1976460300002"/>
    <m/>
    <x v="0"/>
  </r>
  <r>
    <x v="265"/>
    <x v="2"/>
    <x v="0"/>
    <x v="188"/>
    <x v="0"/>
    <x v="234"/>
    <x v="195"/>
    <x v="131"/>
    <x v="0"/>
    <x v="0"/>
    <x v="115"/>
    <x v="173"/>
    <x v="29"/>
    <n v="16.23"/>
    <n v="16.23"/>
    <n v="16.23"/>
    <n v="0"/>
    <s v="NULL"/>
    <s v="Winterstorm NY MA TX PA SC"/>
    <n v="3949.1976460300002"/>
    <m/>
    <x v="0"/>
  </r>
  <r>
    <x v="266"/>
    <x v="2"/>
    <x v="2"/>
    <x v="189"/>
    <x v="0"/>
    <x v="235"/>
    <x v="141"/>
    <x v="56"/>
    <x v="0"/>
    <x v="0"/>
    <x v="116"/>
    <x v="212"/>
    <x v="4"/>
    <n v="512.93939999999998"/>
    <n v="512.93939999999998"/>
    <n v="512.93939999999998"/>
    <n v="0"/>
    <s v="NULL"/>
    <s v="Winterstorm NY MA TX PA SC"/>
    <n v="3949.1976460300002"/>
    <m/>
    <x v="1"/>
  </r>
  <r>
    <x v="267"/>
    <x v="2"/>
    <x v="0"/>
    <x v="77"/>
    <x v="0"/>
    <x v="236"/>
    <x v="47"/>
    <x v="9"/>
    <x v="0"/>
    <x v="0"/>
    <x v="117"/>
    <x v="64"/>
    <x v="10"/>
    <n v="1864.11"/>
    <n v="1864.11"/>
    <n v="1864.11"/>
    <n v="0"/>
    <s v="NULL"/>
    <s v="Winterstorm NY MA TX PA SC"/>
    <n v="3949.1976460300002"/>
    <m/>
    <x v="0"/>
  </r>
  <r>
    <x v="268"/>
    <x v="2"/>
    <x v="2"/>
    <x v="190"/>
    <x v="0"/>
    <x v="237"/>
    <x v="65"/>
    <x v="19"/>
    <x v="0"/>
    <x v="0"/>
    <x v="118"/>
    <x v="213"/>
    <x v="12"/>
    <n v="7993.6880000000001"/>
    <n v="7993.6880000000001"/>
    <n v="7993.6880000000001"/>
    <n v="0"/>
    <s v="NULL"/>
    <s v="Winterstorm NY MA TX PA SC"/>
    <n v="3949.1976460300002"/>
    <m/>
    <x v="1"/>
  </r>
  <r>
    <x v="269"/>
    <x v="2"/>
    <x v="0"/>
    <x v="191"/>
    <x v="0"/>
    <x v="238"/>
    <x v="117"/>
    <x v="29"/>
    <x v="0"/>
    <x v="0"/>
    <x v="20"/>
    <x v="133"/>
    <x v="5"/>
    <n v="27.277999999999999"/>
    <n v="27.277999999999999"/>
    <n v="27.277999999999999"/>
    <n v="0"/>
    <s v="NULL"/>
    <s v="Winterstorm NY MA TX PA SC"/>
    <n v="3949.1976460300002"/>
    <m/>
    <x v="0"/>
  </r>
  <r>
    <x v="270"/>
    <x v="2"/>
    <x v="0"/>
    <x v="168"/>
    <x v="0"/>
    <x v="239"/>
    <x v="80"/>
    <x v="9"/>
    <x v="0"/>
    <x v="0"/>
    <x v="59"/>
    <x v="214"/>
    <x v="12"/>
    <n v="51965.269"/>
    <n v="51965.269"/>
    <n v="51965.269"/>
    <n v="0"/>
    <s v="NULL"/>
    <s v="Winterstorm NY MA TX PA SC"/>
    <n v="3949.1976460300002"/>
    <m/>
    <x v="0"/>
  </r>
  <r>
    <x v="271"/>
    <x v="2"/>
    <x v="2"/>
    <x v="123"/>
    <x v="1"/>
    <x v="240"/>
    <x v="196"/>
    <x v="132"/>
    <x v="0"/>
    <x v="0"/>
    <x v="5"/>
    <x v="215"/>
    <x v="27"/>
    <n v="13119.325000000001"/>
    <n v="13119.325000000001"/>
    <n v="13119.325000000001"/>
    <n v="0"/>
    <s v="NULL"/>
    <s v="Winterstorm NY MA TX PA SC"/>
    <n v="3949.1976460300002"/>
    <m/>
    <x v="1"/>
  </r>
  <r>
    <x v="272"/>
    <x v="2"/>
    <x v="0"/>
    <x v="169"/>
    <x v="0"/>
    <x v="241"/>
    <x v="197"/>
    <x v="133"/>
    <x v="0"/>
    <x v="0"/>
    <x v="119"/>
    <x v="216"/>
    <x v="16"/>
    <n v="231.36975000000001"/>
    <n v="231.36975000000001"/>
    <n v="231.36975000000001"/>
    <n v="0"/>
    <s v="NULL"/>
    <s v="Winterstorm NY MA TX PA SC"/>
    <n v="3949.1976460300002"/>
    <m/>
    <x v="0"/>
  </r>
  <r>
    <x v="273"/>
    <x v="2"/>
    <x v="0"/>
    <x v="192"/>
    <x v="1"/>
    <x v="242"/>
    <x v="198"/>
    <x v="71"/>
    <x v="0"/>
    <x v="0"/>
    <x v="120"/>
    <x v="217"/>
    <x v="23"/>
    <n v="179541.0055"/>
    <n v="179541.0055"/>
    <n v="179541.0055"/>
    <n v="0"/>
    <s v="NULL"/>
    <s v="Winterstorm NY MA TX PA SC"/>
    <n v="3949.1976460300002"/>
    <m/>
    <x v="0"/>
  </r>
  <r>
    <x v="274"/>
    <x v="2"/>
    <x v="0"/>
    <x v="193"/>
    <x v="0"/>
    <x v="243"/>
    <x v="165"/>
    <x v="29"/>
    <x v="0"/>
    <x v="0"/>
    <x v="121"/>
    <x v="218"/>
    <x v="4"/>
    <n v="134.33009999999999"/>
    <n v="134.33009999999999"/>
    <n v="134.33009999999999"/>
    <n v="0"/>
    <s v="NULL"/>
    <s v="Winterstorm NY MA TX PA SC"/>
    <n v="3949.1976460300002"/>
    <m/>
    <x v="0"/>
  </r>
  <r>
    <x v="275"/>
    <x v="2"/>
    <x v="0"/>
    <x v="194"/>
    <x v="1"/>
    <x v="244"/>
    <x v="199"/>
    <x v="134"/>
    <x v="0"/>
    <x v="0"/>
    <x v="122"/>
    <x v="219"/>
    <x v="33"/>
    <n v="322035.76964999997"/>
    <n v="322035.76964999997"/>
    <n v="322035.76964999997"/>
    <n v="0"/>
    <s v="NULL"/>
    <s v="Winterstorm NY MA TX PA SC"/>
    <n v="3949.1976460300002"/>
    <m/>
    <x v="0"/>
  </r>
  <r>
    <x v="276"/>
    <x v="2"/>
    <x v="0"/>
    <x v="195"/>
    <x v="1"/>
    <x v="245"/>
    <x v="200"/>
    <x v="101"/>
    <x v="0"/>
    <x v="0"/>
    <x v="3"/>
    <x v="220"/>
    <x v="4"/>
    <n v="22723.306799999998"/>
    <n v="22723.306799999998"/>
    <n v="22723.306799999998"/>
    <n v="0"/>
    <s v="NULL"/>
    <s v="Winterstorm NY MA TX PA SC"/>
    <n v="3949.1976460300002"/>
    <m/>
    <x v="0"/>
  </r>
  <r>
    <x v="277"/>
    <x v="2"/>
    <x v="0"/>
    <x v="196"/>
    <x v="0"/>
    <x v="246"/>
    <x v="47"/>
    <x v="9"/>
    <x v="0"/>
    <x v="0"/>
    <x v="3"/>
    <x v="221"/>
    <x v="10"/>
    <n v="2005.671"/>
    <n v="2005.671"/>
    <n v="2005.671"/>
    <n v="0"/>
    <s v="NULL"/>
    <s v="Winterstorm NY MA TX PA SC"/>
    <n v="3949.1976460300002"/>
    <m/>
    <x v="0"/>
  </r>
  <r>
    <x v="278"/>
    <x v="2"/>
    <x v="0"/>
    <x v="127"/>
    <x v="0"/>
    <x v="247"/>
    <x v="169"/>
    <x v="1"/>
    <x v="0"/>
    <x v="0"/>
    <x v="3"/>
    <x v="222"/>
    <x v="12"/>
    <n v="2961.86"/>
    <n v="2961.86"/>
    <n v="2961.86"/>
    <n v="0"/>
    <s v="NULL"/>
    <s v="Winterstorm NY MA TX PA SC"/>
    <n v="3949.1976460300002"/>
    <m/>
    <x v="0"/>
  </r>
  <r>
    <x v="279"/>
    <x v="2"/>
    <x v="2"/>
    <x v="197"/>
    <x v="1"/>
    <x v="248"/>
    <x v="201"/>
    <x v="29"/>
    <x v="0"/>
    <x v="0"/>
    <x v="123"/>
    <x v="223"/>
    <x v="50"/>
    <n v="16354.9182"/>
    <n v="16354.9182"/>
    <n v="16354.9182"/>
    <n v="0"/>
    <s v="NULL"/>
    <s v="Winterstorm NY MA TX PA SC"/>
    <n v="3949.1976460300002"/>
    <m/>
    <x v="1"/>
  </r>
  <r>
    <x v="280"/>
    <x v="2"/>
    <x v="0"/>
    <x v="198"/>
    <x v="1"/>
    <x v="249"/>
    <x v="47"/>
    <x v="19"/>
    <x v="0"/>
    <x v="0"/>
    <x v="85"/>
    <x v="224"/>
    <x v="33"/>
    <n v="81176.157449999999"/>
    <n v="81176.157449999999"/>
    <n v="81176.157449999999"/>
    <n v="0"/>
    <s v="NULL"/>
    <s v="Winterstorm NY MA TX PA SC"/>
    <n v="3949.1976460300002"/>
    <m/>
    <x v="0"/>
  </r>
  <r>
    <x v="281"/>
    <x v="2"/>
    <x v="0"/>
    <x v="199"/>
    <x v="1"/>
    <x v="250"/>
    <x v="112"/>
    <x v="32"/>
    <x v="0"/>
    <x v="0"/>
    <x v="124"/>
    <x v="225"/>
    <x v="10"/>
    <n v="619859.11349999998"/>
    <n v="619859.11349999998"/>
    <n v="619859.11349999998"/>
    <n v="0"/>
    <s v="NULL"/>
    <s v="Winterstorm NY MA TX PA SC"/>
    <n v="3949.1976460300002"/>
    <m/>
    <x v="0"/>
  </r>
  <r>
    <x v="193"/>
    <x v="2"/>
    <x v="0"/>
    <x v="146"/>
    <x v="0"/>
    <x v="171"/>
    <x v="41"/>
    <x v="32"/>
    <x v="0"/>
    <x v="0"/>
    <x v="3"/>
    <x v="57"/>
    <x v="42"/>
    <n v="11.134625"/>
    <n v="11.134625"/>
    <n v="11.134625"/>
    <n v="0"/>
    <s v="NULL"/>
    <s v="Winterstorm NY MA TX PA SC"/>
    <n v="3949.1976460300002"/>
    <m/>
    <x v="0"/>
  </r>
  <r>
    <x v="119"/>
    <x v="2"/>
    <x v="0"/>
    <x v="96"/>
    <x v="1"/>
    <x v="108"/>
    <x v="103"/>
    <x v="75"/>
    <x v="0"/>
    <x v="0"/>
    <x v="3"/>
    <x v="100"/>
    <x v="36"/>
    <n v="244412.96040000001"/>
    <n v="244412.96040000001"/>
    <n v="244412.96040000001"/>
    <n v="0"/>
    <s v="NULL"/>
    <s v="Winterstorm NY MA TX PA SC"/>
    <n v="3949.1976460300002"/>
    <m/>
    <x v="0"/>
  </r>
  <r>
    <x v="128"/>
    <x v="2"/>
    <x v="0"/>
    <x v="0"/>
    <x v="0"/>
    <x v="117"/>
    <x v="109"/>
    <x v="80"/>
    <x v="0"/>
    <x v="0"/>
    <x v="61"/>
    <x v="108"/>
    <x v="0"/>
    <n v="20857.94515"/>
    <n v="20857.94515"/>
    <n v="20857.94515"/>
    <n v="0"/>
    <s v="NULL"/>
    <s v="Winterstorm NY MA TX PA SC"/>
    <n v="3949.1976460300002"/>
    <m/>
    <x v="0"/>
  </r>
  <r>
    <x v="126"/>
    <x v="2"/>
    <x v="0"/>
    <x v="56"/>
    <x v="0"/>
    <x v="115"/>
    <x v="80"/>
    <x v="63"/>
    <x v="0"/>
    <x v="0"/>
    <x v="60"/>
    <x v="106"/>
    <x v="23"/>
    <n v="14689.89975"/>
    <n v="14689.89975"/>
    <n v="14689.89975"/>
    <n v="0"/>
    <s v="NULL"/>
    <s v="Winterstorm NY MA TX PA SC"/>
    <n v="3949.1976460300002"/>
    <m/>
    <x v="0"/>
  </r>
  <r>
    <x v="146"/>
    <x v="2"/>
    <x v="0"/>
    <x v="2"/>
    <x v="0"/>
    <x v="129"/>
    <x v="117"/>
    <x v="49"/>
    <x v="0"/>
    <x v="0"/>
    <x v="37"/>
    <x v="119"/>
    <x v="4"/>
    <n v="409.03710000000001"/>
    <n v="409.03710000000001"/>
    <n v="409.03710000000001"/>
    <n v="0"/>
    <s v="NULL"/>
    <s v="Winterstorm NY MA TX PA SC"/>
    <n v="3949.1976460300002"/>
    <m/>
    <x v="0"/>
  </r>
  <r>
    <x v="93"/>
    <x v="2"/>
    <x v="0"/>
    <x v="61"/>
    <x v="0"/>
    <x v="84"/>
    <x v="73"/>
    <x v="45"/>
    <x v="0"/>
    <x v="0"/>
    <x v="47"/>
    <x v="77"/>
    <x v="32"/>
    <n v="3052.8413"/>
    <n v="3052.8413"/>
    <n v="3052.8413"/>
    <n v="0"/>
    <s v="NULL"/>
    <s v="Winterstorm NY MA TX PA SC"/>
    <n v="3949.1976460300002"/>
    <m/>
    <x v="0"/>
  </r>
  <r>
    <x v="198"/>
    <x v="2"/>
    <x v="0"/>
    <x v="150"/>
    <x v="0"/>
    <x v="175"/>
    <x v="87"/>
    <x v="4"/>
    <x v="0"/>
    <x v="0"/>
    <x v="92"/>
    <x v="162"/>
    <x v="23"/>
    <n v="6980.2102500000001"/>
    <n v="6980.2102500000001"/>
    <n v="6980.2102500000001"/>
    <n v="0"/>
    <s v="NULL"/>
    <s v="Winterstorm NY MA TX PA SC"/>
    <n v="3949.1976460300002"/>
    <m/>
    <x v="0"/>
  </r>
  <r>
    <x v="282"/>
    <x v="2"/>
    <x v="0"/>
    <x v="200"/>
    <x v="1"/>
    <x v="251"/>
    <x v="20"/>
    <x v="34"/>
    <x v="0"/>
    <x v="0"/>
    <x v="3"/>
    <x v="226"/>
    <x v="36"/>
    <n v="83534.255099999995"/>
    <n v="83534.255099999995"/>
    <n v="83534.255099999995"/>
    <n v="0"/>
    <s v="NULL"/>
    <s v="Winterstorm NY MA TX PA SC"/>
    <n v="3949.1976460300002"/>
    <m/>
    <x v="0"/>
  </r>
  <r>
    <x v="147"/>
    <x v="2"/>
    <x v="3"/>
    <x v="114"/>
    <x v="0"/>
    <x v="130"/>
    <x v="8"/>
    <x v="29"/>
    <x v="0"/>
    <x v="0"/>
    <x v="69"/>
    <x v="120"/>
    <x v="16"/>
    <n v="612.63750000000005"/>
    <n v="612.63750000000005"/>
    <n v="612.63750000000005"/>
    <n v="0"/>
    <s v="NULL"/>
    <s v="Winterstorm NY MA TX PA SC"/>
    <n v="3949.1976460300002"/>
    <m/>
    <x v="2"/>
  </r>
  <r>
    <x v="91"/>
    <x v="2"/>
    <x v="0"/>
    <x v="0"/>
    <x v="0"/>
    <x v="82"/>
    <x v="83"/>
    <x v="59"/>
    <x v="0"/>
    <x v="0"/>
    <x v="45"/>
    <x v="75"/>
    <x v="30"/>
    <n v="11318.6021"/>
    <n v="11318.6021"/>
    <n v="11318.6021"/>
    <n v="0"/>
    <s v="NULL"/>
    <s v="Winterstorm NY MA TX PA SC"/>
    <n v="3949.1976460300002"/>
    <m/>
    <x v="0"/>
  </r>
  <r>
    <x v="140"/>
    <x v="2"/>
    <x v="2"/>
    <x v="109"/>
    <x v="0"/>
    <x v="123"/>
    <x v="117"/>
    <x v="8"/>
    <x v="0"/>
    <x v="0"/>
    <x v="12"/>
    <x v="34"/>
    <x v="16"/>
    <n v="206.22524999999999"/>
    <n v="206.22524999999999"/>
    <n v="206.22524999999999"/>
    <n v="0"/>
    <s v="NULL"/>
    <s v="Winterstorm NY MA TX PA SC"/>
    <n v="3949.1976460300002"/>
    <m/>
    <x v="1"/>
  </r>
  <r>
    <x v="142"/>
    <x v="2"/>
    <x v="2"/>
    <x v="111"/>
    <x v="0"/>
    <x v="125"/>
    <x v="119"/>
    <x v="83"/>
    <x v="0"/>
    <x v="0"/>
    <x v="65"/>
    <x v="115"/>
    <x v="13"/>
    <n v="112.58799999999999"/>
    <n v="112.58799999999999"/>
    <n v="112.58799999999999"/>
    <n v="0"/>
    <s v="NULL"/>
    <s v="Winterstorm NY MA TX PA SC"/>
    <n v="3949.1976460300002"/>
    <m/>
    <x v="1"/>
  </r>
  <r>
    <x v="283"/>
    <x v="2"/>
    <x v="13"/>
    <x v="201"/>
    <x v="1"/>
    <x v="252"/>
    <x v="202"/>
    <x v="135"/>
    <x v="0"/>
    <x v="0"/>
    <x v="3"/>
    <x v="227"/>
    <x v="51"/>
    <n v="49724.281584030003"/>
    <n v="49724.281584030003"/>
    <n v="49724.281584030003"/>
    <n v="0"/>
    <s v="NULL"/>
    <s v="Winterstorm NY MA TX PA SC"/>
    <n v="3949.1976460300002"/>
    <m/>
    <x v="8"/>
  </r>
  <r>
    <x v="284"/>
    <x v="2"/>
    <x v="0"/>
    <x v="175"/>
    <x v="0"/>
    <x v="253"/>
    <x v="144"/>
    <x v="95"/>
    <x v="0"/>
    <x v="0"/>
    <x v="3"/>
    <x v="228"/>
    <x v="5"/>
    <n v="2782.8325"/>
    <n v="2782.8325"/>
    <n v="2782.8325"/>
    <n v="0"/>
    <s v="NULL"/>
    <s v="Winterstorm NY MA TX PA SC"/>
    <n v="3949.1976460300002"/>
    <m/>
    <x v="0"/>
  </r>
  <r>
    <x v="150"/>
    <x v="2"/>
    <x v="0"/>
    <x v="115"/>
    <x v="0"/>
    <x v="133"/>
    <x v="123"/>
    <x v="72"/>
    <x v="0"/>
    <x v="0"/>
    <x v="3"/>
    <x v="123"/>
    <x v="16"/>
    <n v="30.231000000000002"/>
    <n v="30.231000000000002"/>
    <n v="30.231000000000002"/>
    <n v="0"/>
    <s v="NULL"/>
    <s v="Winterstorm NY MA TX PA SC"/>
    <n v="3949.1976460300002"/>
    <m/>
    <x v="0"/>
  </r>
  <r>
    <x v="141"/>
    <x v="2"/>
    <x v="0"/>
    <x v="110"/>
    <x v="1"/>
    <x v="124"/>
    <x v="118"/>
    <x v="82"/>
    <x v="0"/>
    <x v="0"/>
    <x v="3"/>
    <x v="114"/>
    <x v="12"/>
    <n v="34989.737000000001"/>
    <n v="34989.737000000001"/>
    <n v="34989.737000000001"/>
    <n v="0"/>
    <s v="NULL"/>
    <s v="Winterstorm NY MA TX PA SC"/>
    <n v="3949.1976460300002"/>
    <m/>
    <x v="0"/>
  </r>
  <r>
    <x v="111"/>
    <x v="2"/>
    <x v="0"/>
    <x v="90"/>
    <x v="1"/>
    <x v="101"/>
    <x v="98"/>
    <x v="71"/>
    <x v="0"/>
    <x v="0"/>
    <x v="3"/>
    <x v="92"/>
    <x v="13"/>
    <n v="30870.544000000002"/>
    <n v="30870.544000000002"/>
    <n v="30870.544000000002"/>
    <n v="0"/>
    <s v="NULL"/>
    <s v="Winterstorm NY MA TX PA SC"/>
    <n v="3949.1976460300002"/>
    <m/>
    <x v="0"/>
  </r>
  <r>
    <x v="218"/>
    <x v="2"/>
    <x v="0"/>
    <x v="162"/>
    <x v="0"/>
    <x v="194"/>
    <x v="3"/>
    <x v="8"/>
    <x v="0"/>
    <x v="0"/>
    <x v="42"/>
    <x v="178"/>
    <x v="12"/>
    <n v="61.243000000000002"/>
    <n v="61.243000000000002"/>
    <n v="61.243000000000002"/>
    <n v="0"/>
    <s v="NULL"/>
    <s v="Winterstorm NY MA TX PA SC"/>
    <n v="3949.1976460300002"/>
    <m/>
    <x v="0"/>
  </r>
  <r>
    <x v="261"/>
    <x v="2"/>
    <x v="2"/>
    <x v="140"/>
    <x v="0"/>
    <x v="231"/>
    <x v="144"/>
    <x v="93"/>
    <x v="0"/>
    <x v="0"/>
    <x v="74"/>
    <x v="210"/>
    <x v="12"/>
    <n v="1139.3920000000001"/>
    <n v="1139.3920000000001"/>
    <n v="1139.3920000000001"/>
    <n v="626.50500001"/>
    <s v="NULL"/>
    <s v="Winterstorm NY MA TX PA SC"/>
    <n v="3949.1976460300002"/>
    <m/>
    <x v="1"/>
  </r>
  <r>
    <x v="94"/>
    <x v="2"/>
    <x v="7"/>
    <x v="76"/>
    <x v="1"/>
    <x v="85"/>
    <x v="85"/>
    <x v="60"/>
    <x v="0"/>
    <x v="0"/>
    <x v="3"/>
    <x v="78"/>
    <x v="33"/>
    <n v="21291.5478"/>
    <n v="21291.5478"/>
    <n v="21291.5478"/>
    <n v="0"/>
    <s v="NULL"/>
    <s v="Winterstorm NY MA TX PA SC"/>
    <n v="3949.1976460300002"/>
    <m/>
    <x v="5"/>
  </r>
  <r>
    <x v="206"/>
    <x v="2"/>
    <x v="2"/>
    <x v="156"/>
    <x v="0"/>
    <x v="183"/>
    <x v="1"/>
    <x v="32"/>
    <x v="0"/>
    <x v="0"/>
    <x v="68"/>
    <x v="168"/>
    <x v="16"/>
    <n v="489.84449999999998"/>
    <n v="489.84449999999998"/>
    <n v="489.84449999999998"/>
    <n v="0"/>
    <s v="NULL"/>
    <s v="Winterstorm NY MA TX PA SC"/>
    <n v="3949.1976460300002"/>
    <m/>
    <x v="1"/>
  </r>
  <r>
    <x v="262"/>
    <x v="2"/>
    <x v="2"/>
    <x v="7"/>
    <x v="1"/>
    <x v="232"/>
    <x v="192"/>
    <x v="5"/>
    <x v="0"/>
    <x v="0"/>
    <x v="5"/>
    <x v="7"/>
    <x v="25"/>
    <n v="71490.513825000002"/>
    <n v="71490.513825000002"/>
    <n v="71490.513825000002"/>
    <n v="0"/>
    <s v="NULL"/>
    <s v="Winterstorm NY MA TX PA SC"/>
    <n v="3949.1976460300002"/>
    <m/>
    <x v="1"/>
  </r>
  <r>
    <x v="219"/>
    <x v="2"/>
    <x v="0"/>
    <x v="163"/>
    <x v="0"/>
    <x v="195"/>
    <x v="8"/>
    <x v="72"/>
    <x v="0"/>
    <x v="0"/>
    <x v="98"/>
    <x v="152"/>
    <x v="10"/>
    <n v="5.2545000000000002"/>
    <n v="5.2545000000000002"/>
    <n v="5.2545000000000002"/>
    <n v="0"/>
    <s v="NULL"/>
    <s v="Winterstorm NY MA TX PA SC"/>
    <n v="3949.1976460300002"/>
    <m/>
    <x v="0"/>
  </r>
  <r>
    <x v="192"/>
    <x v="2"/>
    <x v="0"/>
    <x v="145"/>
    <x v="1"/>
    <x v="170"/>
    <x v="154"/>
    <x v="1"/>
    <x v="0"/>
    <x v="0"/>
    <x v="1"/>
    <x v="157"/>
    <x v="20"/>
    <n v="29380.429749999999"/>
    <n v="29380.429749999999"/>
    <n v="29380.429749999999"/>
    <n v="0"/>
    <s v="NULL"/>
    <s v="Winterstorm NY MA TX PA SC"/>
    <n v="3949.1976460300002"/>
    <m/>
    <x v="0"/>
  </r>
  <r>
    <x v="151"/>
    <x v="0"/>
    <x v="1"/>
    <x v="5"/>
    <x v="0"/>
    <x v="5"/>
    <x v="124"/>
    <x v="3"/>
    <x v="0"/>
    <x v="0"/>
    <x v="4"/>
    <x v="5"/>
    <x v="3"/>
    <n v="5027.3196859999998"/>
    <n v="5027.3196859999998"/>
    <n v="5027.3196859999998"/>
    <n v="0"/>
    <s v="NULL"/>
    <s v="Winterstorm NY TX MA NJ PA"/>
    <n v="4781.60363426"/>
    <m/>
    <x v="1"/>
  </r>
  <r>
    <x v="152"/>
    <x v="0"/>
    <x v="11"/>
    <x v="59"/>
    <x v="0"/>
    <x v="61"/>
    <x v="125"/>
    <x v="3"/>
    <x v="0"/>
    <x v="0"/>
    <x v="4"/>
    <x v="5"/>
    <x v="3"/>
    <n v="5337.9408999999996"/>
    <n v="5337.9408999999996"/>
    <n v="5337.9408999999996"/>
    <n v="0"/>
    <s v="NULL"/>
    <s v="Winterstorm NY TX MA NJ PA"/>
    <n v="4781.60363426"/>
    <m/>
    <x v="1"/>
  </r>
  <r>
    <x v="263"/>
    <x v="0"/>
    <x v="11"/>
    <x v="59"/>
    <x v="0"/>
    <x v="61"/>
    <x v="193"/>
    <x v="3"/>
    <x v="0"/>
    <x v="0"/>
    <x v="4"/>
    <x v="5"/>
    <x v="3"/>
    <n v="308.379255"/>
    <n v="308.379255"/>
    <n v="308.379255"/>
    <n v="0"/>
    <s v="NULL"/>
    <s v="Winterstorm NY TX MA NJ PA"/>
    <n v="4781.60363426"/>
    <m/>
    <x v="1"/>
  </r>
  <r>
    <x v="153"/>
    <x v="0"/>
    <x v="4"/>
    <x v="12"/>
    <x v="0"/>
    <x v="12"/>
    <x v="126"/>
    <x v="3"/>
    <x v="0"/>
    <x v="0"/>
    <x v="4"/>
    <x v="5"/>
    <x v="3"/>
    <n v="185.790539"/>
    <n v="185.790539"/>
    <n v="185.790539"/>
    <n v="0"/>
    <s v="NULL"/>
    <s v="Winterstorm NY TX MA NJ PA"/>
    <n v="4781.60363426"/>
    <m/>
    <x v="1"/>
  </r>
  <r>
    <x v="36"/>
    <x v="0"/>
    <x v="2"/>
    <x v="27"/>
    <x v="0"/>
    <x v="27"/>
    <x v="32"/>
    <x v="3"/>
    <x v="0"/>
    <x v="0"/>
    <x v="4"/>
    <x v="5"/>
    <x v="3"/>
    <n v="6340.389056"/>
    <n v="6340.389056"/>
    <n v="6340.389056"/>
    <n v="0"/>
    <s v="NULL"/>
    <s v="Winterstorm NY TX MA NJ PA"/>
    <n v="4781.60363426"/>
    <m/>
    <x v="1"/>
  </r>
  <r>
    <x v="125"/>
    <x v="0"/>
    <x v="12"/>
    <x v="102"/>
    <x v="1"/>
    <x v="114"/>
    <x v="107"/>
    <x v="78"/>
    <x v="0"/>
    <x v="0"/>
    <x v="5"/>
    <x v="105"/>
    <x v="3"/>
    <n v="1699063.55"/>
    <n v="1699063.55"/>
    <n v="1699063.55"/>
    <n v="0"/>
    <s v="NULL"/>
    <s v="Winterstorm NY TX MA NJ PA"/>
    <n v="4781.60363426"/>
    <m/>
    <x v="4"/>
  </r>
  <r>
    <x v="116"/>
    <x v="0"/>
    <x v="12"/>
    <x v="93"/>
    <x v="1"/>
    <x v="72"/>
    <x v="100"/>
    <x v="73"/>
    <x v="0"/>
    <x v="0"/>
    <x v="5"/>
    <x v="97"/>
    <x v="3"/>
    <n v="46166.69"/>
    <n v="46166.69"/>
    <n v="46166.69"/>
    <n v="0"/>
    <s v="NULL"/>
    <s v="Winterstorm NY TX MA NJ PA"/>
    <n v="4781.60363426"/>
    <m/>
    <x v="4"/>
  </r>
  <r>
    <x v="154"/>
    <x v="0"/>
    <x v="12"/>
    <x v="116"/>
    <x v="1"/>
    <x v="72"/>
    <x v="127"/>
    <x v="86"/>
    <x v="0"/>
    <x v="0"/>
    <x v="5"/>
    <x v="124"/>
    <x v="3"/>
    <n v="235.07"/>
    <n v="235.07"/>
    <n v="235.07"/>
    <n v="0"/>
    <s v="NULL"/>
    <s v="Winterstorm NY TX MA NJ PA"/>
    <n v="4781.60363426"/>
    <m/>
    <x v="4"/>
  </r>
  <r>
    <x v="264"/>
    <x v="0"/>
    <x v="12"/>
    <x v="187"/>
    <x v="1"/>
    <x v="233"/>
    <x v="194"/>
    <x v="130"/>
    <x v="0"/>
    <x v="0"/>
    <x v="5"/>
    <x v="211"/>
    <x v="3"/>
    <n v="284937.17"/>
    <n v="284937.17"/>
    <n v="284937.17"/>
    <n v="0"/>
    <s v="NULL"/>
    <s v="Winterstorm NY TX MA NJ PA"/>
    <n v="4781.60363426"/>
    <m/>
    <x v="4"/>
  </r>
  <r>
    <x v="155"/>
    <x v="0"/>
    <x v="5"/>
    <x v="117"/>
    <x v="1"/>
    <x v="134"/>
    <x v="128"/>
    <x v="87"/>
    <x v="0"/>
    <x v="0"/>
    <x v="5"/>
    <x v="5"/>
    <x v="3"/>
    <n v="0"/>
    <n v="0"/>
    <n v="-223008.31"/>
    <n v="0"/>
    <s v="NULL"/>
    <s v="Winterstorm NY TX MA NJ PA"/>
    <n v="4781.60363426"/>
    <m/>
    <x v="3"/>
  </r>
  <r>
    <x v="157"/>
    <x v="0"/>
    <x v="12"/>
    <x v="119"/>
    <x v="1"/>
    <x v="136"/>
    <x v="130"/>
    <x v="89"/>
    <x v="0"/>
    <x v="0"/>
    <x v="5"/>
    <x v="126"/>
    <x v="3"/>
    <n v="488481.91"/>
    <n v="488481.91"/>
    <n v="488481.91"/>
    <n v="0"/>
    <s v="NULL"/>
    <s v="Winterstorm NY TX MA NJ PA"/>
    <n v="4781.60363426"/>
    <m/>
    <x v="4"/>
  </r>
  <r>
    <x v="265"/>
    <x v="0"/>
    <x v="0"/>
    <x v="188"/>
    <x v="0"/>
    <x v="234"/>
    <x v="195"/>
    <x v="131"/>
    <x v="0"/>
    <x v="0"/>
    <x v="115"/>
    <x v="173"/>
    <x v="29"/>
    <n v="55.712499999999999"/>
    <n v="55.712499999999999"/>
    <n v="55.712499999999999"/>
    <n v="0"/>
    <s v="NULL"/>
    <s v="Winterstorm NY TX MA NJ PA"/>
    <n v="4781.60363426"/>
    <m/>
    <x v="0"/>
  </r>
  <r>
    <x v="158"/>
    <x v="0"/>
    <x v="0"/>
    <x v="120"/>
    <x v="1"/>
    <x v="137"/>
    <x v="131"/>
    <x v="90"/>
    <x v="0"/>
    <x v="0"/>
    <x v="71"/>
    <x v="127"/>
    <x v="12"/>
    <n v="653162.22600000002"/>
    <n v="653162.22600000002"/>
    <n v="653162.22600000002"/>
    <n v="0"/>
    <s v="NULL"/>
    <s v="Winterstorm NY TX MA NJ PA"/>
    <n v="4781.60363426"/>
    <m/>
    <x v="0"/>
  </r>
  <r>
    <x v="159"/>
    <x v="0"/>
    <x v="0"/>
    <x v="121"/>
    <x v="1"/>
    <x v="138"/>
    <x v="132"/>
    <x v="24"/>
    <x v="0"/>
    <x v="0"/>
    <x v="15"/>
    <x v="128"/>
    <x v="23"/>
    <n v="40189.2575"/>
    <n v="40189.2575"/>
    <n v="40189.2575"/>
    <n v="0"/>
    <s v="NULL"/>
    <s v="Winterstorm NY TX MA NJ PA"/>
    <n v="4781.60363426"/>
    <m/>
    <x v="0"/>
  </r>
  <r>
    <x v="107"/>
    <x v="0"/>
    <x v="0"/>
    <x v="87"/>
    <x v="0"/>
    <x v="98"/>
    <x v="95"/>
    <x v="70"/>
    <x v="0"/>
    <x v="0"/>
    <x v="54"/>
    <x v="90"/>
    <x v="36"/>
    <n v="29.593800000000002"/>
    <n v="29.593800000000002"/>
    <n v="29.593800000000002"/>
    <n v="0"/>
    <s v="NULL"/>
    <s v="Winterstorm NY TX MA NJ PA"/>
    <n v="4781.60363426"/>
    <m/>
    <x v="0"/>
  </r>
  <r>
    <x v="95"/>
    <x v="0"/>
    <x v="0"/>
    <x v="77"/>
    <x v="0"/>
    <x v="86"/>
    <x v="3"/>
    <x v="8"/>
    <x v="0"/>
    <x v="0"/>
    <x v="14"/>
    <x v="79"/>
    <x v="12"/>
    <n v="1078.8810000000001"/>
    <n v="1078.8810000000001"/>
    <n v="1078.8810000000001"/>
    <n v="0"/>
    <s v="NULL"/>
    <s v="Winterstorm NY TX MA NJ PA"/>
    <n v="4781.60363426"/>
    <m/>
    <x v="0"/>
  </r>
  <r>
    <x v="270"/>
    <x v="0"/>
    <x v="0"/>
    <x v="168"/>
    <x v="0"/>
    <x v="239"/>
    <x v="80"/>
    <x v="9"/>
    <x v="0"/>
    <x v="0"/>
    <x v="59"/>
    <x v="214"/>
    <x v="12"/>
    <n v="65125.368000000002"/>
    <n v="65125.368000000002"/>
    <n v="65125.368000000002"/>
    <n v="0"/>
    <s v="NULL"/>
    <s v="Winterstorm NY TX MA NJ PA"/>
    <n v="4781.60363426"/>
    <m/>
    <x v="0"/>
  </r>
  <r>
    <x v="272"/>
    <x v="0"/>
    <x v="0"/>
    <x v="169"/>
    <x v="0"/>
    <x v="241"/>
    <x v="197"/>
    <x v="133"/>
    <x v="0"/>
    <x v="0"/>
    <x v="119"/>
    <x v="216"/>
    <x v="16"/>
    <n v="700.15800000000002"/>
    <n v="700.15800000000002"/>
    <n v="700.15800000000002"/>
    <n v="0"/>
    <s v="NULL"/>
    <s v="Winterstorm NY TX MA NJ PA"/>
    <n v="4781.60363426"/>
    <m/>
    <x v="0"/>
  </r>
  <r>
    <x v="92"/>
    <x v="0"/>
    <x v="0"/>
    <x v="29"/>
    <x v="0"/>
    <x v="83"/>
    <x v="84"/>
    <x v="32"/>
    <x v="0"/>
    <x v="0"/>
    <x v="46"/>
    <x v="76"/>
    <x v="31"/>
    <n v="24258.846699999998"/>
    <n v="24258.846699999998"/>
    <n v="24258.846699999998"/>
    <n v="0"/>
    <s v="NULL"/>
    <s v="Winterstorm NY TX MA NJ PA"/>
    <n v="4781.60363426"/>
    <m/>
    <x v="0"/>
  </r>
  <r>
    <x v="113"/>
    <x v="0"/>
    <x v="0"/>
    <x v="92"/>
    <x v="0"/>
    <x v="103"/>
    <x v="8"/>
    <x v="72"/>
    <x v="0"/>
    <x v="0"/>
    <x v="56"/>
    <x v="94"/>
    <x v="10"/>
    <n v="16289.0445"/>
    <n v="16289.0445"/>
    <n v="16289.0445"/>
    <n v="0"/>
    <s v="NULL"/>
    <s v="Winterstorm NY TX MA NJ PA"/>
    <n v="4781.60363426"/>
    <m/>
    <x v="0"/>
  </r>
  <r>
    <x v="199"/>
    <x v="0"/>
    <x v="0"/>
    <x v="151"/>
    <x v="1"/>
    <x v="176"/>
    <x v="19"/>
    <x v="46"/>
    <x v="0"/>
    <x v="0"/>
    <x v="93"/>
    <x v="163"/>
    <x v="9"/>
    <n v="34338.101000000002"/>
    <n v="34338.101000000002"/>
    <n v="34338.101000000002"/>
    <n v="0"/>
    <s v="NULL"/>
    <s v="Winterstorm NY TX MA NJ PA"/>
    <n v="4781.60363426"/>
    <m/>
    <x v="0"/>
  </r>
  <r>
    <x v="279"/>
    <x v="0"/>
    <x v="2"/>
    <x v="197"/>
    <x v="1"/>
    <x v="248"/>
    <x v="201"/>
    <x v="29"/>
    <x v="0"/>
    <x v="0"/>
    <x v="123"/>
    <x v="223"/>
    <x v="50"/>
    <n v="19961.19745"/>
    <n v="19961.19745"/>
    <n v="19961.19745"/>
    <n v="0"/>
    <s v="NULL"/>
    <s v="Winterstorm NY TX MA NJ PA"/>
    <n v="4781.60363426"/>
    <m/>
    <x v="1"/>
  </r>
  <r>
    <x v="139"/>
    <x v="0"/>
    <x v="0"/>
    <x v="108"/>
    <x v="0"/>
    <x v="122"/>
    <x v="58"/>
    <x v="9"/>
    <x v="0"/>
    <x v="0"/>
    <x v="64"/>
    <x v="113"/>
    <x v="23"/>
    <n v="207.63374999999999"/>
    <n v="207.63374999999999"/>
    <n v="207.63374999999999"/>
    <n v="0"/>
    <s v="NULL"/>
    <s v="Winterstorm NY TX MA NJ PA"/>
    <n v="4781.60363426"/>
    <m/>
    <x v="0"/>
  </r>
  <r>
    <x v="215"/>
    <x v="0"/>
    <x v="2"/>
    <x v="60"/>
    <x v="0"/>
    <x v="192"/>
    <x v="169"/>
    <x v="9"/>
    <x v="0"/>
    <x v="0"/>
    <x v="7"/>
    <x v="176"/>
    <x v="27"/>
    <n v="402.83749999999998"/>
    <n v="402.83749999999998"/>
    <n v="402.83749999999998"/>
    <n v="0"/>
    <s v="NULL"/>
    <s v="Winterstorm NY TX MA NJ PA"/>
    <n v="4781.60363426"/>
    <m/>
    <x v="1"/>
  </r>
  <r>
    <x v="280"/>
    <x v="0"/>
    <x v="0"/>
    <x v="198"/>
    <x v="1"/>
    <x v="249"/>
    <x v="47"/>
    <x v="19"/>
    <x v="0"/>
    <x v="0"/>
    <x v="85"/>
    <x v="224"/>
    <x v="33"/>
    <n v="113174.64449999999"/>
    <n v="113174.64449999999"/>
    <n v="113174.64449999999"/>
    <n v="0"/>
    <s v="NULL"/>
    <s v="Winterstorm NY TX MA NJ PA"/>
    <n v="4781.60363426"/>
    <m/>
    <x v="0"/>
  </r>
  <r>
    <x v="281"/>
    <x v="0"/>
    <x v="0"/>
    <x v="199"/>
    <x v="1"/>
    <x v="250"/>
    <x v="112"/>
    <x v="32"/>
    <x v="0"/>
    <x v="0"/>
    <x v="124"/>
    <x v="225"/>
    <x v="10"/>
    <n v="753902.36849999998"/>
    <n v="753902.36849999998"/>
    <n v="753902.36849999998"/>
    <n v="0"/>
    <s v="NULL"/>
    <s v="Winterstorm NY TX MA NJ PA"/>
    <n v="4781.60363426"/>
    <m/>
    <x v="0"/>
  </r>
  <r>
    <x v="285"/>
    <x v="0"/>
    <x v="0"/>
    <x v="146"/>
    <x v="0"/>
    <x v="254"/>
    <x v="41"/>
    <x v="32"/>
    <x v="0"/>
    <x v="0"/>
    <x v="3"/>
    <x v="78"/>
    <x v="42"/>
    <n v="324.99900000000002"/>
    <n v="324.99900000000002"/>
    <n v="324.99900000000002"/>
    <n v="0"/>
    <s v="NULL"/>
    <s v="Winterstorm NY TX MA NJ PA"/>
    <n v="4781.60363426"/>
    <m/>
    <x v="0"/>
  </r>
  <r>
    <x v="286"/>
    <x v="0"/>
    <x v="0"/>
    <x v="11"/>
    <x v="0"/>
    <x v="255"/>
    <x v="3"/>
    <x v="9"/>
    <x v="0"/>
    <x v="0"/>
    <x v="125"/>
    <x v="229"/>
    <x v="5"/>
    <n v="1228.0899999999999"/>
    <n v="1228.0899999999999"/>
    <n v="1228.0899999999999"/>
    <n v="0"/>
    <s v="NULL"/>
    <s v="Winterstorm NY TX MA NJ PA"/>
    <n v="4781.60363426"/>
    <m/>
    <x v="0"/>
  </r>
  <r>
    <x v="282"/>
    <x v="0"/>
    <x v="0"/>
    <x v="200"/>
    <x v="1"/>
    <x v="251"/>
    <x v="20"/>
    <x v="34"/>
    <x v="0"/>
    <x v="0"/>
    <x v="3"/>
    <x v="226"/>
    <x v="36"/>
    <n v="89949.659400000004"/>
    <n v="89949.659400000004"/>
    <n v="89949.659400000004"/>
    <n v="0"/>
    <s v="NULL"/>
    <s v="Winterstorm NY TX MA NJ PA"/>
    <n v="4781.60363426"/>
    <m/>
    <x v="0"/>
  </r>
  <r>
    <x v="287"/>
    <x v="0"/>
    <x v="3"/>
    <x v="81"/>
    <x v="0"/>
    <x v="256"/>
    <x v="48"/>
    <x v="34"/>
    <x v="0"/>
    <x v="0"/>
    <x v="126"/>
    <x v="230"/>
    <x v="5"/>
    <n v="11153.263499999999"/>
    <n v="11153.263499999999"/>
    <n v="11153.263499999999"/>
    <n v="0"/>
    <s v="NULL"/>
    <s v="Winterstorm NY TX MA NJ PA"/>
    <n v="4781.60363426"/>
    <m/>
    <x v="2"/>
  </r>
  <r>
    <x v="288"/>
    <x v="0"/>
    <x v="2"/>
    <x v="202"/>
    <x v="0"/>
    <x v="257"/>
    <x v="184"/>
    <x v="136"/>
    <x v="0"/>
    <x v="0"/>
    <x v="127"/>
    <x v="231"/>
    <x v="10"/>
    <n v="38713.144500000002"/>
    <n v="38713.144500000002"/>
    <n v="38713.144500000002"/>
    <n v="0"/>
    <s v="NULL"/>
    <s v="Winterstorm NY TX MA NJ PA"/>
    <n v="4781.60363426"/>
    <m/>
    <x v="1"/>
  </r>
  <r>
    <x v="174"/>
    <x v="0"/>
    <x v="0"/>
    <x v="131"/>
    <x v="1"/>
    <x v="153"/>
    <x v="140"/>
    <x v="98"/>
    <x v="0"/>
    <x v="0"/>
    <x v="81"/>
    <x v="142"/>
    <x v="5"/>
    <n v="8448.384"/>
    <n v="8448.384"/>
    <n v="8448.384"/>
    <n v="0"/>
    <s v="NULL"/>
    <s v="Winterstorm NY TX MA NJ PA"/>
    <n v="4781.60363426"/>
    <m/>
    <x v="0"/>
  </r>
  <r>
    <x v="289"/>
    <x v="0"/>
    <x v="3"/>
    <x v="203"/>
    <x v="1"/>
    <x v="258"/>
    <x v="203"/>
    <x v="137"/>
    <x v="0"/>
    <x v="0"/>
    <x v="128"/>
    <x v="232"/>
    <x v="12"/>
    <n v="483.63"/>
    <n v="483.63"/>
    <n v="483.63"/>
    <n v="0"/>
    <s v="NULL"/>
    <s v="Winterstorm NY TX MA NJ PA"/>
    <n v="4781.60363426"/>
    <m/>
    <x v="2"/>
  </r>
  <r>
    <x v="284"/>
    <x v="0"/>
    <x v="0"/>
    <x v="175"/>
    <x v="0"/>
    <x v="253"/>
    <x v="144"/>
    <x v="95"/>
    <x v="0"/>
    <x v="0"/>
    <x v="3"/>
    <x v="228"/>
    <x v="5"/>
    <n v="4345.3405000000002"/>
    <n v="4345.3405000000002"/>
    <n v="4345.3405000000002"/>
    <n v="0"/>
    <s v="NULL"/>
    <s v="Winterstorm NY TX MA NJ PA"/>
    <n v="4781.60363426"/>
    <m/>
    <x v="0"/>
  </r>
  <r>
    <x v="290"/>
    <x v="1"/>
    <x v="1"/>
    <x v="5"/>
    <x v="0"/>
    <x v="5"/>
    <x v="204"/>
    <x v="3"/>
    <x v="0"/>
    <x v="0"/>
    <x v="4"/>
    <x v="5"/>
    <x v="3"/>
    <n v="1197.057288"/>
    <n v="1197.057288"/>
    <n v="1197.057288"/>
    <n v="0"/>
    <s v="NULL"/>
    <s v="Winterstorm NY TX MA CT PA"/>
    <n v="3280.0940773799998"/>
    <m/>
    <x v="1"/>
  </r>
  <r>
    <x v="291"/>
    <x v="1"/>
    <x v="11"/>
    <x v="59"/>
    <x v="0"/>
    <x v="61"/>
    <x v="205"/>
    <x v="3"/>
    <x v="0"/>
    <x v="0"/>
    <x v="4"/>
    <x v="5"/>
    <x v="3"/>
    <n v="560.78801599999997"/>
    <n v="560.78801599999997"/>
    <n v="560.78801599999997"/>
    <n v="0"/>
    <s v="NULL"/>
    <s v="Winterstorm NY TX MA CT PA"/>
    <n v="3280.0940773799998"/>
    <m/>
    <x v="1"/>
  </r>
  <r>
    <x v="292"/>
    <x v="1"/>
    <x v="4"/>
    <x v="12"/>
    <x v="0"/>
    <x v="12"/>
    <x v="206"/>
    <x v="3"/>
    <x v="0"/>
    <x v="0"/>
    <x v="4"/>
    <x v="5"/>
    <x v="3"/>
    <n v="1854.6303949999999"/>
    <n v="1854.6303949999999"/>
    <n v="1854.6303949999999"/>
    <n v="0"/>
    <s v="NULL"/>
    <s v="Winterstorm NY TX MA CT PA"/>
    <n v="3280.0940773799998"/>
    <m/>
    <x v="1"/>
  </r>
  <r>
    <x v="293"/>
    <x v="1"/>
    <x v="2"/>
    <x v="27"/>
    <x v="0"/>
    <x v="27"/>
    <x v="207"/>
    <x v="3"/>
    <x v="0"/>
    <x v="0"/>
    <x v="4"/>
    <x v="5"/>
    <x v="3"/>
    <n v="624.11594000000002"/>
    <n v="624.11594000000002"/>
    <n v="624.11594000000002"/>
    <n v="0"/>
    <s v="NULL"/>
    <s v="Winterstorm NY TX MA CT PA"/>
    <n v="3280.0940773799998"/>
    <m/>
    <x v="1"/>
  </r>
  <r>
    <x v="294"/>
    <x v="1"/>
    <x v="9"/>
    <x v="204"/>
    <x v="1"/>
    <x v="259"/>
    <x v="208"/>
    <x v="138"/>
    <x v="0"/>
    <x v="0"/>
    <x v="5"/>
    <x v="233"/>
    <x v="3"/>
    <n v="4621.38"/>
    <n v="4621.38"/>
    <n v="4621.38"/>
    <n v="0"/>
    <s v="NULL"/>
    <s v="Winterstorm NY TX MA CT PA"/>
    <n v="3280.0940773799998"/>
    <m/>
    <x v="4"/>
  </r>
  <r>
    <x v="295"/>
    <x v="1"/>
    <x v="12"/>
    <x v="205"/>
    <x v="1"/>
    <x v="260"/>
    <x v="209"/>
    <x v="139"/>
    <x v="0"/>
    <x v="0"/>
    <x v="5"/>
    <x v="234"/>
    <x v="3"/>
    <n v="287677.98"/>
    <n v="287677.98"/>
    <n v="287677.98"/>
    <n v="0"/>
    <s v="NULL"/>
    <s v="Winterstorm NY TX MA CT PA"/>
    <n v="3280.0940773799998"/>
    <m/>
    <x v="4"/>
  </r>
  <r>
    <x v="296"/>
    <x v="1"/>
    <x v="14"/>
    <x v="206"/>
    <x v="1"/>
    <x v="261"/>
    <x v="210"/>
    <x v="140"/>
    <x v="0"/>
    <x v="0"/>
    <x v="5"/>
    <x v="235"/>
    <x v="3"/>
    <n v="61988.47"/>
    <n v="61988.47"/>
    <n v="61988.47"/>
    <n v="0"/>
    <s v="NULL"/>
    <s v="Winterstorm NY TX MA CT PA"/>
    <n v="3280.0940773799998"/>
    <m/>
    <x v="4"/>
  </r>
  <r>
    <x v="297"/>
    <x v="1"/>
    <x v="5"/>
    <x v="207"/>
    <x v="0"/>
    <x v="262"/>
    <x v="211"/>
    <x v="141"/>
    <x v="0"/>
    <x v="0"/>
    <x v="96"/>
    <x v="5"/>
    <x v="3"/>
    <n v="0"/>
    <n v="0"/>
    <n v="-12051.34"/>
    <n v="0"/>
    <s v="NULL"/>
    <s v="Winterstorm NY TX MA CT PA"/>
    <n v="3280.0940773799998"/>
    <m/>
    <x v="3"/>
  </r>
  <r>
    <x v="298"/>
    <x v="1"/>
    <x v="2"/>
    <x v="208"/>
    <x v="1"/>
    <x v="263"/>
    <x v="112"/>
    <x v="32"/>
    <x v="0"/>
    <x v="0"/>
    <x v="5"/>
    <x v="236"/>
    <x v="10"/>
    <n v="1061.3834999999999"/>
    <n v="1061.3834999999999"/>
    <n v="1061.3834999999999"/>
    <n v="0"/>
    <s v="NULL"/>
    <s v="Winterstorm NY TX MA CT PA"/>
    <n v="3280.0940773799998"/>
    <m/>
    <x v="1"/>
  </r>
  <r>
    <x v="299"/>
    <x v="1"/>
    <x v="0"/>
    <x v="209"/>
    <x v="0"/>
    <x v="264"/>
    <x v="38"/>
    <x v="9"/>
    <x v="0"/>
    <x v="0"/>
    <x v="101"/>
    <x v="237"/>
    <x v="36"/>
    <n v="762.7509"/>
    <n v="762.7509"/>
    <n v="762.7509"/>
    <n v="0"/>
    <s v="NULL"/>
    <s v="Winterstorm NY TX MA CT PA"/>
    <n v="3280.0940773799998"/>
    <m/>
    <x v="0"/>
  </r>
  <r>
    <x v="300"/>
    <x v="1"/>
    <x v="0"/>
    <x v="122"/>
    <x v="0"/>
    <x v="265"/>
    <x v="80"/>
    <x v="9"/>
    <x v="0"/>
    <x v="0"/>
    <x v="125"/>
    <x v="238"/>
    <x v="12"/>
    <n v="961.77700000000004"/>
    <n v="961.77700000000004"/>
    <n v="961.77700000000004"/>
    <n v="0"/>
    <s v="NULL"/>
    <s v="Winterstorm NY TX MA CT PA"/>
    <n v="3280.0940773799998"/>
    <m/>
    <x v="0"/>
  </r>
  <r>
    <x v="28"/>
    <x v="1"/>
    <x v="0"/>
    <x v="26"/>
    <x v="0"/>
    <x v="26"/>
    <x v="25"/>
    <x v="8"/>
    <x v="0"/>
    <x v="0"/>
    <x v="12"/>
    <x v="23"/>
    <x v="14"/>
    <n v="41396.757675000001"/>
    <n v="41396.757675000001"/>
    <n v="41396.757675000001"/>
    <n v="0"/>
    <s v="NULL"/>
    <s v="Winterstorm NY TX MA CT PA"/>
    <n v="3280.0940773799998"/>
    <m/>
    <x v="0"/>
  </r>
  <r>
    <x v="68"/>
    <x v="1"/>
    <x v="10"/>
    <x v="58"/>
    <x v="1"/>
    <x v="60"/>
    <x v="63"/>
    <x v="45"/>
    <x v="0"/>
    <x v="0"/>
    <x v="27"/>
    <x v="55"/>
    <x v="12"/>
    <n v="2339.63"/>
    <n v="2339.63"/>
    <n v="2339.63"/>
    <n v="0"/>
    <s v="NULL"/>
    <s v="Winterstorm NY TX MA CT PA"/>
    <n v="3280.0940773799998"/>
    <m/>
    <x v="7"/>
  </r>
  <r>
    <x v="77"/>
    <x v="1"/>
    <x v="2"/>
    <x v="66"/>
    <x v="0"/>
    <x v="69"/>
    <x v="71"/>
    <x v="51"/>
    <x v="0"/>
    <x v="0"/>
    <x v="39"/>
    <x v="63"/>
    <x v="18"/>
    <n v="17446.580999999998"/>
    <n v="17446.580999999998"/>
    <n v="17446.580999999998"/>
    <n v="0"/>
    <s v="NULL"/>
    <s v="Winterstorm NY TX MA CT PA"/>
    <n v="3280.0940773799998"/>
    <m/>
    <x v="1"/>
  </r>
  <r>
    <x v="31"/>
    <x v="1"/>
    <x v="0"/>
    <x v="28"/>
    <x v="1"/>
    <x v="28"/>
    <x v="28"/>
    <x v="22"/>
    <x v="0"/>
    <x v="0"/>
    <x v="13"/>
    <x v="24"/>
    <x v="15"/>
    <n v="289406.4572"/>
    <n v="289406.4572"/>
    <n v="289406.4572"/>
    <n v="0"/>
    <s v="NULL"/>
    <s v="Winterstorm NY TX MA CT PA"/>
    <n v="3280.0940773799998"/>
    <m/>
    <x v="0"/>
  </r>
  <r>
    <x v="103"/>
    <x v="1"/>
    <x v="0"/>
    <x v="83"/>
    <x v="1"/>
    <x v="94"/>
    <x v="92"/>
    <x v="67"/>
    <x v="0"/>
    <x v="0"/>
    <x v="51"/>
    <x v="44"/>
    <x v="34"/>
    <n v="5051.7983999999997"/>
    <n v="5051.7983999999997"/>
    <n v="5051.7983999999997"/>
    <n v="0"/>
    <s v="NULL"/>
    <s v="Winterstorm NY TX MA CT PA"/>
    <n v="3280.0940773799998"/>
    <m/>
    <x v="0"/>
  </r>
  <r>
    <x v="24"/>
    <x v="1"/>
    <x v="0"/>
    <x v="22"/>
    <x v="0"/>
    <x v="22"/>
    <x v="21"/>
    <x v="18"/>
    <x v="0"/>
    <x v="0"/>
    <x v="10"/>
    <x v="19"/>
    <x v="5"/>
    <n v="9486.0840000000007"/>
    <n v="9486.0840000000007"/>
    <n v="9486.0840000000007"/>
    <n v="0"/>
    <s v="NULL"/>
    <s v="Winterstorm NY TX MA CT PA"/>
    <n v="3280.0940773799998"/>
    <m/>
    <x v="0"/>
  </r>
  <r>
    <x v="285"/>
    <x v="1"/>
    <x v="0"/>
    <x v="146"/>
    <x v="0"/>
    <x v="254"/>
    <x v="41"/>
    <x v="32"/>
    <x v="0"/>
    <x v="0"/>
    <x v="3"/>
    <x v="78"/>
    <x v="42"/>
    <n v="214.573125"/>
    <n v="214.573125"/>
    <n v="214.573125"/>
    <n v="0"/>
    <s v="NULL"/>
    <s v="Winterstorm NY TX MA CT PA"/>
    <n v="3280.0940773799998"/>
    <m/>
    <x v="0"/>
  </r>
  <r>
    <x v="301"/>
    <x v="1"/>
    <x v="0"/>
    <x v="210"/>
    <x v="2"/>
    <x v="266"/>
    <x v="19"/>
    <x v="1"/>
    <x v="0"/>
    <x v="0"/>
    <x v="129"/>
    <x v="239"/>
    <x v="5"/>
    <n v="1242642.0475000001"/>
    <n v="419363.73370190902"/>
    <n v="419363.73370190902"/>
    <n v="0"/>
    <s v="NULL"/>
    <s v="Winterstorm NY TX MA CT PA"/>
    <n v="3280.0940773799998"/>
    <m/>
    <x v="0"/>
  </r>
  <r>
    <x v="286"/>
    <x v="1"/>
    <x v="0"/>
    <x v="11"/>
    <x v="0"/>
    <x v="255"/>
    <x v="3"/>
    <x v="9"/>
    <x v="0"/>
    <x v="0"/>
    <x v="125"/>
    <x v="229"/>
    <x v="5"/>
    <n v="772.46950000000004"/>
    <n v="772.46950000000004"/>
    <n v="772.46950000000004"/>
    <n v="0"/>
    <s v="NULL"/>
    <s v="Winterstorm NY TX MA CT PA"/>
    <n v="3280.0940773799998"/>
    <m/>
    <x v="0"/>
  </r>
  <r>
    <x v="282"/>
    <x v="1"/>
    <x v="0"/>
    <x v="200"/>
    <x v="1"/>
    <x v="251"/>
    <x v="20"/>
    <x v="34"/>
    <x v="0"/>
    <x v="0"/>
    <x v="3"/>
    <x v="226"/>
    <x v="36"/>
    <n v="65616.097500000003"/>
    <n v="65616.097500000003"/>
    <n v="65616.097500000003"/>
    <n v="0"/>
    <s v="NULL"/>
    <s v="Winterstorm NY TX MA CT PA"/>
    <n v="3280.0940773799998"/>
    <m/>
    <x v="0"/>
  </r>
  <r>
    <x v="288"/>
    <x v="1"/>
    <x v="2"/>
    <x v="202"/>
    <x v="0"/>
    <x v="257"/>
    <x v="184"/>
    <x v="136"/>
    <x v="0"/>
    <x v="0"/>
    <x v="127"/>
    <x v="231"/>
    <x v="10"/>
    <n v="30430.305"/>
    <n v="30430.305"/>
    <n v="30430.305"/>
    <n v="0"/>
    <s v="NULL"/>
    <s v="Winterstorm NY TX MA CT PA"/>
    <n v="3280.0940773799998"/>
    <m/>
    <x v="1"/>
  </r>
  <r>
    <x v="35"/>
    <x v="1"/>
    <x v="0"/>
    <x v="31"/>
    <x v="1"/>
    <x v="31"/>
    <x v="31"/>
    <x v="24"/>
    <x v="0"/>
    <x v="0"/>
    <x v="15"/>
    <x v="27"/>
    <x v="16"/>
    <n v="49037.712"/>
    <n v="49037.712"/>
    <n v="49037.712"/>
    <n v="0"/>
    <s v="NULL"/>
    <s v="Winterstorm NY TX MA CT PA"/>
    <n v="3280.0940773799998"/>
    <m/>
    <x v="0"/>
  </r>
  <r>
    <x v="26"/>
    <x v="1"/>
    <x v="7"/>
    <x v="24"/>
    <x v="1"/>
    <x v="24"/>
    <x v="23"/>
    <x v="20"/>
    <x v="0"/>
    <x v="0"/>
    <x v="11"/>
    <x v="21"/>
    <x v="12"/>
    <n v="3733.1480000000001"/>
    <n v="3733.1480000000001"/>
    <n v="3733.1480000000001"/>
    <n v="0"/>
    <s v="NULL"/>
    <s v="Winterstorm NY TX MA CT PA"/>
    <n v="3280.0940773799998"/>
    <m/>
    <x v="5"/>
  </r>
  <r>
    <x v="61"/>
    <x v="1"/>
    <x v="2"/>
    <x v="53"/>
    <x v="1"/>
    <x v="53"/>
    <x v="56"/>
    <x v="39"/>
    <x v="0"/>
    <x v="0"/>
    <x v="29"/>
    <x v="49"/>
    <x v="10"/>
    <n v="26.200500000000002"/>
    <n v="26.200500000000002"/>
    <n v="26.200500000000002"/>
    <n v="0"/>
    <s v="NULL"/>
    <s v="Winterstorm NY TX MA CT PA"/>
    <n v="3280.0940773799998"/>
    <m/>
    <x v="1"/>
  </r>
  <r>
    <x v="4"/>
    <x v="1"/>
    <x v="0"/>
    <x v="4"/>
    <x v="0"/>
    <x v="4"/>
    <x v="3"/>
    <x v="1"/>
    <x v="0"/>
    <x v="0"/>
    <x v="3"/>
    <x v="4"/>
    <x v="2"/>
    <n v="3.1741999999999999"/>
    <n v="3.1741999999999999"/>
    <n v="3.1741999999999999"/>
    <n v="0"/>
    <s v="NULL"/>
    <s v="Winterstorm NY TX MA CT PA"/>
    <n v="3280.0940773799998"/>
    <m/>
    <x v="0"/>
  </r>
  <r>
    <x v="256"/>
    <x v="1"/>
    <x v="0"/>
    <x v="183"/>
    <x v="0"/>
    <x v="226"/>
    <x v="189"/>
    <x v="124"/>
    <x v="0"/>
    <x v="0"/>
    <x v="3"/>
    <x v="206"/>
    <x v="48"/>
    <n v="59.169600000000003"/>
    <n v="59.169600000000003"/>
    <n v="59.169600000000003"/>
    <n v="0"/>
    <s v="NULL"/>
    <s v="Winterstorm NY TX MA CT PA"/>
    <n v="3280.0940773799998"/>
    <m/>
    <x v="0"/>
  </r>
  <r>
    <x v="257"/>
    <x v="1"/>
    <x v="3"/>
    <x v="184"/>
    <x v="1"/>
    <x v="227"/>
    <x v="190"/>
    <x v="128"/>
    <x v="0"/>
    <x v="0"/>
    <x v="3"/>
    <x v="207"/>
    <x v="0"/>
    <n v="230663.65979999999"/>
    <n v="230663.65979999999"/>
    <n v="230663.65979999999"/>
    <n v="0"/>
    <s v="NULL"/>
    <s v="Winterstorm NY TX MA CT PA"/>
    <n v="3280.0940773799998"/>
    <m/>
    <x v="2"/>
  </r>
  <r>
    <x v="258"/>
    <x v="1"/>
    <x v="2"/>
    <x v="140"/>
    <x v="0"/>
    <x v="228"/>
    <x v="58"/>
    <x v="31"/>
    <x v="0"/>
    <x v="0"/>
    <x v="113"/>
    <x v="208"/>
    <x v="12"/>
    <n v="1.847"/>
    <n v="1.847"/>
    <n v="1.847"/>
    <n v="0.11391859"/>
    <s v="NULL"/>
    <s v="Winterstorm NY TX MA CT PA"/>
    <n v="3280.0940773799998"/>
    <m/>
    <x v="1"/>
  </r>
  <r>
    <x v="260"/>
    <x v="1"/>
    <x v="0"/>
    <x v="186"/>
    <x v="1"/>
    <x v="230"/>
    <x v="191"/>
    <x v="129"/>
    <x v="0"/>
    <x v="0"/>
    <x v="3"/>
    <x v="44"/>
    <x v="49"/>
    <n v="125479.24704"/>
    <n v="125479.24704"/>
    <n v="125479.24704"/>
    <n v="0"/>
    <s v="NULL"/>
    <s v="Winterstorm NY TX MA CT PA"/>
    <n v="3280.0940773799998"/>
    <m/>
    <x v="0"/>
  </r>
  <r>
    <x v="261"/>
    <x v="1"/>
    <x v="2"/>
    <x v="140"/>
    <x v="0"/>
    <x v="231"/>
    <x v="144"/>
    <x v="93"/>
    <x v="0"/>
    <x v="0"/>
    <x v="74"/>
    <x v="210"/>
    <x v="12"/>
    <n v="279.08300000000003"/>
    <n v="279.08300000000003"/>
    <n v="279.08300000000003"/>
    <n v="153.40650468999999"/>
    <s v="NULL"/>
    <s v="Winterstorm NY TX MA CT PA"/>
    <n v="3280.0940773799998"/>
    <m/>
    <x v="1"/>
  </r>
  <r>
    <x v="302"/>
    <x v="1"/>
    <x v="3"/>
    <x v="211"/>
    <x v="1"/>
    <x v="267"/>
    <x v="169"/>
    <x v="45"/>
    <x v="0"/>
    <x v="0"/>
    <x v="3"/>
    <x v="240"/>
    <x v="5"/>
    <n v="26308.315500000001"/>
    <n v="26308.315500000001"/>
    <n v="26308.315500000001"/>
    <n v="0"/>
    <s v="NULL"/>
    <s v="Winterstorm NY TX MA CT PA"/>
    <n v="3280.0940773799998"/>
    <m/>
    <x v="2"/>
  </r>
  <r>
    <x v="303"/>
    <x v="1"/>
    <x v="0"/>
    <x v="212"/>
    <x v="0"/>
    <x v="268"/>
    <x v="57"/>
    <x v="80"/>
    <x v="0"/>
    <x v="0"/>
    <x v="3"/>
    <x v="241"/>
    <x v="23"/>
    <n v="6.0644999999999998"/>
    <n v="6.0644999999999998"/>
    <n v="6.0644999999999998"/>
    <n v="0"/>
    <s v="NULL"/>
    <s v="Winterstorm NY TX MA CT PA"/>
    <n v="3280.0940773799998"/>
    <m/>
    <x v="0"/>
  </r>
  <r>
    <x v="304"/>
    <x v="1"/>
    <x v="0"/>
    <x v="213"/>
    <x v="1"/>
    <x v="269"/>
    <x v="212"/>
    <x v="142"/>
    <x v="0"/>
    <x v="0"/>
    <x v="3"/>
    <x v="242"/>
    <x v="4"/>
    <n v="87108.800099999993"/>
    <n v="87108.800099999993"/>
    <n v="87108.800099999993"/>
    <n v="0"/>
    <s v="NULL"/>
    <s v="Winterstorm NY TX MA CT PA"/>
    <n v="3280.0940773799998"/>
    <m/>
    <x v="0"/>
  </r>
  <r>
    <x v="305"/>
    <x v="1"/>
    <x v="3"/>
    <x v="214"/>
    <x v="1"/>
    <x v="270"/>
    <x v="213"/>
    <x v="100"/>
    <x v="0"/>
    <x v="0"/>
    <x v="86"/>
    <x v="151"/>
    <x v="4"/>
    <n v="123171.75750000001"/>
    <n v="123171.75750000001"/>
    <n v="123171.75750000001"/>
    <n v="0"/>
    <s v="NULL"/>
    <s v="Winterstorm NY TX MA CT PA"/>
    <n v="3280.0940773799998"/>
    <m/>
    <x v="2"/>
  </r>
  <r>
    <x v="221"/>
    <x v="2"/>
    <x v="1"/>
    <x v="5"/>
    <x v="0"/>
    <x v="5"/>
    <x v="172"/>
    <x v="3"/>
    <x v="0"/>
    <x v="0"/>
    <x v="4"/>
    <x v="5"/>
    <x v="3"/>
    <n v="87.559991999999994"/>
    <n v="87.559991999999994"/>
    <n v="87.559991999999994"/>
    <n v="0"/>
    <s v="NULL"/>
    <s v="Winterstorm NY MA TX PA SC"/>
    <n v="3949.1976460300002"/>
    <m/>
    <x v="1"/>
  </r>
  <r>
    <x v="87"/>
    <x v="2"/>
    <x v="11"/>
    <x v="59"/>
    <x v="0"/>
    <x v="61"/>
    <x v="79"/>
    <x v="3"/>
    <x v="0"/>
    <x v="0"/>
    <x v="4"/>
    <x v="5"/>
    <x v="3"/>
    <n v="206.75819999999999"/>
    <n v="206.75819999999999"/>
    <n v="206.75819999999999"/>
    <n v="0"/>
    <s v="NULL"/>
    <s v="Winterstorm NY MA TX PA SC"/>
    <n v="3949.1976460300002"/>
    <m/>
    <x v="1"/>
  </r>
  <r>
    <x v="224"/>
    <x v="2"/>
    <x v="4"/>
    <x v="12"/>
    <x v="0"/>
    <x v="12"/>
    <x v="175"/>
    <x v="3"/>
    <x v="0"/>
    <x v="0"/>
    <x v="4"/>
    <x v="5"/>
    <x v="3"/>
    <n v="378.96783599999998"/>
    <n v="378.96783599999998"/>
    <n v="378.96783599999998"/>
    <n v="0"/>
    <s v="NULL"/>
    <s v="Winterstorm NY MA TX PA SC"/>
    <n v="3949.1976460300002"/>
    <m/>
    <x v="1"/>
  </r>
  <r>
    <x v="227"/>
    <x v="2"/>
    <x v="2"/>
    <x v="27"/>
    <x v="0"/>
    <x v="27"/>
    <x v="178"/>
    <x v="3"/>
    <x v="0"/>
    <x v="0"/>
    <x v="4"/>
    <x v="5"/>
    <x v="3"/>
    <n v="133528.73061599999"/>
    <n v="133528.73061599999"/>
    <n v="133528.73061599999"/>
    <n v="0"/>
    <s v="NULL"/>
    <s v="Winterstorm NY MA TX PA SC"/>
    <n v="3949.1976460300002"/>
    <m/>
    <x v="1"/>
  </r>
  <r>
    <x v="195"/>
    <x v="2"/>
    <x v="12"/>
    <x v="148"/>
    <x v="1"/>
    <x v="72"/>
    <x v="156"/>
    <x v="106"/>
    <x v="0"/>
    <x v="0"/>
    <x v="5"/>
    <x v="159"/>
    <x v="3"/>
    <n v="2.66"/>
    <n v="2.66"/>
    <n v="2.66"/>
    <n v="0"/>
    <s v="NULL"/>
    <s v="Winterstorm NY MA TX PA SC"/>
    <n v="3949.1976460300002"/>
    <m/>
    <x v="4"/>
  </r>
  <r>
    <x v="205"/>
    <x v="2"/>
    <x v="14"/>
    <x v="155"/>
    <x v="0"/>
    <x v="182"/>
    <x v="164"/>
    <x v="113"/>
    <x v="0"/>
    <x v="0"/>
    <x v="96"/>
    <x v="5"/>
    <x v="3"/>
    <n v="0"/>
    <n v="0"/>
    <n v="-572.08000000000004"/>
    <n v="0"/>
    <s v="NULL"/>
    <s v="Winterstorm NY MA TX PA SC"/>
    <n v="3949.1976460300002"/>
    <m/>
    <x v="4"/>
  </r>
  <r>
    <x v="197"/>
    <x v="2"/>
    <x v="16"/>
    <x v="149"/>
    <x v="1"/>
    <x v="174"/>
    <x v="158"/>
    <x v="108"/>
    <x v="0"/>
    <x v="0"/>
    <x v="5"/>
    <x v="161"/>
    <x v="3"/>
    <n v="2275.63"/>
    <n v="2275.63"/>
    <n v="2275.63"/>
    <n v="0"/>
    <s v="NULL"/>
    <s v="Winterstorm NY MA TX PA SC"/>
    <n v="3949.1976460300002"/>
    <m/>
    <x v="4"/>
  </r>
  <r>
    <x v="229"/>
    <x v="2"/>
    <x v="0"/>
    <x v="1"/>
    <x v="0"/>
    <x v="199"/>
    <x v="180"/>
    <x v="118"/>
    <x v="0"/>
    <x v="0"/>
    <x v="100"/>
    <x v="181"/>
    <x v="1"/>
    <n v="61.594650000000001"/>
    <n v="61.594650000000001"/>
    <n v="61.594650000000001"/>
    <n v="0"/>
    <s v="NULL"/>
    <s v="Winterstorm NY MA TX PA SC"/>
    <n v="3949.1976460300002"/>
    <m/>
    <x v="0"/>
  </r>
  <r>
    <x v="306"/>
    <x v="2"/>
    <x v="0"/>
    <x v="87"/>
    <x v="0"/>
    <x v="271"/>
    <x v="214"/>
    <x v="143"/>
    <x v="0"/>
    <x v="0"/>
    <x v="42"/>
    <x v="243"/>
    <x v="36"/>
    <n v="896.85630000000003"/>
    <n v="896.85630000000003"/>
    <n v="896.85630000000003"/>
    <n v="0"/>
    <s v="NULL"/>
    <s v="Winterstorm NY MA TX PA SC"/>
    <n v="3949.1976460300002"/>
    <m/>
    <x v="0"/>
  </r>
  <r>
    <x v="124"/>
    <x v="0"/>
    <x v="15"/>
    <x v="101"/>
    <x v="1"/>
    <x v="113"/>
    <x v="106"/>
    <x v="3"/>
    <x v="0"/>
    <x v="0"/>
    <x v="3"/>
    <x v="5"/>
    <x v="3"/>
    <n v="0"/>
    <n v="0"/>
    <n v="-152403.37031249999"/>
    <n v="-13180.733512186"/>
    <s v="NULL"/>
    <s v="Winterstorm NY TX MA NJ PA"/>
    <n v="4781.60363426"/>
    <m/>
    <x v="9"/>
  </r>
  <r>
    <x v="11"/>
    <x v="0"/>
    <x v="1"/>
    <x v="5"/>
    <x v="0"/>
    <x v="5"/>
    <x v="9"/>
    <x v="3"/>
    <x v="0"/>
    <x v="0"/>
    <x v="4"/>
    <x v="5"/>
    <x v="3"/>
    <n v="132655.62963400001"/>
    <n v="132655.62963400001"/>
    <n v="132655.62963400001"/>
    <n v="0"/>
    <s v="NULL"/>
    <s v="Winterstorm NY TX MA NJ PA"/>
    <n v="4781.60363426"/>
    <m/>
    <x v="1"/>
  </r>
  <r>
    <x v="69"/>
    <x v="0"/>
    <x v="11"/>
    <x v="59"/>
    <x v="0"/>
    <x v="61"/>
    <x v="64"/>
    <x v="3"/>
    <x v="0"/>
    <x v="0"/>
    <x v="4"/>
    <x v="5"/>
    <x v="3"/>
    <n v="824.451055"/>
    <n v="824.451055"/>
    <n v="824.451055"/>
    <n v="0"/>
    <s v="NULL"/>
    <s v="Winterstorm NY TX MA NJ PA"/>
    <n v="4781.60363426"/>
    <m/>
    <x v="1"/>
  </r>
  <r>
    <x v="129"/>
    <x v="0"/>
    <x v="4"/>
    <x v="12"/>
    <x v="0"/>
    <x v="12"/>
    <x v="110"/>
    <x v="3"/>
    <x v="0"/>
    <x v="0"/>
    <x v="4"/>
    <x v="5"/>
    <x v="3"/>
    <n v="24186.965295999998"/>
    <n v="24186.965295999998"/>
    <n v="24186.965295999998"/>
    <n v="0"/>
    <s v="NULL"/>
    <s v="Winterstorm NY TX MA NJ PA"/>
    <n v="4781.60363426"/>
    <m/>
    <x v="1"/>
  </r>
  <r>
    <x v="29"/>
    <x v="0"/>
    <x v="2"/>
    <x v="27"/>
    <x v="0"/>
    <x v="27"/>
    <x v="26"/>
    <x v="3"/>
    <x v="0"/>
    <x v="0"/>
    <x v="4"/>
    <x v="5"/>
    <x v="3"/>
    <n v="247623.38931900001"/>
    <n v="247623.38931900001"/>
    <n v="247623.38931900001"/>
    <n v="0"/>
    <s v="NULL"/>
    <s v="Winterstorm NY TX MA NJ PA"/>
    <n v="4781.60363426"/>
    <m/>
    <x v="1"/>
  </r>
  <r>
    <x v="80"/>
    <x v="0"/>
    <x v="12"/>
    <x v="69"/>
    <x v="1"/>
    <x v="72"/>
    <x v="74"/>
    <x v="53"/>
    <x v="0"/>
    <x v="0"/>
    <x v="5"/>
    <x v="66"/>
    <x v="3"/>
    <n v="400.7"/>
    <n v="400.7"/>
    <n v="400.7"/>
    <n v="0"/>
    <s v="NULL"/>
    <s v="Winterstorm NY TX MA NJ PA"/>
    <n v="4781.60363426"/>
    <m/>
    <x v="4"/>
  </r>
  <r>
    <x v="55"/>
    <x v="0"/>
    <x v="6"/>
    <x v="49"/>
    <x v="1"/>
    <x v="49"/>
    <x v="50"/>
    <x v="37"/>
    <x v="0"/>
    <x v="0"/>
    <x v="5"/>
    <x v="45"/>
    <x v="3"/>
    <n v="123548.93"/>
    <n v="123548.93"/>
    <n v="123548.93"/>
    <n v="0"/>
    <s v="NULL"/>
    <s v="Winterstorm NY TX MA NJ PA"/>
    <n v="4781.60363426"/>
    <m/>
    <x v="4"/>
  </r>
  <r>
    <x v="90"/>
    <x v="0"/>
    <x v="12"/>
    <x v="75"/>
    <x v="1"/>
    <x v="81"/>
    <x v="82"/>
    <x v="58"/>
    <x v="0"/>
    <x v="0"/>
    <x v="5"/>
    <x v="74"/>
    <x v="3"/>
    <n v="1413.76"/>
    <n v="1413.76"/>
    <n v="1413.76"/>
    <n v="0"/>
    <s v="NULL"/>
    <s v="Winterstorm NY TX MA NJ PA"/>
    <n v="4781.60363426"/>
    <m/>
    <x v="4"/>
  </r>
  <r>
    <x v="34"/>
    <x v="0"/>
    <x v="9"/>
    <x v="30"/>
    <x v="1"/>
    <x v="30"/>
    <x v="30"/>
    <x v="23"/>
    <x v="0"/>
    <x v="0"/>
    <x v="5"/>
    <x v="26"/>
    <x v="3"/>
    <n v="237785.81"/>
    <n v="237785.81"/>
    <n v="237785.81"/>
    <n v="0"/>
    <s v="NULL"/>
    <s v="Winterstorm NY TX MA NJ PA"/>
    <n v="4781.60363426"/>
    <m/>
    <x v="4"/>
  </r>
  <r>
    <x v="105"/>
    <x v="0"/>
    <x v="0"/>
    <x v="85"/>
    <x v="1"/>
    <x v="96"/>
    <x v="3"/>
    <x v="8"/>
    <x v="0"/>
    <x v="0"/>
    <x v="53"/>
    <x v="88"/>
    <x v="12"/>
    <n v="36361.294000000002"/>
    <n v="36361.294000000002"/>
    <n v="36361.294000000002"/>
    <n v="0"/>
    <s v="NULL"/>
    <s v="Winterstorm NY TX MA NJ PA"/>
    <n v="4781.60363426"/>
    <m/>
    <x v="0"/>
  </r>
  <r>
    <x v="62"/>
    <x v="0"/>
    <x v="0"/>
    <x v="32"/>
    <x v="0"/>
    <x v="54"/>
    <x v="57"/>
    <x v="8"/>
    <x v="0"/>
    <x v="0"/>
    <x v="12"/>
    <x v="50"/>
    <x v="2"/>
    <n v="1351.2750000000001"/>
    <n v="1351.2750000000001"/>
    <n v="1351.2750000000001"/>
    <n v="0"/>
    <s v="NULL"/>
    <s v="Winterstorm NY TX MA NJ PA"/>
    <n v="4781.60363426"/>
    <m/>
    <x v="0"/>
  </r>
  <r>
    <x v="161"/>
    <x v="0"/>
    <x v="0"/>
    <x v="77"/>
    <x v="0"/>
    <x v="140"/>
    <x v="133"/>
    <x v="91"/>
    <x v="0"/>
    <x v="0"/>
    <x v="73"/>
    <x v="130"/>
    <x v="10"/>
    <n v="2019.2325000000001"/>
    <n v="2019.2325000000001"/>
    <n v="2019.2325000000001"/>
    <n v="0"/>
    <s v="NULL"/>
    <s v="Winterstorm NY TX MA NJ PA"/>
    <n v="4781.60363426"/>
    <m/>
    <x v="0"/>
  </r>
  <r>
    <x v="230"/>
    <x v="0"/>
    <x v="3"/>
    <x v="167"/>
    <x v="1"/>
    <x v="200"/>
    <x v="181"/>
    <x v="119"/>
    <x v="0"/>
    <x v="0"/>
    <x v="3"/>
    <x v="182"/>
    <x v="2"/>
    <n v="175694.4572"/>
    <n v="175694.4572"/>
    <n v="175694.4572"/>
    <n v="0"/>
    <s v="NULL"/>
    <s v="Winterstorm NY TX MA NJ PA"/>
    <n v="4781.60363426"/>
    <m/>
    <x v="2"/>
  </r>
  <r>
    <x v="231"/>
    <x v="0"/>
    <x v="0"/>
    <x v="168"/>
    <x v="0"/>
    <x v="201"/>
    <x v="80"/>
    <x v="9"/>
    <x v="0"/>
    <x v="0"/>
    <x v="101"/>
    <x v="183"/>
    <x v="12"/>
    <n v="11328.157999999999"/>
    <n v="11328.157999999999"/>
    <n v="11328.157999999999"/>
    <n v="0"/>
    <s v="NULL"/>
    <s v="Winterstorm NY TX MA NJ PA"/>
    <n v="4781.60363426"/>
    <m/>
    <x v="0"/>
  </r>
  <r>
    <x v="232"/>
    <x v="0"/>
    <x v="0"/>
    <x v="169"/>
    <x v="0"/>
    <x v="202"/>
    <x v="123"/>
    <x v="72"/>
    <x v="0"/>
    <x v="0"/>
    <x v="102"/>
    <x v="184"/>
    <x v="16"/>
    <n v="21.797999999999998"/>
    <n v="21.797999999999998"/>
    <n v="21.797999999999998"/>
    <n v="0"/>
    <s v="NULL"/>
    <s v="Winterstorm NY TX MA NJ PA"/>
    <n v="4781.60363426"/>
    <m/>
    <x v="0"/>
  </r>
  <r>
    <x v="164"/>
    <x v="0"/>
    <x v="0"/>
    <x v="125"/>
    <x v="0"/>
    <x v="143"/>
    <x v="135"/>
    <x v="2"/>
    <x v="0"/>
    <x v="0"/>
    <x v="31"/>
    <x v="133"/>
    <x v="0"/>
    <n v="93.945949999999996"/>
    <n v="93.945949999999996"/>
    <n v="93.945949999999996"/>
    <n v="0"/>
    <s v="NULL"/>
    <s v="Winterstorm NY TX MA NJ PA"/>
    <n v="4781.60363426"/>
    <m/>
    <x v="0"/>
  </r>
  <r>
    <x v="166"/>
    <x v="0"/>
    <x v="0"/>
    <x v="127"/>
    <x v="0"/>
    <x v="145"/>
    <x v="65"/>
    <x v="19"/>
    <x v="0"/>
    <x v="0"/>
    <x v="3"/>
    <x v="135"/>
    <x v="12"/>
    <n v="1036.396"/>
    <n v="1036.396"/>
    <n v="1036.396"/>
    <n v="0"/>
    <s v="NULL"/>
    <s v="Winterstorm NY TX MA NJ PA"/>
    <n v="4781.60363426"/>
    <m/>
    <x v="0"/>
  </r>
  <r>
    <x v="168"/>
    <x v="0"/>
    <x v="0"/>
    <x v="129"/>
    <x v="1"/>
    <x v="147"/>
    <x v="22"/>
    <x v="30"/>
    <x v="0"/>
    <x v="0"/>
    <x v="21"/>
    <x v="137"/>
    <x v="13"/>
    <n v="1078488.906"/>
    <n v="1078488.906"/>
    <n v="1078488.906"/>
    <n v="0"/>
    <s v="NULL"/>
    <s v="Winterstorm NY TX MA NJ PA"/>
    <n v="4781.60363426"/>
    <m/>
    <x v="0"/>
  </r>
  <r>
    <x v="44"/>
    <x v="0"/>
    <x v="0"/>
    <x v="39"/>
    <x v="1"/>
    <x v="39"/>
    <x v="40"/>
    <x v="30"/>
    <x v="0"/>
    <x v="0"/>
    <x v="21"/>
    <x v="35"/>
    <x v="19"/>
    <n v="763014.73199999996"/>
    <n v="763014.73199999996"/>
    <n v="763014.73199999996"/>
    <n v="0"/>
    <s v="NULL"/>
    <s v="Winterstorm NY TX MA NJ PA"/>
    <n v="4781.60363426"/>
    <m/>
    <x v="0"/>
  </r>
  <r>
    <x v="144"/>
    <x v="0"/>
    <x v="2"/>
    <x v="113"/>
    <x v="0"/>
    <x v="127"/>
    <x v="121"/>
    <x v="85"/>
    <x v="0"/>
    <x v="0"/>
    <x v="67"/>
    <x v="117"/>
    <x v="40"/>
    <n v="4128.2307464899995"/>
    <n v="4128.2307464899995"/>
    <n v="4128.2307464899995"/>
    <n v="0"/>
    <s v="NULL"/>
    <s v="Winterstorm NY TX MA NJ PA"/>
    <n v="4781.60363426"/>
    <m/>
    <x v="1"/>
  </r>
  <r>
    <x v="307"/>
    <x v="0"/>
    <x v="7"/>
    <x v="215"/>
    <x v="1"/>
    <x v="272"/>
    <x v="215"/>
    <x v="9"/>
    <x v="0"/>
    <x v="0"/>
    <x v="130"/>
    <x v="244"/>
    <x v="35"/>
    <n v="489.32204999999999"/>
    <n v="489.32204999999999"/>
    <n v="489.32204999999999"/>
    <n v="0"/>
    <s v="NULL"/>
    <s v="Winterstorm NY TX MA NJ PA"/>
    <n v="4781.60363426"/>
    <m/>
    <x v="5"/>
  </r>
  <r>
    <x v="13"/>
    <x v="0"/>
    <x v="0"/>
    <x v="11"/>
    <x v="0"/>
    <x v="11"/>
    <x v="3"/>
    <x v="9"/>
    <x v="0"/>
    <x v="0"/>
    <x v="7"/>
    <x v="11"/>
    <x v="5"/>
    <n v="19440.7935"/>
    <n v="19440.7935"/>
    <n v="19440.7935"/>
    <n v="0"/>
    <s v="NULL"/>
    <s v="Winterstorm NY TX MA NJ PA"/>
    <n v="4781.60363426"/>
    <m/>
    <x v="0"/>
  </r>
  <r>
    <x v="64"/>
    <x v="0"/>
    <x v="0"/>
    <x v="19"/>
    <x v="0"/>
    <x v="56"/>
    <x v="59"/>
    <x v="41"/>
    <x v="0"/>
    <x v="0"/>
    <x v="31"/>
    <x v="52"/>
    <x v="5"/>
    <n v="2158.0369999999998"/>
    <n v="2158.0369999999998"/>
    <n v="2158.0369999999998"/>
    <n v="0"/>
    <s v="NULL"/>
    <s v="Winterstorm NY TX MA NJ PA"/>
    <n v="4781.60363426"/>
    <m/>
    <x v="0"/>
  </r>
  <r>
    <x v="101"/>
    <x v="0"/>
    <x v="3"/>
    <x v="81"/>
    <x v="0"/>
    <x v="92"/>
    <x v="90"/>
    <x v="65"/>
    <x v="0"/>
    <x v="0"/>
    <x v="50"/>
    <x v="85"/>
    <x v="5"/>
    <n v="30175.212500000001"/>
    <n v="30175.212500000001"/>
    <n v="30175.212500000001"/>
    <n v="0"/>
    <s v="NULL"/>
    <s v="Winterstorm NY TX MA NJ PA"/>
    <n v="4781.60363426"/>
    <m/>
    <x v="2"/>
  </r>
  <r>
    <x v="145"/>
    <x v="0"/>
    <x v="2"/>
    <x v="109"/>
    <x v="0"/>
    <x v="128"/>
    <x v="21"/>
    <x v="32"/>
    <x v="0"/>
    <x v="0"/>
    <x v="68"/>
    <x v="118"/>
    <x v="13"/>
    <n v="61.3"/>
    <n v="61.3"/>
    <n v="61.3"/>
    <n v="0"/>
    <s v="NULL"/>
    <s v="Winterstorm NY TX MA NJ PA"/>
    <n v="4781.60363426"/>
    <m/>
    <x v="1"/>
  </r>
  <r>
    <x v="100"/>
    <x v="0"/>
    <x v="4"/>
    <x v="80"/>
    <x v="1"/>
    <x v="91"/>
    <x v="89"/>
    <x v="64"/>
    <x v="0"/>
    <x v="0"/>
    <x v="49"/>
    <x v="84"/>
    <x v="23"/>
    <n v="16.390014409999999"/>
    <n v="16.390014409999999"/>
    <n v="16.390014409999999"/>
    <n v="0"/>
    <s v="NULL"/>
    <s v="Winterstorm NY TX MA NJ PA"/>
    <n v="4781.60363426"/>
    <m/>
    <x v="1"/>
  </r>
  <r>
    <x v="3"/>
    <x v="0"/>
    <x v="0"/>
    <x v="3"/>
    <x v="0"/>
    <x v="3"/>
    <x v="2"/>
    <x v="2"/>
    <x v="0"/>
    <x v="0"/>
    <x v="3"/>
    <x v="3"/>
    <x v="2"/>
    <n v="551.20780000000002"/>
    <n v="551.20780000000002"/>
    <n v="551.20780000000002"/>
    <n v="0"/>
    <s v="NULL"/>
    <s v="Winterstorm NY TX MA NJ PA"/>
    <n v="4781.60363426"/>
    <m/>
    <x v="0"/>
  </r>
  <r>
    <x v="47"/>
    <x v="0"/>
    <x v="7"/>
    <x v="42"/>
    <x v="1"/>
    <x v="42"/>
    <x v="43"/>
    <x v="33"/>
    <x v="0"/>
    <x v="0"/>
    <x v="22"/>
    <x v="38"/>
    <x v="21"/>
    <n v="4059.3231000000001"/>
    <n v="4059.3231000000001"/>
    <n v="4059.3231000000001"/>
    <n v="0"/>
    <s v="NULL"/>
    <s v="Winterstorm NY TX MA NJ PA"/>
    <n v="4781.60363426"/>
    <m/>
    <x v="5"/>
  </r>
  <r>
    <x v="244"/>
    <x v="0"/>
    <x v="0"/>
    <x v="174"/>
    <x v="0"/>
    <x v="214"/>
    <x v="69"/>
    <x v="124"/>
    <x v="0"/>
    <x v="0"/>
    <x v="3"/>
    <x v="195"/>
    <x v="5"/>
    <n v="5.5465"/>
    <n v="5.5465"/>
    <n v="5.5465"/>
    <n v="0"/>
    <s v="NULL"/>
    <s v="Winterstorm NY TX MA NJ PA"/>
    <n v="4781.60363426"/>
    <m/>
    <x v="0"/>
  </r>
  <r>
    <x v="177"/>
    <x v="0"/>
    <x v="0"/>
    <x v="134"/>
    <x v="2"/>
    <x v="156"/>
    <x v="143"/>
    <x v="32"/>
    <x v="3"/>
    <x v="0"/>
    <x v="82"/>
    <x v="144"/>
    <x v="0"/>
    <n v="1050000"/>
    <n v="644794.12632175698"/>
    <n v="644794.12632175698"/>
    <n v="0"/>
    <s v="NULL"/>
    <s v="Winterstorm NY TX MA NJ PA"/>
    <n v="4781.60363426"/>
    <m/>
    <x v="0"/>
  </r>
  <r>
    <x v="245"/>
    <x v="0"/>
    <x v="0"/>
    <x v="175"/>
    <x v="0"/>
    <x v="215"/>
    <x v="58"/>
    <x v="8"/>
    <x v="0"/>
    <x v="0"/>
    <x v="3"/>
    <x v="196"/>
    <x v="5"/>
    <n v="297.79349999999999"/>
    <n v="297.79349999999999"/>
    <n v="297.79349999999999"/>
    <n v="0"/>
    <s v="NULL"/>
    <s v="Winterstorm NY TX MA NJ PA"/>
    <n v="4781.60363426"/>
    <m/>
    <x v="0"/>
  </r>
  <r>
    <x v="308"/>
    <x v="0"/>
    <x v="2"/>
    <x v="216"/>
    <x v="0"/>
    <x v="273"/>
    <x v="65"/>
    <x v="45"/>
    <x v="0"/>
    <x v="0"/>
    <x v="131"/>
    <x v="245"/>
    <x v="13"/>
    <n v="8.3480000000000008"/>
    <n v="8.3480000000000008"/>
    <n v="8.3480000000000008"/>
    <n v="0"/>
    <s v="NULL"/>
    <s v="Winterstorm NY TX MA NJ PA"/>
    <n v="4781.60363426"/>
    <m/>
    <x v="1"/>
  </r>
  <r>
    <x v="74"/>
    <x v="0"/>
    <x v="0"/>
    <x v="63"/>
    <x v="0"/>
    <x v="66"/>
    <x v="68"/>
    <x v="49"/>
    <x v="0"/>
    <x v="0"/>
    <x v="37"/>
    <x v="60"/>
    <x v="5"/>
    <n v="69.040000000000006"/>
    <n v="69.040000000000006"/>
    <n v="69.040000000000006"/>
    <n v="0"/>
    <s v="NULL"/>
    <s v="Winterstorm NY TX MA NJ PA"/>
    <n v="4781.60363426"/>
    <m/>
    <x v="0"/>
  </r>
  <r>
    <x v="137"/>
    <x v="0"/>
    <x v="2"/>
    <x v="107"/>
    <x v="0"/>
    <x v="121"/>
    <x v="80"/>
    <x v="9"/>
    <x v="0"/>
    <x v="0"/>
    <x v="59"/>
    <x v="112"/>
    <x v="12"/>
    <n v="1411.145"/>
    <n v="1411.145"/>
    <n v="1411.145"/>
    <n v="0"/>
    <s v="NULL"/>
    <s v="Winterstorm NY TX MA NJ PA"/>
    <n v="4781.60363426"/>
    <m/>
    <x v="1"/>
  </r>
  <r>
    <x v="48"/>
    <x v="0"/>
    <x v="7"/>
    <x v="43"/>
    <x v="1"/>
    <x v="43"/>
    <x v="44"/>
    <x v="4"/>
    <x v="0"/>
    <x v="0"/>
    <x v="23"/>
    <x v="39"/>
    <x v="22"/>
    <n v="1309.8620550000001"/>
    <n v="1309.8620550000001"/>
    <n v="1309.8620550000001"/>
    <n v="0"/>
    <s v="NULL"/>
    <s v="Winterstorm NY TX MA NJ PA"/>
    <n v="4781.60363426"/>
    <m/>
    <x v="5"/>
  </r>
  <r>
    <x v="79"/>
    <x v="0"/>
    <x v="3"/>
    <x v="68"/>
    <x v="1"/>
    <x v="71"/>
    <x v="73"/>
    <x v="52"/>
    <x v="0"/>
    <x v="0"/>
    <x v="40"/>
    <x v="65"/>
    <x v="12"/>
    <n v="10264.387000000001"/>
    <n v="10264.387000000001"/>
    <n v="10264.387000000001"/>
    <n v="0"/>
    <s v="NULL"/>
    <s v="Winterstorm NY TX MA NJ PA"/>
    <n v="4781.60363426"/>
    <m/>
    <x v="2"/>
  </r>
  <r>
    <x v="89"/>
    <x v="0"/>
    <x v="2"/>
    <x v="74"/>
    <x v="1"/>
    <x v="80"/>
    <x v="81"/>
    <x v="31"/>
    <x v="0"/>
    <x v="0"/>
    <x v="44"/>
    <x v="73"/>
    <x v="29"/>
    <n v="1046.355"/>
    <n v="1046.355"/>
    <n v="1046.355"/>
    <n v="0"/>
    <s v="NULL"/>
    <s v="Winterstorm NY TX MA NJ PA"/>
    <n v="4781.60363426"/>
    <m/>
    <x v="1"/>
  </r>
  <r>
    <x v="67"/>
    <x v="0"/>
    <x v="3"/>
    <x v="57"/>
    <x v="1"/>
    <x v="59"/>
    <x v="62"/>
    <x v="44"/>
    <x v="0"/>
    <x v="0"/>
    <x v="33"/>
    <x v="54"/>
    <x v="15"/>
    <n v="2937.7795999999998"/>
    <n v="2937.7795999999998"/>
    <n v="2937.7795999999998"/>
    <n v="0"/>
    <s v="NULL"/>
    <s v="Winterstorm NY TX MA NJ PA"/>
    <n v="4781.60363426"/>
    <m/>
    <x v="2"/>
  </r>
  <r>
    <x v="309"/>
    <x v="0"/>
    <x v="13"/>
    <x v="217"/>
    <x v="1"/>
    <x v="274"/>
    <x v="216"/>
    <x v="1"/>
    <x v="0"/>
    <x v="0"/>
    <x v="3"/>
    <x v="246"/>
    <x v="52"/>
    <n v="801.24099999999999"/>
    <n v="801.24099999999999"/>
    <n v="801.24099999999999"/>
    <n v="0"/>
    <s v="NULL"/>
    <s v="Winterstorm NY TX MA NJ PA"/>
    <n v="4781.60363426"/>
    <m/>
    <x v="8"/>
  </r>
  <r>
    <x v="20"/>
    <x v="0"/>
    <x v="2"/>
    <x v="18"/>
    <x v="1"/>
    <x v="18"/>
    <x v="17"/>
    <x v="15"/>
    <x v="0"/>
    <x v="0"/>
    <x v="8"/>
    <x v="15"/>
    <x v="9"/>
    <n v="598.05290000000002"/>
    <n v="598.05290000000002"/>
    <n v="598.05290000000002"/>
    <n v="0"/>
    <s v="NULL"/>
    <s v="Winterstorm NY TX MA NJ PA"/>
    <n v="4781.60363426"/>
    <m/>
    <x v="1"/>
  </r>
  <r>
    <x v="86"/>
    <x v="0"/>
    <x v="0"/>
    <x v="23"/>
    <x v="0"/>
    <x v="78"/>
    <x v="78"/>
    <x v="57"/>
    <x v="0"/>
    <x v="0"/>
    <x v="3"/>
    <x v="71"/>
    <x v="11"/>
    <n v="4991.4128000000001"/>
    <n v="4991.4128000000001"/>
    <n v="4991.4128000000001"/>
    <n v="0"/>
    <s v="NULL"/>
    <s v="Winterstorm NY TX MA NJ PA"/>
    <n v="4781.60363426"/>
    <m/>
    <x v="0"/>
  </r>
  <r>
    <x v="10"/>
    <x v="0"/>
    <x v="0"/>
    <x v="10"/>
    <x v="1"/>
    <x v="10"/>
    <x v="8"/>
    <x v="8"/>
    <x v="0"/>
    <x v="0"/>
    <x v="3"/>
    <x v="10"/>
    <x v="6"/>
    <n v="168264.378"/>
    <n v="168264.378"/>
    <n v="168264.378"/>
    <n v="0"/>
    <s v="NULL"/>
    <s v="Winterstorm NY TX MA NJ PA"/>
    <n v="4781.60363426"/>
    <m/>
    <x v="0"/>
  </r>
  <r>
    <x v="310"/>
    <x v="0"/>
    <x v="13"/>
    <x v="218"/>
    <x v="1"/>
    <x v="275"/>
    <x v="217"/>
    <x v="32"/>
    <x v="0"/>
    <x v="0"/>
    <x v="3"/>
    <x v="247"/>
    <x v="53"/>
    <n v="3195.4622413000002"/>
    <n v="3195.4622413000002"/>
    <n v="3195.4622413000002"/>
    <n v="0"/>
    <s v="NULL"/>
    <s v="Winterstorm NY TX MA NJ PA"/>
    <n v="4781.60363426"/>
    <m/>
    <x v="8"/>
  </r>
  <r>
    <x v="151"/>
    <x v="1"/>
    <x v="1"/>
    <x v="5"/>
    <x v="0"/>
    <x v="5"/>
    <x v="124"/>
    <x v="3"/>
    <x v="0"/>
    <x v="0"/>
    <x v="4"/>
    <x v="5"/>
    <x v="3"/>
    <n v="2715.9529830000001"/>
    <n v="2715.9529830000001"/>
    <n v="2715.9529830000001"/>
    <n v="0"/>
    <s v="NULL"/>
    <s v="Winterstorm NY TX MA CT PA"/>
    <n v="3280.0940773799998"/>
    <m/>
    <x v="1"/>
  </r>
  <r>
    <x v="152"/>
    <x v="1"/>
    <x v="11"/>
    <x v="59"/>
    <x v="0"/>
    <x v="61"/>
    <x v="125"/>
    <x v="3"/>
    <x v="0"/>
    <x v="0"/>
    <x v="4"/>
    <x v="5"/>
    <x v="3"/>
    <n v="3751.7878000000001"/>
    <n v="3751.7878000000001"/>
    <n v="3751.7878000000001"/>
    <n v="0"/>
    <s v="NULL"/>
    <s v="Winterstorm NY TX MA CT PA"/>
    <n v="3280.0940773799998"/>
    <m/>
    <x v="1"/>
  </r>
  <r>
    <x v="263"/>
    <x v="1"/>
    <x v="11"/>
    <x v="59"/>
    <x v="0"/>
    <x v="61"/>
    <x v="193"/>
    <x v="3"/>
    <x v="0"/>
    <x v="0"/>
    <x v="4"/>
    <x v="5"/>
    <x v="3"/>
    <n v="317.53687100000002"/>
    <n v="317.53687100000002"/>
    <n v="317.53687100000002"/>
    <n v="0"/>
    <s v="NULL"/>
    <s v="Winterstorm NY TX MA CT PA"/>
    <n v="3280.0940773799998"/>
    <m/>
    <x v="1"/>
  </r>
  <r>
    <x v="153"/>
    <x v="1"/>
    <x v="4"/>
    <x v="12"/>
    <x v="0"/>
    <x v="12"/>
    <x v="126"/>
    <x v="3"/>
    <x v="0"/>
    <x v="0"/>
    <x v="4"/>
    <x v="5"/>
    <x v="3"/>
    <n v="198.125067"/>
    <n v="198.125067"/>
    <n v="198.125067"/>
    <n v="0"/>
    <s v="NULL"/>
    <s v="Winterstorm NY TX MA CT PA"/>
    <n v="3280.0940773799998"/>
    <m/>
    <x v="1"/>
  </r>
  <r>
    <x v="154"/>
    <x v="1"/>
    <x v="12"/>
    <x v="116"/>
    <x v="1"/>
    <x v="72"/>
    <x v="127"/>
    <x v="86"/>
    <x v="0"/>
    <x v="0"/>
    <x v="5"/>
    <x v="124"/>
    <x v="3"/>
    <n v="297.85000000000002"/>
    <n v="297.85000000000002"/>
    <n v="297.85000000000002"/>
    <n v="0"/>
    <s v="NULL"/>
    <s v="Winterstorm NY TX MA CT PA"/>
    <n v="3280.0940773799998"/>
    <m/>
    <x v="4"/>
  </r>
  <r>
    <x v="264"/>
    <x v="1"/>
    <x v="12"/>
    <x v="187"/>
    <x v="1"/>
    <x v="233"/>
    <x v="194"/>
    <x v="130"/>
    <x v="0"/>
    <x v="0"/>
    <x v="5"/>
    <x v="211"/>
    <x v="3"/>
    <n v="144906.29"/>
    <n v="144906.29"/>
    <n v="144906.29"/>
    <n v="0"/>
    <s v="NULL"/>
    <s v="Winterstorm NY TX MA CT PA"/>
    <n v="3280.0940773799998"/>
    <m/>
    <x v="4"/>
  </r>
  <r>
    <x v="155"/>
    <x v="1"/>
    <x v="5"/>
    <x v="117"/>
    <x v="1"/>
    <x v="134"/>
    <x v="128"/>
    <x v="87"/>
    <x v="0"/>
    <x v="0"/>
    <x v="5"/>
    <x v="5"/>
    <x v="3"/>
    <n v="0"/>
    <n v="0"/>
    <n v="-131216.81"/>
    <n v="0"/>
    <s v="NULL"/>
    <s v="Winterstorm NY TX MA CT PA"/>
    <n v="3280.0940773799998"/>
    <m/>
    <x v="3"/>
  </r>
  <r>
    <x v="156"/>
    <x v="1"/>
    <x v="14"/>
    <x v="118"/>
    <x v="1"/>
    <x v="135"/>
    <x v="129"/>
    <x v="88"/>
    <x v="0"/>
    <x v="0"/>
    <x v="5"/>
    <x v="125"/>
    <x v="3"/>
    <n v="8900.2199999999993"/>
    <n v="8900.2199999999993"/>
    <n v="8900.2199999999993"/>
    <n v="0"/>
    <s v="NULL"/>
    <s v="Winterstorm NY TX MA CT PA"/>
    <n v="3280.0940773799998"/>
    <m/>
    <x v="4"/>
  </r>
  <r>
    <x v="157"/>
    <x v="1"/>
    <x v="12"/>
    <x v="119"/>
    <x v="1"/>
    <x v="136"/>
    <x v="130"/>
    <x v="89"/>
    <x v="0"/>
    <x v="0"/>
    <x v="5"/>
    <x v="126"/>
    <x v="3"/>
    <n v="164248.14000000001"/>
    <n v="164248.14000000001"/>
    <n v="164248.14000000001"/>
    <n v="0"/>
    <s v="NULL"/>
    <s v="Winterstorm NY TX MA CT PA"/>
    <n v="3280.0940773799998"/>
    <m/>
    <x v="4"/>
  </r>
  <r>
    <x v="265"/>
    <x v="1"/>
    <x v="0"/>
    <x v="188"/>
    <x v="0"/>
    <x v="234"/>
    <x v="195"/>
    <x v="131"/>
    <x v="0"/>
    <x v="0"/>
    <x v="115"/>
    <x v="173"/>
    <x v="29"/>
    <n v="17.065000000000001"/>
    <n v="17.065000000000001"/>
    <n v="17.065000000000001"/>
    <n v="0"/>
    <s v="NULL"/>
    <s v="Winterstorm NY TX MA CT PA"/>
    <n v="3280.0940773799998"/>
    <m/>
    <x v="0"/>
  </r>
  <r>
    <x v="158"/>
    <x v="1"/>
    <x v="0"/>
    <x v="120"/>
    <x v="1"/>
    <x v="137"/>
    <x v="131"/>
    <x v="90"/>
    <x v="0"/>
    <x v="0"/>
    <x v="71"/>
    <x v="127"/>
    <x v="12"/>
    <n v="91007.48"/>
    <n v="91007.48"/>
    <n v="91007.48"/>
    <n v="0"/>
    <s v="NULL"/>
    <s v="Winterstorm NY TX MA CT PA"/>
    <n v="3280.0940773799998"/>
    <m/>
    <x v="0"/>
  </r>
  <r>
    <x v="159"/>
    <x v="1"/>
    <x v="0"/>
    <x v="121"/>
    <x v="1"/>
    <x v="138"/>
    <x v="132"/>
    <x v="24"/>
    <x v="0"/>
    <x v="0"/>
    <x v="15"/>
    <x v="128"/>
    <x v="23"/>
    <n v="19405.940999999999"/>
    <n v="19405.940999999999"/>
    <n v="19405.940999999999"/>
    <n v="0"/>
    <s v="NULL"/>
    <s v="Winterstorm NY TX MA CT PA"/>
    <n v="3280.0940773799998"/>
    <m/>
    <x v="0"/>
  </r>
  <r>
    <x v="160"/>
    <x v="1"/>
    <x v="0"/>
    <x v="122"/>
    <x v="0"/>
    <x v="139"/>
    <x v="38"/>
    <x v="29"/>
    <x v="0"/>
    <x v="0"/>
    <x v="72"/>
    <x v="129"/>
    <x v="41"/>
    <n v="17416.642800000001"/>
    <n v="17416.642800000001"/>
    <n v="17416.642800000001"/>
    <n v="0"/>
    <s v="NULL"/>
    <s v="Winterstorm NY TX MA CT PA"/>
    <n v="3280.0940773799998"/>
    <m/>
    <x v="0"/>
  </r>
  <r>
    <x v="311"/>
    <x v="1"/>
    <x v="0"/>
    <x v="26"/>
    <x v="0"/>
    <x v="276"/>
    <x v="143"/>
    <x v="9"/>
    <x v="0"/>
    <x v="0"/>
    <x v="7"/>
    <x v="248"/>
    <x v="14"/>
    <n v="18081.460425000001"/>
    <n v="18081.460425000001"/>
    <n v="18081.460425000001"/>
    <n v="0"/>
    <s v="NULL"/>
    <s v="Winterstorm NY TX MA CT PA"/>
    <n v="3280.0940773799998"/>
    <m/>
    <x v="0"/>
  </r>
  <r>
    <x v="162"/>
    <x v="1"/>
    <x v="2"/>
    <x v="123"/>
    <x v="1"/>
    <x v="141"/>
    <x v="134"/>
    <x v="92"/>
    <x v="0"/>
    <x v="0"/>
    <x v="5"/>
    <x v="131"/>
    <x v="27"/>
    <n v="5440.95"/>
    <n v="5440.95"/>
    <n v="5440.95"/>
    <n v="0"/>
    <s v="NULL"/>
    <s v="Winterstorm NY TX MA CT PA"/>
    <n v="3280.0940773799998"/>
    <m/>
    <x v="1"/>
  </r>
  <r>
    <x v="163"/>
    <x v="1"/>
    <x v="2"/>
    <x v="124"/>
    <x v="0"/>
    <x v="142"/>
    <x v="122"/>
    <x v="93"/>
    <x v="0"/>
    <x v="0"/>
    <x v="74"/>
    <x v="132"/>
    <x v="5"/>
    <n v="4783.4795000000004"/>
    <n v="4783.4795000000004"/>
    <n v="4783.4795000000004"/>
    <n v="0"/>
    <s v="NULL"/>
    <s v="Winterstorm NY TX MA CT PA"/>
    <n v="3280.0940773799998"/>
    <m/>
    <x v="1"/>
  </r>
  <r>
    <x v="165"/>
    <x v="1"/>
    <x v="0"/>
    <x v="126"/>
    <x v="0"/>
    <x v="144"/>
    <x v="136"/>
    <x v="94"/>
    <x v="0"/>
    <x v="0"/>
    <x v="75"/>
    <x v="134"/>
    <x v="4"/>
    <n v="24.398099999999999"/>
    <n v="24.398099999999999"/>
    <n v="24.398099999999999"/>
    <n v="0"/>
    <s v="NULL"/>
    <s v="Winterstorm NY TX MA CT PA"/>
    <n v="3280.0940773799998"/>
    <m/>
    <x v="0"/>
  </r>
  <r>
    <x v="312"/>
    <x v="1"/>
    <x v="2"/>
    <x v="219"/>
    <x v="0"/>
    <x v="277"/>
    <x v="21"/>
    <x v="32"/>
    <x v="0"/>
    <x v="0"/>
    <x v="68"/>
    <x v="249"/>
    <x v="13"/>
    <n v="341.72800000000001"/>
    <n v="341.72800000000001"/>
    <n v="341.72800000000001"/>
    <n v="0"/>
    <s v="NULL"/>
    <s v="Winterstorm NY TX MA CT PA"/>
    <n v="3280.0940773799998"/>
    <m/>
    <x v="1"/>
  </r>
  <r>
    <x v="167"/>
    <x v="1"/>
    <x v="0"/>
    <x v="128"/>
    <x v="1"/>
    <x v="146"/>
    <x v="58"/>
    <x v="8"/>
    <x v="0"/>
    <x v="0"/>
    <x v="53"/>
    <x v="136"/>
    <x v="5"/>
    <n v="57020.695"/>
    <n v="57020.695"/>
    <n v="57020.695"/>
    <n v="0"/>
    <s v="NULL"/>
    <s v="Winterstorm NY TX MA CT PA"/>
    <n v="3280.0940773799998"/>
    <m/>
    <x v="0"/>
  </r>
  <r>
    <x v="169"/>
    <x v="1"/>
    <x v="0"/>
    <x v="94"/>
    <x v="2"/>
    <x v="148"/>
    <x v="137"/>
    <x v="95"/>
    <x v="2"/>
    <x v="0"/>
    <x v="76"/>
    <x v="138"/>
    <x v="38"/>
    <n v="56527.327975"/>
    <n v="37206.837554349302"/>
    <n v="37206.837554349302"/>
    <n v="0"/>
    <s v="NULL"/>
    <s v="Winterstorm NY TX MA CT PA"/>
    <n v="3280.0940773799998"/>
    <m/>
    <x v="0"/>
  </r>
  <r>
    <x v="313"/>
    <x v="1"/>
    <x v="0"/>
    <x v="146"/>
    <x v="0"/>
    <x v="278"/>
    <x v="41"/>
    <x v="32"/>
    <x v="0"/>
    <x v="0"/>
    <x v="3"/>
    <x v="250"/>
    <x v="42"/>
    <n v="59.015875000000001"/>
    <n v="59.015875000000001"/>
    <n v="59.015875000000001"/>
    <n v="0"/>
    <s v="NULL"/>
    <s v="Winterstorm NY TX MA CT PA"/>
    <n v="3280.0940773799998"/>
    <m/>
    <x v="0"/>
  </r>
  <r>
    <x v="170"/>
    <x v="1"/>
    <x v="0"/>
    <x v="0"/>
    <x v="0"/>
    <x v="149"/>
    <x v="138"/>
    <x v="96"/>
    <x v="0"/>
    <x v="0"/>
    <x v="77"/>
    <x v="139"/>
    <x v="0"/>
    <n v="33303.928699999997"/>
    <n v="33303.928699999997"/>
    <n v="33303.928699999997"/>
    <n v="0"/>
    <s v="NULL"/>
    <s v="Winterstorm NY TX MA CT PA"/>
    <n v="3280.0940773799998"/>
    <m/>
    <x v="0"/>
  </r>
  <r>
    <x v="171"/>
    <x v="1"/>
    <x v="2"/>
    <x v="130"/>
    <x v="0"/>
    <x v="150"/>
    <x v="139"/>
    <x v="97"/>
    <x v="0"/>
    <x v="0"/>
    <x v="78"/>
    <x v="140"/>
    <x v="5"/>
    <n v="2417.2420000000002"/>
    <n v="2417.2420000000002"/>
    <n v="2417.2420000000002"/>
    <n v="0"/>
    <s v="NULL"/>
    <s v="Winterstorm NY TX MA CT PA"/>
    <n v="3280.0940773799998"/>
    <m/>
    <x v="1"/>
  </r>
  <r>
    <x v="314"/>
    <x v="1"/>
    <x v="0"/>
    <x v="11"/>
    <x v="0"/>
    <x v="279"/>
    <x v="19"/>
    <x v="1"/>
    <x v="0"/>
    <x v="0"/>
    <x v="2"/>
    <x v="251"/>
    <x v="5"/>
    <n v="467.916"/>
    <n v="467.916"/>
    <n v="467.916"/>
    <n v="0"/>
    <s v="NULL"/>
    <s v="Winterstorm NY TX MA CT PA"/>
    <n v="3280.0940773799998"/>
    <m/>
    <x v="0"/>
  </r>
  <r>
    <x v="315"/>
    <x v="1"/>
    <x v="0"/>
    <x v="61"/>
    <x v="0"/>
    <x v="280"/>
    <x v="65"/>
    <x v="19"/>
    <x v="0"/>
    <x v="0"/>
    <x v="118"/>
    <x v="252"/>
    <x v="12"/>
    <n v="11359.807000000001"/>
    <n v="11359.807000000001"/>
    <n v="11359.807000000001"/>
    <n v="0"/>
    <s v="NULL"/>
    <s v="Winterstorm NY TX MA CT PA"/>
    <n v="3280.0940773799998"/>
    <m/>
    <x v="0"/>
  </r>
  <r>
    <x v="316"/>
    <x v="1"/>
    <x v="0"/>
    <x v="150"/>
    <x v="0"/>
    <x v="281"/>
    <x v="39"/>
    <x v="39"/>
    <x v="0"/>
    <x v="0"/>
    <x v="132"/>
    <x v="253"/>
    <x v="23"/>
    <n v="15651.534750000001"/>
    <n v="15651.534750000001"/>
    <n v="15651.534750000001"/>
    <n v="0"/>
    <s v="NULL"/>
    <s v="Winterstorm NY TX MA CT PA"/>
    <n v="3280.0940773799998"/>
    <m/>
    <x v="0"/>
  </r>
  <r>
    <x v="172"/>
    <x v="1"/>
    <x v="3"/>
    <x v="81"/>
    <x v="0"/>
    <x v="151"/>
    <x v="63"/>
    <x v="19"/>
    <x v="0"/>
    <x v="0"/>
    <x v="79"/>
    <x v="141"/>
    <x v="5"/>
    <n v="5042.6130000000003"/>
    <n v="5042.6130000000003"/>
    <n v="5042.6130000000003"/>
    <n v="0"/>
    <s v="NULL"/>
    <s v="Winterstorm NY TX MA CT PA"/>
    <n v="3280.0940773799998"/>
    <m/>
    <x v="2"/>
  </r>
  <r>
    <x v="173"/>
    <x v="1"/>
    <x v="0"/>
    <x v="46"/>
    <x v="0"/>
    <x v="152"/>
    <x v="40"/>
    <x v="19"/>
    <x v="0"/>
    <x v="0"/>
    <x v="80"/>
    <x v="70"/>
    <x v="28"/>
    <n v="37191.405599999998"/>
    <n v="37191.405599999998"/>
    <n v="37191.405599999998"/>
    <n v="0"/>
    <s v="NULL"/>
    <s v="Winterstorm NY TX MA CT PA"/>
    <n v="3280.0940773799998"/>
    <m/>
    <x v="0"/>
  </r>
  <r>
    <x v="174"/>
    <x v="1"/>
    <x v="0"/>
    <x v="131"/>
    <x v="1"/>
    <x v="153"/>
    <x v="140"/>
    <x v="98"/>
    <x v="0"/>
    <x v="0"/>
    <x v="81"/>
    <x v="142"/>
    <x v="5"/>
    <n v="5627.6329999999998"/>
    <n v="5627.6329999999998"/>
    <n v="5627.6329999999998"/>
    <n v="0"/>
    <s v="NULL"/>
    <s v="Winterstorm NY TX MA CT PA"/>
    <n v="3280.0940773799998"/>
    <m/>
    <x v="0"/>
  </r>
  <r>
    <x v="289"/>
    <x v="1"/>
    <x v="3"/>
    <x v="203"/>
    <x v="1"/>
    <x v="258"/>
    <x v="203"/>
    <x v="137"/>
    <x v="0"/>
    <x v="0"/>
    <x v="128"/>
    <x v="232"/>
    <x v="12"/>
    <n v="11.573"/>
    <n v="11.573"/>
    <n v="11.573"/>
    <n v="0"/>
    <s v="NULL"/>
    <s v="Winterstorm NY TX MA CT PA"/>
    <n v="3280.0940773799998"/>
    <m/>
    <x v="2"/>
  </r>
  <r>
    <x v="175"/>
    <x v="1"/>
    <x v="0"/>
    <x v="132"/>
    <x v="1"/>
    <x v="154"/>
    <x v="141"/>
    <x v="45"/>
    <x v="0"/>
    <x v="0"/>
    <x v="27"/>
    <x v="143"/>
    <x v="10"/>
    <n v="455498.21850000002"/>
    <n v="455498.21850000002"/>
    <n v="455498.21850000002"/>
    <n v="0"/>
    <s v="NULL"/>
    <s v="Winterstorm NY TX MA CT PA"/>
    <n v="3280.0940773799998"/>
    <m/>
    <x v="0"/>
  </r>
  <r>
    <x v="176"/>
    <x v="1"/>
    <x v="0"/>
    <x v="133"/>
    <x v="1"/>
    <x v="155"/>
    <x v="142"/>
    <x v="26"/>
    <x v="0"/>
    <x v="0"/>
    <x v="3"/>
    <x v="62"/>
    <x v="28"/>
    <n v="74143.388999999996"/>
    <n v="74143.388999999996"/>
    <n v="74143.388999999996"/>
    <n v="0"/>
    <s v="NULL"/>
    <s v="Winterstorm NY TX MA CT PA"/>
    <n v="3280.0940773799998"/>
    <m/>
    <x v="0"/>
  </r>
  <r>
    <x v="317"/>
    <x v="1"/>
    <x v="3"/>
    <x v="220"/>
    <x v="1"/>
    <x v="282"/>
    <x v="218"/>
    <x v="144"/>
    <x v="0"/>
    <x v="0"/>
    <x v="133"/>
    <x v="254"/>
    <x v="5"/>
    <n v="246492.864"/>
    <n v="246492.864"/>
    <n v="246492.864"/>
    <n v="0"/>
    <s v="NULL"/>
    <s v="Winterstorm NY TX MA CT PA"/>
    <n v="3280.0940773799998"/>
    <m/>
    <x v="2"/>
  </r>
  <r>
    <x v="179"/>
    <x v="1"/>
    <x v="0"/>
    <x v="47"/>
    <x v="0"/>
    <x v="158"/>
    <x v="144"/>
    <x v="95"/>
    <x v="0"/>
    <x v="0"/>
    <x v="3"/>
    <x v="146"/>
    <x v="5"/>
    <n v="36.831499999999998"/>
    <n v="36.831499999999998"/>
    <n v="36.831499999999998"/>
    <n v="0"/>
    <s v="NULL"/>
    <s v="Winterstorm NY TX MA CT PA"/>
    <n v="3280.0940773799998"/>
    <m/>
    <x v="0"/>
  </r>
  <r>
    <x v="318"/>
    <x v="1"/>
    <x v="2"/>
    <x v="221"/>
    <x v="0"/>
    <x v="283"/>
    <x v="51"/>
    <x v="9"/>
    <x v="0"/>
    <x v="0"/>
    <x v="59"/>
    <x v="255"/>
    <x v="13"/>
    <n v="38.914000000000001"/>
    <n v="38.914000000000001"/>
    <n v="38.914000000000001"/>
    <n v="4.4501400000000002"/>
    <s v="NULL"/>
    <s v="Winterstorm NY TX MA CT PA"/>
    <n v="3280.0940773799998"/>
    <m/>
    <x v="1"/>
  </r>
  <r>
    <x v="181"/>
    <x v="1"/>
    <x v="7"/>
    <x v="136"/>
    <x v="1"/>
    <x v="160"/>
    <x v="65"/>
    <x v="19"/>
    <x v="0"/>
    <x v="0"/>
    <x v="85"/>
    <x v="148"/>
    <x v="12"/>
    <n v="15195.278"/>
    <n v="15195.278"/>
    <n v="15195.278"/>
    <n v="0"/>
    <s v="NULL"/>
    <s v="Winterstorm NY TX MA CT PA"/>
    <n v="3280.0940773799998"/>
    <m/>
    <x v="5"/>
  </r>
  <r>
    <x v="182"/>
    <x v="1"/>
    <x v="7"/>
    <x v="137"/>
    <x v="1"/>
    <x v="161"/>
    <x v="145"/>
    <x v="8"/>
    <x v="0"/>
    <x v="0"/>
    <x v="53"/>
    <x v="149"/>
    <x v="34"/>
    <n v="12076.423425000001"/>
    <n v="12076.423425000001"/>
    <n v="12076.423425000001"/>
    <n v="0"/>
    <s v="NULL"/>
    <s v="Winterstorm NY TX MA CT PA"/>
    <n v="3280.0940773799998"/>
    <m/>
    <x v="5"/>
  </r>
  <r>
    <x v="183"/>
    <x v="1"/>
    <x v="0"/>
    <x v="138"/>
    <x v="1"/>
    <x v="162"/>
    <x v="146"/>
    <x v="99"/>
    <x v="0"/>
    <x v="0"/>
    <x v="3"/>
    <x v="150"/>
    <x v="41"/>
    <n v="52667.962800000001"/>
    <n v="52667.962800000001"/>
    <n v="52667.962800000001"/>
    <n v="0"/>
    <s v="NULL"/>
    <s v="Winterstorm NY TX MA CT PA"/>
    <n v="3280.0940773799998"/>
    <m/>
    <x v="0"/>
  </r>
  <r>
    <x v="319"/>
    <x v="1"/>
    <x v="0"/>
    <x v="183"/>
    <x v="0"/>
    <x v="284"/>
    <x v="219"/>
    <x v="31"/>
    <x v="0"/>
    <x v="0"/>
    <x v="3"/>
    <x v="256"/>
    <x v="48"/>
    <n v="1.11755"/>
    <n v="1.11755"/>
    <n v="1.11755"/>
    <n v="0"/>
    <s v="NULL"/>
    <s v="Winterstorm NY TX MA CT PA"/>
    <n v="3280.0940773799998"/>
    <m/>
    <x v="0"/>
  </r>
  <r>
    <x v="184"/>
    <x v="1"/>
    <x v="0"/>
    <x v="139"/>
    <x v="1"/>
    <x v="163"/>
    <x v="147"/>
    <x v="100"/>
    <x v="0"/>
    <x v="0"/>
    <x v="86"/>
    <x v="151"/>
    <x v="10"/>
    <n v="615849.63150000002"/>
    <n v="615849.63150000002"/>
    <n v="615849.63150000002"/>
    <n v="0"/>
    <s v="NULL"/>
    <s v="Winterstorm NY TX MA CT PA"/>
    <n v="3280.0940773799998"/>
    <m/>
    <x v="0"/>
  </r>
  <r>
    <x v="185"/>
    <x v="1"/>
    <x v="2"/>
    <x v="140"/>
    <x v="0"/>
    <x v="164"/>
    <x v="58"/>
    <x v="31"/>
    <x v="0"/>
    <x v="0"/>
    <x v="87"/>
    <x v="152"/>
    <x v="12"/>
    <n v="11.999000000000001"/>
    <n v="11.999000000000001"/>
    <n v="11.999000000000001"/>
    <n v="2.0547779400000001"/>
    <s v="NULL"/>
    <s v="Winterstorm NY TX MA CT PA"/>
    <n v="3280.0940773799998"/>
    <m/>
    <x v="1"/>
  </r>
  <r>
    <x v="186"/>
    <x v="1"/>
    <x v="0"/>
    <x v="141"/>
    <x v="0"/>
    <x v="165"/>
    <x v="148"/>
    <x v="101"/>
    <x v="0"/>
    <x v="0"/>
    <x v="3"/>
    <x v="153"/>
    <x v="11"/>
    <n v="16.918800000000001"/>
    <n v="16.918800000000001"/>
    <n v="16.918800000000001"/>
    <n v="0"/>
    <s v="NULL"/>
    <s v="Winterstorm NY TX MA CT PA"/>
    <n v="3280.0940773799998"/>
    <m/>
    <x v="0"/>
  </r>
  <r>
    <x v="320"/>
    <x v="1"/>
    <x v="0"/>
    <x v="222"/>
    <x v="0"/>
    <x v="285"/>
    <x v="220"/>
    <x v="145"/>
    <x v="0"/>
    <x v="0"/>
    <x v="3"/>
    <x v="257"/>
    <x v="24"/>
    <n v="1640.8815999999999"/>
    <n v="1640.8815999999999"/>
    <n v="1640.8815999999999"/>
    <n v="0"/>
    <s v="NULL"/>
    <s v="Winterstorm NY TX MA CT PA"/>
    <n v="3280.0940773799998"/>
    <m/>
    <x v="0"/>
  </r>
  <r>
    <x v="187"/>
    <x v="1"/>
    <x v="0"/>
    <x v="142"/>
    <x v="3"/>
    <x v="166"/>
    <x v="149"/>
    <x v="26"/>
    <x v="0"/>
    <x v="0"/>
    <x v="88"/>
    <x v="154"/>
    <x v="2"/>
    <n v="14.565799999999999"/>
    <n v="14.565799999999999"/>
    <n v="14.565799999999999"/>
    <n v="0"/>
    <s v="NULL"/>
    <s v="Winterstorm NY TX MA CT PA"/>
    <n v="3280.0940773799998"/>
    <m/>
    <x v="0"/>
  </r>
  <r>
    <x v="188"/>
    <x v="1"/>
    <x v="8"/>
    <x v="25"/>
    <x v="0"/>
    <x v="167"/>
    <x v="150"/>
    <x v="102"/>
    <x v="0"/>
    <x v="0"/>
    <x v="3"/>
    <x v="155"/>
    <x v="9"/>
    <n v="24.59876053"/>
    <n v="24.59876053"/>
    <n v="24.59876053"/>
    <n v="0"/>
    <s v="NULL"/>
    <s v="Winterstorm NY TX MA CT PA"/>
    <n v="3280.0940773799998"/>
    <m/>
    <x v="6"/>
  </r>
  <r>
    <x v="189"/>
    <x v="1"/>
    <x v="0"/>
    <x v="143"/>
    <x v="0"/>
    <x v="168"/>
    <x v="151"/>
    <x v="103"/>
    <x v="0"/>
    <x v="0"/>
    <x v="89"/>
    <x v="93"/>
    <x v="5"/>
    <n v="227.2115"/>
    <n v="227.2115"/>
    <n v="227.2115"/>
    <n v="0"/>
    <s v="NULL"/>
    <s v="Winterstorm NY TX MA CT PA"/>
    <n v="3280.0940773799998"/>
    <m/>
    <x v="0"/>
  </r>
  <r>
    <x v="262"/>
    <x v="1"/>
    <x v="2"/>
    <x v="7"/>
    <x v="1"/>
    <x v="232"/>
    <x v="192"/>
    <x v="5"/>
    <x v="0"/>
    <x v="0"/>
    <x v="5"/>
    <x v="7"/>
    <x v="25"/>
    <n v="20699.186849999998"/>
    <n v="20699.186849999998"/>
    <n v="20699.186849999998"/>
    <n v="0"/>
    <s v="NULL"/>
    <s v="Winterstorm NY TX MA CT PA"/>
    <n v="3280.0940773799998"/>
    <m/>
    <x v="1"/>
  </r>
  <r>
    <x v="190"/>
    <x v="1"/>
    <x v="0"/>
    <x v="144"/>
    <x v="0"/>
    <x v="169"/>
    <x v="152"/>
    <x v="104"/>
    <x v="0"/>
    <x v="0"/>
    <x v="3"/>
    <x v="156"/>
    <x v="23"/>
    <n v="42.319499999999998"/>
    <n v="42.319499999999998"/>
    <n v="42.319499999999998"/>
    <n v="0"/>
    <s v="NULL"/>
    <s v="Winterstorm NY TX MA CT PA"/>
    <n v="3280.0940773799998"/>
    <m/>
    <x v="0"/>
  </r>
  <r>
    <x v="12"/>
    <x v="0"/>
    <x v="1"/>
    <x v="5"/>
    <x v="0"/>
    <x v="5"/>
    <x v="10"/>
    <x v="3"/>
    <x v="0"/>
    <x v="0"/>
    <x v="4"/>
    <x v="5"/>
    <x v="3"/>
    <n v="329.54339700000003"/>
    <n v="329.54339700000003"/>
    <n v="329.54339700000003"/>
    <n v="0"/>
    <s v="NULL"/>
    <s v="Winterstorm NY TX MA NJ PA"/>
    <n v="4781.60363426"/>
    <m/>
    <x v="1"/>
  </r>
  <r>
    <x v="87"/>
    <x v="0"/>
    <x v="11"/>
    <x v="59"/>
    <x v="0"/>
    <x v="61"/>
    <x v="79"/>
    <x v="3"/>
    <x v="0"/>
    <x v="0"/>
    <x v="4"/>
    <x v="5"/>
    <x v="3"/>
    <n v="21.7485"/>
    <n v="21.7485"/>
    <n v="21.7485"/>
    <n v="0"/>
    <s v="NULL"/>
    <s v="Winterstorm NY TX MA NJ PA"/>
    <n v="4781.60363426"/>
    <m/>
    <x v="1"/>
  </r>
  <r>
    <x v="30"/>
    <x v="1"/>
    <x v="1"/>
    <x v="5"/>
    <x v="0"/>
    <x v="5"/>
    <x v="27"/>
    <x v="3"/>
    <x v="0"/>
    <x v="0"/>
    <x v="4"/>
    <x v="5"/>
    <x v="3"/>
    <n v="2546.9354450000001"/>
    <n v="2546.9354450000001"/>
    <n v="2546.9354450000001"/>
    <n v="0"/>
    <s v="NULL"/>
    <s v="Winterstorm NY TX MA CT PA"/>
    <n v="3280.0940773799998"/>
    <m/>
    <x v="1"/>
  </r>
  <r>
    <x v="57"/>
    <x v="1"/>
    <x v="4"/>
    <x v="12"/>
    <x v="0"/>
    <x v="12"/>
    <x v="52"/>
    <x v="3"/>
    <x v="0"/>
    <x v="0"/>
    <x v="4"/>
    <x v="5"/>
    <x v="3"/>
    <n v="3391.2257410000002"/>
    <n v="3391.2257410000002"/>
    <n v="3391.2257410000002"/>
    <n v="0"/>
    <s v="NULL"/>
    <s v="Winterstorm NY TX MA CT PA"/>
    <n v="3280.0940773799998"/>
    <m/>
    <x v="1"/>
  </r>
  <r>
    <x v="321"/>
    <x v="1"/>
    <x v="4"/>
    <x v="12"/>
    <x v="0"/>
    <x v="12"/>
    <x v="221"/>
    <x v="3"/>
    <x v="0"/>
    <x v="0"/>
    <x v="4"/>
    <x v="5"/>
    <x v="3"/>
    <n v="86.651797999999999"/>
    <n v="86.651797999999999"/>
    <n v="86.651797999999999"/>
    <n v="0"/>
    <s v="NULL"/>
    <s v="Winterstorm NY TX MA CT PA"/>
    <n v="3280.0940773799998"/>
    <m/>
    <x v="1"/>
  </r>
  <r>
    <x v="58"/>
    <x v="1"/>
    <x v="2"/>
    <x v="27"/>
    <x v="0"/>
    <x v="27"/>
    <x v="53"/>
    <x v="3"/>
    <x v="0"/>
    <x v="0"/>
    <x v="4"/>
    <x v="5"/>
    <x v="3"/>
    <n v="20642.55085"/>
    <n v="20642.55085"/>
    <n v="20642.55085"/>
    <n v="0"/>
    <s v="NULL"/>
    <s v="Winterstorm NY TX MA CT PA"/>
    <n v="3280.0940773799998"/>
    <m/>
    <x v="1"/>
  </r>
  <r>
    <x v="83"/>
    <x v="1"/>
    <x v="12"/>
    <x v="71"/>
    <x v="1"/>
    <x v="75"/>
    <x v="76"/>
    <x v="55"/>
    <x v="0"/>
    <x v="0"/>
    <x v="5"/>
    <x v="69"/>
    <x v="3"/>
    <n v="1372082.6"/>
    <n v="1372082.6"/>
    <n v="1372082.6"/>
    <n v="0"/>
    <s v="NULL"/>
    <s v="Winterstorm NY TX MA CT PA"/>
    <n v="3280.0940773799998"/>
    <m/>
    <x v="4"/>
  </r>
  <r>
    <x v="322"/>
    <x v="1"/>
    <x v="2"/>
    <x v="223"/>
    <x v="0"/>
    <x v="286"/>
    <x v="222"/>
    <x v="39"/>
    <x v="0"/>
    <x v="0"/>
    <x v="134"/>
    <x v="258"/>
    <x v="54"/>
    <n v="10.820333"/>
    <n v="10.820333"/>
    <n v="10.820333"/>
    <n v="0"/>
    <s v="NULL"/>
    <s v="Winterstorm NY TX MA CT PA"/>
    <n v="3280.0940773799998"/>
    <m/>
    <x v="1"/>
  </r>
  <r>
    <x v="37"/>
    <x v="1"/>
    <x v="0"/>
    <x v="32"/>
    <x v="0"/>
    <x v="32"/>
    <x v="33"/>
    <x v="25"/>
    <x v="0"/>
    <x v="0"/>
    <x v="16"/>
    <x v="28"/>
    <x v="2"/>
    <n v="2807.0508"/>
    <n v="2807.0508"/>
    <n v="2807.0508"/>
    <n v="0"/>
    <s v="NULL"/>
    <s v="Winterstorm NY TX MA CT PA"/>
    <n v="3280.0940773799998"/>
    <m/>
    <x v="0"/>
  </r>
  <r>
    <x v="306"/>
    <x v="1"/>
    <x v="0"/>
    <x v="87"/>
    <x v="0"/>
    <x v="271"/>
    <x v="214"/>
    <x v="143"/>
    <x v="0"/>
    <x v="0"/>
    <x v="42"/>
    <x v="243"/>
    <x v="36"/>
    <n v="286.97129999999999"/>
    <n v="286.97129999999999"/>
    <n v="286.97129999999999"/>
    <n v="0"/>
    <s v="NULL"/>
    <s v="Winterstorm NY TX MA CT PA"/>
    <n v="3280.0940773799998"/>
    <m/>
    <x v="0"/>
  </r>
  <r>
    <x v="323"/>
    <x v="1"/>
    <x v="0"/>
    <x v="38"/>
    <x v="0"/>
    <x v="287"/>
    <x v="39"/>
    <x v="29"/>
    <x v="0"/>
    <x v="0"/>
    <x v="135"/>
    <x v="239"/>
    <x v="12"/>
    <n v="138.273"/>
    <n v="138.273"/>
    <n v="138.273"/>
    <n v="0"/>
    <s v="NULL"/>
    <s v="Winterstorm NY TX MA CT PA"/>
    <n v="3280.0940773799998"/>
    <m/>
    <x v="0"/>
  </r>
  <r>
    <x v="32"/>
    <x v="1"/>
    <x v="0"/>
    <x v="29"/>
    <x v="0"/>
    <x v="29"/>
    <x v="3"/>
    <x v="8"/>
    <x v="0"/>
    <x v="0"/>
    <x v="14"/>
    <x v="25"/>
    <x v="12"/>
    <n v="25728.437000000002"/>
    <n v="25728.437000000002"/>
    <n v="25728.437000000002"/>
    <n v="0"/>
    <s v="NULL"/>
    <s v="Winterstorm NY TX MA CT PA"/>
    <n v="3280.0940773799998"/>
    <m/>
    <x v="0"/>
  </r>
  <r>
    <x v="82"/>
    <x v="1"/>
    <x v="0"/>
    <x v="41"/>
    <x v="1"/>
    <x v="74"/>
    <x v="75"/>
    <x v="43"/>
    <x v="0"/>
    <x v="0"/>
    <x v="41"/>
    <x v="68"/>
    <x v="15"/>
    <n v="248856.38399999999"/>
    <n v="248856.38399999999"/>
    <n v="248856.38399999999"/>
    <n v="0"/>
    <s v="NULL"/>
    <s v="Winterstorm NY TX MA CT PA"/>
    <n v="3280.0940773799998"/>
    <m/>
    <x v="0"/>
  </r>
  <r>
    <x v="73"/>
    <x v="1"/>
    <x v="2"/>
    <x v="62"/>
    <x v="0"/>
    <x v="65"/>
    <x v="67"/>
    <x v="48"/>
    <x v="0"/>
    <x v="0"/>
    <x v="9"/>
    <x v="59"/>
    <x v="16"/>
    <n v="41469.978750000002"/>
    <n v="41469.978750000002"/>
    <n v="41469.978750000002"/>
    <n v="0"/>
    <s v="NULL"/>
    <s v="Winterstorm NY TX MA CT PA"/>
    <n v="3280.0940773799998"/>
    <m/>
    <x v="1"/>
  </r>
  <r>
    <x v="16"/>
    <x v="1"/>
    <x v="3"/>
    <x v="14"/>
    <x v="1"/>
    <x v="14"/>
    <x v="13"/>
    <x v="11"/>
    <x v="0"/>
    <x v="0"/>
    <x v="3"/>
    <x v="12"/>
    <x v="7"/>
    <n v="15746.710499999999"/>
    <n v="15746.710499999999"/>
    <n v="15746.710499999999"/>
    <n v="0"/>
    <s v="NULL"/>
    <s v="Winterstorm NY TX MA CT PA"/>
    <n v="3280.0940773799998"/>
    <m/>
    <x v="2"/>
  </r>
  <r>
    <x v="76"/>
    <x v="1"/>
    <x v="3"/>
    <x v="65"/>
    <x v="1"/>
    <x v="68"/>
    <x v="70"/>
    <x v="50"/>
    <x v="0"/>
    <x v="0"/>
    <x v="38"/>
    <x v="62"/>
    <x v="12"/>
    <n v="8357.6509999999998"/>
    <n v="8357.6509999999998"/>
    <n v="8357.6509999999998"/>
    <n v="0"/>
    <s v="NULL"/>
    <s v="Winterstorm NY TX MA CT PA"/>
    <n v="3280.0940773799998"/>
    <m/>
    <x v="2"/>
  </r>
  <r>
    <x v="66"/>
    <x v="1"/>
    <x v="0"/>
    <x v="56"/>
    <x v="0"/>
    <x v="58"/>
    <x v="61"/>
    <x v="43"/>
    <x v="0"/>
    <x v="0"/>
    <x v="32"/>
    <x v="53"/>
    <x v="4"/>
    <n v="21.348600000000001"/>
    <n v="21.348600000000001"/>
    <n v="21.348600000000001"/>
    <n v="0"/>
    <s v="NULL"/>
    <s v="Winterstorm NY TX MA CT PA"/>
    <n v="3280.0940773799998"/>
    <m/>
    <x v="0"/>
  </r>
  <r>
    <x v="49"/>
    <x v="1"/>
    <x v="0"/>
    <x v="44"/>
    <x v="0"/>
    <x v="44"/>
    <x v="45"/>
    <x v="34"/>
    <x v="0"/>
    <x v="0"/>
    <x v="3"/>
    <x v="40"/>
    <x v="23"/>
    <n v="40.307499999999997"/>
    <n v="40.307499999999997"/>
    <n v="40.307499999999997"/>
    <n v="0"/>
    <s v="NULL"/>
    <s v="Winterstorm NY TX MA CT PA"/>
    <n v="3280.0940773799998"/>
    <m/>
    <x v="0"/>
  </r>
  <r>
    <x v="324"/>
    <x v="1"/>
    <x v="3"/>
    <x v="114"/>
    <x v="0"/>
    <x v="288"/>
    <x v="41"/>
    <x v="31"/>
    <x v="0"/>
    <x v="0"/>
    <x v="87"/>
    <x v="259"/>
    <x v="16"/>
    <n v="1092.5654999999999"/>
    <n v="1092.5654999999999"/>
    <n v="1092.5654999999999"/>
    <n v="0"/>
    <s v="NULL"/>
    <s v="Winterstorm NY TX MA CT PA"/>
    <n v="3280.0940773799998"/>
    <m/>
    <x v="2"/>
  </r>
  <r>
    <x v="287"/>
    <x v="1"/>
    <x v="3"/>
    <x v="81"/>
    <x v="0"/>
    <x v="256"/>
    <x v="48"/>
    <x v="34"/>
    <x v="0"/>
    <x v="0"/>
    <x v="126"/>
    <x v="230"/>
    <x v="5"/>
    <n v="9251.3349999999991"/>
    <n v="9251.3349999999991"/>
    <n v="9251.3349999999991"/>
    <n v="0"/>
    <s v="NULL"/>
    <s v="Winterstorm NY TX MA CT PA"/>
    <n v="3280.0940773799998"/>
    <m/>
    <x v="2"/>
  </r>
  <r>
    <x v="85"/>
    <x v="1"/>
    <x v="0"/>
    <x v="46"/>
    <x v="0"/>
    <x v="77"/>
    <x v="77"/>
    <x v="56"/>
    <x v="0"/>
    <x v="0"/>
    <x v="43"/>
    <x v="57"/>
    <x v="15"/>
    <n v="16961.265299999999"/>
    <n v="16961.265299999999"/>
    <n v="16961.265299999999"/>
    <n v="0"/>
    <s v="NULL"/>
    <s v="Winterstorm NY TX MA CT PA"/>
    <n v="3280.0940773799998"/>
    <m/>
    <x v="0"/>
  </r>
  <r>
    <x v="325"/>
    <x v="1"/>
    <x v="0"/>
    <x v="224"/>
    <x v="1"/>
    <x v="289"/>
    <x v="223"/>
    <x v="146"/>
    <x v="0"/>
    <x v="0"/>
    <x v="136"/>
    <x v="260"/>
    <x v="55"/>
    <n v="190572.50367999999"/>
    <n v="190572.50367999999"/>
    <n v="190572.50367999999"/>
    <n v="0"/>
    <s v="NULL"/>
    <s v="Winterstorm NY TX MA CT PA"/>
    <n v="3280.0940773799998"/>
    <m/>
    <x v="0"/>
  </r>
  <r>
    <x v="9"/>
    <x v="1"/>
    <x v="4"/>
    <x v="9"/>
    <x v="0"/>
    <x v="9"/>
    <x v="7"/>
    <x v="7"/>
    <x v="0"/>
    <x v="0"/>
    <x v="6"/>
    <x v="9"/>
    <x v="5"/>
    <n v="187.38813218999999"/>
    <n v="187.38813218999999"/>
    <n v="187.38813218999999"/>
    <n v="0"/>
    <s v="NULL"/>
    <s v="Winterstorm NY TX MA CT PA"/>
    <n v="3280.0940773799998"/>
    <m/>
    <x v="1"/>
  </r>
  <r>
    <x v="326"/>
    <x v="1"/>
    <x v="2"/>
    <x v="225"/>
    <x v="1"/>
    <x v="290"/>
    <x v="39"/>
    <x v="8"/>
    <x v="0"/>
    <x v="0"/>
    <x v="53"/>
    <x v="261"/>
    <x v="10"/>
    <n v="13691.102999999999"/>
    <n v="13691.102999999999"/>
    <n v="13691.102999999999"/>
    <n v="0"/>
    <s v="NULL"/>
    <s v="Winterstorm NY TX MA CT PA"/>
    <n v="3280.0940773799998"/>
    <m/>
    <x v="1"/>
  </r>
  <r>
    <x v="59"/>
    <x v="1"/>
    <x v="7"/>
    <x v="51"/>
    <x v="1"/>
    <x v="51"/>
    <x v="54"/>
    <x v="38"/>
    <x v="0"/>
    <x v="0"/>
    <x v="27"/>
    <x v="47"/>
    <x v="25"/>
    <n v="191.77190726000001"/>
    <n v="191.77190726000001"/>
    <n v="191.77190726000001"/>
    <n v="0"/>
    <s v="NULL"/>
    <s v="Winterstorm NY TX MA CT PA"/>
    <n v="3280.0940773799998"/>
    <m/>
    <x v="5"/>
  </r>
  <r>
    <x v="84"/>
    <x v="1"/>
    <x v="0"/>
    <x v="72"/>
    <x v="0"/>
    <x v="76"/>
    <x v="2"/>
    <x v="29"/>
    <x v="0"/>
    <x v="0"/>
    <x v="42"/>
    <x v="70"/>
    <x v="28"/>
    <n v="8.8632000000000009"/>
    <n v="8.8632000000000009"/>
    <n v="8.8632000000000009"/>
    <n v="0"/>
    <s v="NULL"/>
    <s v="Winterstorm NY TX MA CT PA"/>
    <n v="3280.0940773799998"/>
    <m/>
    <x v="0"/>
  </r>
  <r>
    <x v="327"/>
    <x v="1"/>
    <x v="0"/>
    <x v="226"/>
    <x v="1"/>
    <x v="291"/>
    <x v="72"/>
    <x v="49"/>
    <x v="0"/>
    <x v="0"/>
    <x v="137"/>
    <x v="262"/>
    <x v="26"/>
    <n v="6007.91"/>
    <n v="6007.91"/>
    <n v="6007.91"/>
    <n v="0"/>
    <s v="NULL"/>
    <s v="Winterstorm NY TX MA CT PA"/>
    <n v="3280.0940773799998"/>
    <m/>
    <x v="0"/>
  </r>
  <r>
    <x v="45"/>
    <x v="1"/>
    <x v="0"/>
    <x v="40"/>
    <x v="1"/>
    <x v="40"/>
    <x v="41"/>
    <x v="31"/>
    <x v="0"/>
    <x v="0"/>
    <x v="3"/>
    <x v="36"/>
    <x v="16"/>
    <n v="7990.7887499999997"/>
    <n v="7990.7887499999997"/>
    <n v="7990.7887499999997"/>
    <n v="0"/>
    <s v="NULL"/>
    <s v="Winterstorm NY TX MA CT PA"/>
    <n v="3280.0940773799998"/>
    <m/>
    <x v="0"/>
  </r>
  <r>
    <x v="78"/>
    <x v="1"/>
    <x v="0"/>
    <x v="67"/>
    <x v="1"/>
    <x v="70"/>
    <x v="72"/>
    <x v="1"/>
    <x v="0"/>
    <x v="0"/>
    <x v="1"/>
    <x v="64"/>
    <x v="27"/>
    <n v="19832.377499999999"/>
    <n v="19832.377499999999"/>
    <n v="19832.377499999999"/>
    <n v="0"/>
    <s v="NULL"/>
    <s v="Winterstorm NY TX MA CT PA"/>
    <n v="3280.0940773799998"/>
    <m/>
    <x v="0"/>
  </r>
  <r>
    <x v="8"/>
    <x v="1"/>
    <x v="3"/>
    <x v="8"/>
    <x v="1"/>
    <x v="8"/>
    <x v="6"/>
    <x v="6"/>
    <x v="0"/>
    <x v="0"/>
    <x v="3"/>
    <x v="8"/>
    <x v="5"/>
    <n v="22474.8855"/>
    <n v="22474.8855"/>
    <n v="22474.8855"/>
    <n v="0"/>
    <s v="NULL"/>
    <s v="Winterstorm NY TX MA CT PA"/>
    <n v="3280.0940773799998"/>
    <m/>
    <x v="2"/>
  </r>
  <r>
    <x v="81"/>
    <x v="1"/>
    <x v="0"/>
    <x v="70"/>
    <x v="1"/>
    <x v="73"/>
    <x v="65"/>
    <x v="54"/>
    <x v="0"/>
    <x v="0"/>
    <x v="3"/>
    <x v="67"/>
    <x v="9"/>
    <n v="261543.04569999999"/>
    <n v="261543.04569999999"/>
    <n v="261543.04569999999"/>
    <n v="0"/>
    <s v="NULL"/>
    <s v="Winterstorm NY TX MA CT PA"/>
    <n v="3280.0940773799998"/>
    <m/>
    <x v="0"/>
  </r>
  <r>
    <x v="328"/>
    <x v="1"/>
    <x v="7"/>
    <x v="227"/>
    <x v="1"/>
    <x v="292"/>
    <x v="224"/>
    <x v="56"/>
    <x v="0"/>
    <x v="0"/>
    <x v="138"/>
    <x v="263"/>
    <x v="32"/>
    <n v="37453.89935"/>
    <n v="37453.89935"/>
    <n v="37453.89935"/>
    <n v="0"/>
    <s v="NULL"/>
    <s v="Winterstorm NY TX MA CT PA"/>
    <n v="3280.0940773799998"/>
    <m/>
    <x v="5"/>
  </r>
  <r>
    <x v="104"/>
    <x v="1"/>
    <x v="7"/>
    <x v="84"/>
    <x v="1"/>
    <x v="95"/>
    <x v="93"/>
    <x v="68"/>
    <x v="0"/>
    <x v="0"/>
    <x v="52"/>
    <x v="87"/>
    <x v="35"/>
    <n v="143861.18547500001"/>
    <n v="143861.18547500001"/>
    <n v="143861.18547500001"/>
    <n v="0"/>
    <s v="NULL"/>
    <s v="Winterstorm NY TX MA CT PA"/>
    <n v="3280.0940773799998"/>
    <m/>
    <x v="5"/>
  </r>
  <r>
    <x v="53"/>
    <x v="1"/>
    <x v="0"/>
    <x v="47"/>
    <x v="1"/>
    <x v="47"/>
    <x v="39"/>
    <x v="9"/>
    <x v="0"/>
    <x v="0"/>
    <x v="3"/>
    <x v="43"/>
    <x v="16"/>
    <n v="999.99"/>
    <n v="999.99"/>
    <n v="999.99"/>
    <n v="0"/>
    <s v="NULL"/>
    <s v="Winterstorm NY TX MA CT PA"/>
    <n v="3280.0940773799998"/>
    <m/>
    <x v="0"/>
  </r>
  <r>
    <x v="329"/>
    <x v="1"/>
    <x v="3"/>
    <x v="228"/>
    <x v="1"/>
    <x v="293"/>
    <x v="225"/>
    <x v="147"/>
    <x v="0"/>
    <x v="0"/>
    <x v="3"/>
    <x v="264"/>
    <x v="56"/>
    <n v="191004.49932209999"/>
    <n v="191004.49932209999"/>
    <n v="191004.49932209999"/>
    <n v="0"/>
    <s v="NULL"/>
    <s v="Winterstorm NY TX MA CT PA"/>
    <n v="3280.0940773799998"/>
    <m/>
    <x v="2"/>
  </r>
  <r>
    <x v="330"/>
    <x v="1"/>
    <x v="0"/>
    <x v="144"/>
    <x v="0"/>
    <x v="294"/>
    <x v="226"/>
    <x v="148"/>
    <x v="0"/>
    <x v="0"/>
    <x v="3"/>
    <x v="141"/>
    <x v="5"/>
    <n v="11.727499999999999"/>
    <n v="11.727499999999999"/>
    <n v="11.727499999999999"/>
    <n v="0"/>
    <s v="NULL"/>
    <s v="Winterstorm NY TX MA CT PA"/>
    <n v="3280.0940773799998"/>
    <m/>
    <x v="0"/>
  </r>
  <r>
    <x v="12"/>
    <x v="2"/>
    <x v="1"/>
    <x v="5"/>
    <x v="0"/>
    <x v="5"/>
    <x v="10"/>
    <x v="3"/>
    <x v="0"/>
    <x v="0"/>
    <x v="4"/>
    <x v="5"/>
    <x v="3"/>
    <n v="307.49983700000001"/>
    <n v="307.49983700000001"/>
    <n v="307.49983700000001"/>
    <n v="0"/>
    <s v="NULL"/>
    <s v="Winterstorm NY MA TX PA SC"/>
    <n v="3949.1976460300002"/>
    <m/>
    <x v="1"/>
  </r>
  <r>
    <x v="11"/>
    <x v="2"/>
    <x v="1"/>
    <x v="5"/>
    <x v="0"/>
    <x v="5"/>
    <x v="9"/>
    <x v="3"/>
    <x v="0"/>
    <x v="0"/>
    <x v="4"/>
    <x v="5"/>
    <x v="3"/>
    <n v="83435.016518999997"/>
    <n v="83435.016518999997"/>
    <n v="83435.016518999997"/>
    <n v="0"/>
    <s v="NULL"/>
    <s v="Winterstorm NY MA TX PA SC"/>
    <n v="3949.1976460300002"/>
    <m/>
    <x v="1"/>
  </r>
  <r>
    <x v="69"/>
    <x v="2"/>
    <x v="11"/>
    <x v="59"/>
    <x v="0"/>
    <x v="61"/>
    <x v="64"/>
    <x v="3"/>
    <x v="0"/>
    <x v="0"/>
    <x v="4"/>
    <x v="5"/>
    <x v="3"/>
    <n v="598.11015199999997"/>
    <n v="598.11015199999997"/>
    <n v="598.11015199999997"/>
    <n v="0"/>
    <s v="NULL"/>
    <s v="Winterstorm NY MA TX PA SC"/>
    <n v="3949.1976460300002"/>
    <m/>
    <x v="1"/>
  </r>
  <r>
    <x v="191"/>
    <x v="2"/>
    <x v="4"/>
    <x v="12"/>
    <x v="0"/>
    <x v="12"/>
    <x v="153"/>
    <x v="3"/>
    <x v="0"/>
    <x v="0"/>
    <x v="4"/>
    <x v="5"/>
    <x v="3"/>
    <n v="418.763822"/>
    <n v="418.763822"/>
    <n v="418.763822"/>
    <n v="0"/>
    <s v="NULL"/>
    <s v="Winterstorm NY MA TX PA SC"/>
    <n v="3949.1976460300002"/>
    <m/>
    <x v="1"/>
  </r>
  <r>
    <x v="129"/>
    <x v="2"/>
    <x v="4"/>
    <x v="12"/>
    <x v="0"/>
    <x v="12"/>
    <x v="110"/>
    <x v="3"/>
    <x v="0"/>
    <x v="0"/>
    <x v="4"/>
    <x v="5"/>
    <x v="3"/>
    <n v="12530.890455999999"/>
    <n v="12530.890455999999"/>
    <n v="12530.890455999999"/>
    <n v="0"/>
    <s v="NULL"/>
    <s v="Winterstorm NY MA TX PA SC"/>
    <n v="3949.1976460300002"/>
    <m/>
    <x v="1"/>
  </r>
  <r>
    <x v="134"/>
    <x v="2"/>
    <x v="2"/>
    <x v="27"/>
    <x v="0"/>
    <x v="27"/>
    <x v="114"/>
    <x v="3"/>
    <x v="0"/>
    <x v="0"/>
    <x v="4"/>
    <x v="5"/>
    <x v="3"/>
    <n v="24672.926019999999"/>
    <n v="24672.926019999999"/>
    <n v="24672.926019999999"/>
    <n v="0"/>
    <s v="NULL"/>
    <s v="Winterstorm NY MA TX PA SC"/>
    <n v="3949.1976460300002"/>
    <m/>
    <x v="1"/>
  </r>
  <r>
    <x v="29"/>
    <x v="2"/>
    <x v="2"/>
    <x v="27"/>
    <x v="0"/>
    <x v="27"/>
    <x v="26"/>
    <x v="3"/>
    <x v="0"/>
    <x v="0"/>
    <x v="4"/>
    <x v="5"/>
    <x v="3"/>
    <n v="204435.21922200001"/>
    <n v="204435.21922200001"/>
    <n v="204435.21922200001"/>
    <n v="0"/>
    <s v="NULL"/>
    <s v="Winterstorm NY MA TX PA SC"/>
    <n v="3949.1976460300002"/>
    <m/>
    <x v="1"/>
  </r>
  <r>
    <x v="80"/>
    <x v="2"/>
    <x v="12"/>
    <x v="69"/>
    <x v="1"/>
    <x v="72"/>
    <x v="74"/>
    <x v="53"/>
    <x v="0"/>
    <x v="0"/>
    <x v="5"/>
    <x v="66"/>
    <x v="3"/>
    <n v="471.48"/>
    <n v="471.48"/>
    <n v="471.48"/>
    <n v="0"/>
    <s v="NULL"/>
    <s v="Winterstorm NY MA TX PA SC"/>
    <n v="3949.1976460300002"/>
    <m/>
    <x v="4"/>
  </r>
  <r>
    <x v="55"/>
    <x v="2"/>
    <x v="6"/>
    <x v="49"/>
    <x v="1"/>
    <x v="49"/>
    <x v="50"/>
    <x v="37"/>
    <x v="0"/>
    <x v="0"/>
    <x v="5"/>
    <x v="45"/>
    <x v="3"/>
    <n v="125610.92"/>
    <n v="125610.92"/>
    <n v="125610.92"/>
    <n v="0"/>
    <s v="NULL"/>
    <s v="Winterstorm NY MA TX PA SC"/>
    <n v="3949.1976460300002"/>
    <m/>
    <x v="4"/>
  </r>
  <r>
    <x v="90"/>
    <x v="2"/>
    <x v="12"/>
    <x v="75"/>
    <x v="1"/>
    <x v="81"/>
    <x v="82"/>
    <x v="58"/>
    <x v="0"/>
    <x v="0"/>
    <x v="5"/>
    <x v="74"/>
    <x v="3"/>
    <n v="201.55"/>
    <n v="201.55"/>
    <n v="201.55"/>
    <n v="0"/>
    <s v="NULL"/>
    <s v="Winterstorm NY MA TX PA SC"/>
    <n v="3949.1976460300002"/>
    <m/>
    <x v="4"/>
  </r>
  <r>
    <x v="34"/>
    <x v="2"/>
    <x v="9"/>
    <x v="30"/>
    <x v="1"/>
    <x v="30"/>
    <x v="30"/>
    <x v="23"/>
    <x v="0"/>
    <x v="0"/>
    <x v="5"/>
    <x v="26"/>
    <x v="3"/>
    <n v="219340.09"/>
    <n v="219340.09"/>
    <n v="219340.09"/>
    <n v="0"/>
    <s v="NULL"/>
    <s v="Winterstorm NY MA TX PA SC"/>
    <n v="3949.1976460300002"/>
    <m/>
    <x v="4"/>
  </r>
  <r>
    <x v="109"/>
    <x v="2"/>
    <x v="3"/>
    <x v="89"/>
    <x v="1"/>
    <x v="100"/>
    <x v="96"/>
    <x v="36"/>
    <x v="0"/>
    <x v="0"/>
    <x v="25"/>
    <x v="44"/>
    <x v="23"/>
    <n v="24155.304749999999"/>
    <n v="24155.304749999999"/>
    <n v="24155.304749999999"/>
    <n v="0"/>
    <s v="NULL"/>
    <s v="Winterstorm NY MA TX PA SC"/>
    <n v="3949.1976460300002"/>
    <m/>
    <x v="2"/>
  </r>
  <r>
    <x v="62"/>
    <x v="2"/>
    <x v="0"/>
    <x v="32"/>
    <x v="0"/>
    <x v="54"/>
    <x v="57"/>
    <x v="8"/>
    <x v="0"/>
    <x v="0"/>
    <x v="12"/>
    <x v="50"/>
    <x v="2"/>
    <n v="1024.2008000000001"/>
    <n v="1024.2008000000001"/>
    <n v="1024.2008000000001"/>
    <n v="0"/>
    <s v="NULL"/>
    <s v="Winterstorm NY MA TX PA SC"/>
    <n v="3949.1976460300002"/>
    <m/>
    <x v="0"/>
  </r>
  <r>
    <x v="311"/>
    <x v="2"/>
    <x v="0"/>
    <x v="26"/>
    <x v="0"/>
    <x v="276"/>
    <x v="143"/>
    <x v="9"/>
    <x v="0"/>
    <x v="0"/>
    <x v="7"/>
    <x v="248"/>
    <x v="14"/>
    <n v="38194.533300000003"/>
    <n v="38194.533300000003"/>
    <n v="38194.533300000003"/>
    <n v="0"/>
    <s v="NULL"/>
    <s v="Winterstorm NY MA TX PA SC"/>
    <n v="3949.1976460300002"/>
    <m/>
    <x v="0"/>
  </r>
  <r>
    <x v="43"/>
    <x v="2"/>
    <x v="0"/>
    <x v="38"/>
    <x v="0"/>
    <x v="38"/>
    <x v="39"/>
    <x v="29"/>
    <x v="0"/>
    <x v="0"/>
    <x v="20"/>
    <x v="34"/>
    <x v="12"/>
    <n v="647.71100000000001"/>
    <n v="647.71100000000001"/>
    <n v="647.71100000000001"/>
    <n v="0"/>
    <s v="NULL"/>
    <s v="Winterstorm NY MA TX PA SC"/>
    <n v="3949.1976460300002"/>
    <m/>
    <x v="0"/>
  </r>
  <r>
    <x v="46"/>
    <x v="2"/>
    <x v="0"/>
    <x v="41"/>
    <x v="0"/>
    <x v="41"/>
    <x v="42"/>
    <x v="32"/>
    <x v="0"/>
    <x v="0"/>
    <x v="3"/>
    <x v="37"/>
    <x v="20"/>
    <n v="17391.556"/>
    <n v="17391.556"/>
    <n v="17391.556"/>
    <n v="0"/>
    <s v="NULL"/>
    <s v="Winterstorm NY MA TX PA SC"/>
    <n v="3949.1976460300002"/>
    <m/>
    <x v="0"/>
  </r>
  <r>
    <x v="132"/>
    <x v="2"/>
    <x v="0"/>
    <x v="22"/>
    <x v="0"/>
    <x v="119"/>
    <x v="112"/>
    <x v="17"/>
    <x v="0"/>
    <x v="0"/>
    <x v="62"/>
    <x v="59"/>
    <x v="5"/>
    <n v="4299.6324999999997"/>
    <n v="4299.6324999999997"/>
    <n v="4299.6324999999997"/>
    <n v="0"/>
    <s v="NULL"/>
    <s v="Winterstorm NY MA TX PA SC"/>
    <n v="3949.1976460300002"/>
    <m/>
    <x v="0"/>
  </r>
  <r>
    <x v="70"/>
    <x v="2"/>
    <x v="2"/>
    <x v="60"/>
    <x v="0"/>
    <x v="62"/>
    <x v="39"/>
    <x v="8"/>
    <x v="0"/>
    <x v="0"/>
    <x v="34"/>
    <x v="56"/>
    <x v="10"/>
    <n v="771.495"/>
    <n v="771.495"/>
    <n v="771.495"/>
    <n v="0"/>
    <s v="NULL"/>
    <s v="Winterstorm NY MA TX PA SC"/>
    <n v="3949.1976460300002"/>
    <m/>
    <x v="1"/>
  </r>
  <r>
    <x v="312"/>
    <x v="2"/>
    <x v="2"/>
    <x v="219"/>
    <x v="0"/>
    <x v="277"/>
    <x v="21"/>
    <x v="32"/>
    <x v="0"/>
    <x v="0"/>
    <x v="68"/>
    <x v="249"/>
    <x v="13"/>
    <n v="266.22199999999998"/>
    <n v="266.22199999999998"/>
    <n v="266.22199999999998"/>
    <n v="0"/>
    <s v="NULL"/>
    <s v="Winterstorm NY MA TX PA SC"/>
    <n v="3949.1976460300002"/>
    <m/>
    <x v="1"/>
  </r>
  <r>
    <x v="65"/>
    <x v="2"/>
    <x v="0"/>
    <x v="55"/>
    <x v="1"/>
    <x v="57"/>
    <x v="60"/>
    <x v="42"/>
    <x v="0"/>
    <x v="0"/>
    <x v="3"/>
    <x v="44"/>
    <x v="10"/>
    <n v="49536.364500000003"/>
    <n v="49536.364500000003"/>
    <n v="49536.364500000003"/>
    <n v="0"/>
    <s v="NULL"/>
    <s v="Winterstorm NY MA TX PA SC"/>
    <n v="3949.1976460300002"/>
    <m/>
    <x v="0"/>
  </r>
  <r>
    <x v="144"/>
    <x v="2"/>
    <x v="2"/>
    <x v="113"/>
    <x v="0"/>
    <x v="127"/>
    <x v="121"/>
    <x v="85"/>
    <x v="0"/>
    <x v="0"/>
    <x v="67"/>
    <x v="117"/>
    <x v="40"/>
    <n v="1935.2115601"/>
    <n v="1935.2115601"/>
    <n v="1935.2115601"/>
    <n v="0"/>
    <s v="NULL"/>
    <s v="Winterstorm NY MA TX PA SC"/>
    <n v="3949.1976460300002"/>
    <m/>
    <x v="1"/>
  </r>
  <r>
    <x v="307"/>
    <x v="2"/>
    <x v="7"/>
    <x v="215"/>
    <x v="1"/>
    <x v="272"/>
    <x v="215"/>
    <x v="9"/>
    <x v="0"/>
    <x v="0"/>
    <x v="130"/>
    <x v="244"/>
    <x v="35"/>
    <n v="75.124274999999997"/>
    <n v="75.124274999999997"/>
    <n v="75.124274999999997"/>
    <n v="0"/>
    <s v="NULL"/>
    <s v="Winterstorm NY MA TX PA SC"/>
    <n v="3949.1976460300002"/>
    <m/>
    <x v="5"/>
  </r>
  <r>
    <x v="331"/>
    <x v="2"/>
    <x v="0"/>
    <x v="56"/>
    <x v="0"/>
    <x v="295"/>
    <x v="218"/>
    <x v="149"/>
    <x v="0"/>
    <x v="0"/>
    <x v="139"/>
    <x v="265"/>
    <x v="4"/>
    <n v="333.71429999999998"/>
    <n v="333.71429999999998"/>
    <n v="333.71429999999998"/>
    <n v="0"/>
    <s v="NULL"/>
    <s v="Winterstorm NY MA TX PA SC"/>
    <n v="3949.1976460300002"/>
    <m/>
    <x v="0"/>
  </r>
  <r>
    <x v="13"/>
    <x v="2"/>
    <x v="0"/>
    <x v="11"/>
    <x v="0"/>
    <x v="11"/>
    <x v="3"/>
    <x v="9"/>
    <x v="0"/>
    <x v="0"/>
    <x v="7"/>
    <x v="11"/>
    <x v="5"/>
    <n v="14122.126"/>
    <n v="14122.126"/>
    <n v="14122.126"/>
    <n v="0"/>
    <s v="NULL"/>
    <s v="Winterstorm NY MA TX PA SC"/>
    <n v="3949.1976460300002"/>
    <m/>
    <x v="0"/>
  </r>
  <r>
    <x v="64"/>
    <x v="2"/>
    <x v="0"/>
    <x v="19"/>
    <x v="0"/>
    <x v="56"/>
    <x v="59"/>
    <x v="41"/>
    <x v="0"/>
    <x v="0"/>
    <x v="31"/>
    <x v="52"/>
    <x v="5"/>
    <n v="1095.627"/>
    <n v="1095.627"/>
    <n v="1095.627"/>
    <n v="0"/>
    <s v="NULL"/>
    <s v="Winterstorm NY MA TX PA SC"/>
    <n v="3949.1976460300002"/>
    <m/>
    <x v="0"/>
  </r>
  <r>
    <x v="101"/>
    <x v="2"/>
    <x v="3"/>
    <x v="81"/>
    <x v="0"/>
    <x v="92"/>
    <x v="90"/>
    <x v="65"/>
    <x v="0"/>
    <x v="0"/>
    <x v="50"/>
    <x v="85"/>
    <x v="5"/>
    <n v="13099.502"/>
    <n v="13099.502"/>
    <n v="13099.502"/>
    <n v="0"/>
    <s v="NULL"/>
    <s v="Winterstorm NY MA TX PA SC"/>
    <n v="3949.1976460300002"/>
    <m/>
    <x v="2"/>
  </r>
  <r>
    <x v="332"/>
    <x v="2"/>
    <x v="0"/>
    <x v="46"/>
    <x v="0"/>
    <x v="296"/>
    <x v="227"/>
    <x v="125"/>
    <x v="0"/>
    <x v="0"/>
    <x v="140"/>
    <x v="184"/>
    <x v="28"/>
    <n v="25482.1008"/>
    <n v="25482.1008"/>
    <n v="25482.1008"/>
    <n v="0"/>
    <s v="NULL"/>
    <s v="Winterstorm NY MA TX PA SC"/>
    <n v="3949.1976460300002"/>
    <m/>
    <x v="0"/>
  </r>
  <r>
    <x v="100"/>
    <x v="2"/>
    <x v="4"/>
    <x v="80"/>
    <x v="1"/>
    <x v="91"/>
    <x v="89"/>
    <x v="64"/>
    <x v="0"/>
    <x v="0"/>
    <x v="49"/>
    <x v="84"/>
    <x v="23"/>
    <n v="4.4210660800000001"/>
    <n v="4.4210660800000001"/>
    <n v="4.4210660800000001"/>
    <n v="0"/>
    <s v="NULL"/>
    <s v="Winterstorm NY MA TX PA SC"/>
    <n v="3949.1976460300002"/>
    <m/>
    <x v="1"/>
  </r>
  <r>
    <x v="3"/>
    <x v="2"/>
    <x v="0"/>
    <x v="3"/>
    <x v="0"/>
    <x v="3"/>
    <x v="2"/>
    <x v="2"/>
    <x v="0"/>
    <x v="0"/>
    <x v="3"/>
    <x v="3"/>
    <x v="2"/>
    <n v="531.09939999999995"/>
    <n v="531.09939999999995"/>
    <n v="531.09939999999995"/>
    <n v="0"/>
    <s v="NULL"/>
    <s v="Winterstorm NY MA TX PA SC"/>
    <n v="3949.1976460300002"/>
    <m/>
    <x v="0"/>
  </r>
  <r>
    <x v="200"/>
    <x v="2"/>
    <x v="7"/>
    <x v="152"/>
    <x v="1"/>
    <x v="177"/>
    <x v="159"/>
    <x v="34"/>
    <x v="0"/>
    <x v="0"/>
    <x v="63"/>
    <x v="132"/>
    <x v="44"/>
    <n v="31990.642530000001"/>
    <n v="31990.642530000001"/>
    <n v="31990.642530000001"/>
    <n v="0"/>
    <s v="NULL"/>
    <s v="Winterstorm NY MA TX PA SC"/>
    <n v="3949.1976460300002"/>
    <m/>
    <x v="5"/>
  </r>
  <r>
    <x v="47"/>
    <x v="2"/>
    <x v="7"/>
    <x v="42"/>
    <x v="1"/>
    <x v="42"/>
    <x v="43"/>
    <x v="33"/>
    <x v="0"/>
    <x v="0"/>
    <x v="22"/>
    <x v="38"/>
    <x v="21"/>
    <n v="4804.6445999999996"/>
    <n v="4804.6445999999996"/>
    <n v="4804.6445999999996"/>
    <n v="0"/>
    <s v="NULL"/>
    <s v="Winterstorm NY MA TX PA SC"/>
    <n v="3949.1976460300002"/>
    <m/>
    <x v="5"/>
  </r>
  <r>
    <x v="317"/>
    <x v="2"/>
    <x v="3"/>
    <x v="220"/>
    <x v="1"/>
    <x v="282"/>
    <x v="218"/>
    <x v="144"/>
    <x v="0"/>
    <x v="0"/>
    <x v="133"/>
    <x v="254"/>
    <x v="5"/>
    <n v="202669.397"/>
    <n v="202669.397"/>
    <n v="202669.397"/>
    <n v="0"/>
    <s v="NULL"/>
    <s v="Winterstorm NY MA TX PA SC"/>
    <n v="3949.1976460300002"/>
    <m/>
    <x v="2"/>
  </r>
  <r>
    <x v="333"/>
    <x v="2"/>
    <x v="0"/>
    <x v="36"/>
    <x v="0"/>
    <x v="297"/>
    <x v="19"/>
    <x v="1"/>
    <x v="0"/>
    <x v="0"/>
    <x v="141"/>
    <x v="266"/>
    <x v="5"/>
    <n v="17.206"/>
    <n v="17.206"/>
    <n v="17.206"/>
    <n v="0"/>
    <s v="NULL"/>
    <s v="Winterstorm NY MA TX PA SC"/>
    <n v="3949.1976460300002"/>
    <m/>
    <x v="0"/>
  </r>
  <r>
    <x v="318"/>
    <x v="2"/>
    <x v="2"/>
    <x v="221"/>
    <x v="0"/>
    <x v="283"/>
    <x v="51"/>
    <x v="9"/>
    <x v="0"/>
    <x v="0"/>
    <x v="59"/>
    <x v="255"/>
    <x v="13"/>
    <n v="5.5519999999999996"/>
    <n v="5.5519999999999996"/>
    <n v="5.5519999999999996"/>
    <n v="0.49446000000000001"/>
    <s v="NULL"/>
    <s v="Winterstorm NY MA TX PA SC"/>
    <n v="3949.1976460300002"/>
    <m/>
    <x v="1"/>
  </r>
  <r>
    <x v="7"/>
    <x v="2"/>
    <x v="2"/>
    <x v="7"/>
    <x v="1"/>
    <x v="7"/>
    <x v="5"/>
    <x v="5"/>
    <x v="0"/>
    <x v="0"/>
    <x v="5"/>
    <x v="7"/>
    <x v="4"/>
    <n v="95320.685100000002"/>
    <n v="95320.685100000002"/>
    <n v="95320.685100000002"/>
    <n v="0"/>
    <s v="NULL"/>
    <s v="Winterstorm NY MA TX PA SC"/>
    <n v="3949.1976460300002"/>
    <m/>
    <x v="1"/>
  </r>
  <r>
    <x v="74"/>
    <x v="2"/>
    <x v="0"/>
    <x v="63"/>
    <x v="0"/>
    <x v="66"/>
    <x v="68"/>
    <x v="49"/>
    <x v="0"/>
    <x v="0"/>
    <x v="37"/>
    <x v="60"/>
    <x v="5"/>
    <n v="44.296999999999997"/>
    <n v="44.296999999999997"/>
    <n v="44.296999999999997"/>
    <n v="0"/>
    <s v="NULL"/>
    <s v="Winterstorm NY MA TX PA SC"/>
    <n v="3949.1976460300002"/>
    <m/>
    <x v="0"/>
  </r>
  <r>
    <x v="334"/>
    <x v="2"/>
    <x v="7"/>
    <x v="229"/>
    <x v="1"/>
    <x v="298"/>
    <x v="141"/>
    <x v="19"/>
    <x v="0"/>
    <x v="0"/>
    <x v="85"/>
    <x v="156"/>
    <x v="16"/>
    <n v="1933.81575"/>
    <n v="1933.81575"/>
    <n v="1933.81575"/>
    <n v="0"/>
    <s v="NULL"/>
    <s v="Winterstorm NY MA TX PA SC"/>
    <n v="3949.1976460300002"/>
    <m/>
    <x v="5"/>
  </r>
  <r>
    <x v="137"/>
    <x v="2"/>
    <x v="2"/>
    <x v="107"/>
    <x v="0"/>
    <x v="121"/>
    <x v="80"/>
    <x v="9"/>
    <x v="0"/>
    <x v="0"/>
    <x v="59"/>
    <x v="112"/>
    <x v="12"/>
    <n v="1121.9100000000001"/>
    <n v="1121.9100000000001"/>
    <n v="1121.9100000000001"/>
    <n v="0"/>
    <s v="NULL"/>
    <s v="Winterstorm NY MA TX PA SC"/>
    <n v="3949.1976460300002"/>
    <m/>
    <x v="1"/>
  </r>
  <r>
    <x v="48"/>
    <x v="2"/>
    <x v="7"/>
    <x v="43"/>
    <x v="1"/>
    <x v="43"/>
    <x v="44"/>
    <x v="4"/>
    <x v="0"/>
    <x v="0"/>
    <x v="23"/>
    <x v="39"/>
    <x v="22"/>
    <n v="683.46779300000003"/>
    <n v="683.46779300000003"/>
    <n v="683.46779300000003"/>
    <n v="0"/>
    <s v="NULL"/>
    <s v="Winterstorm NY MA TX PA SC"/>
    <n v="3949.1976460300002"/>
    <m/>
    <x v="5"/>
  </r>
  <r>
    <x v="79"/>
    <x v="2"/>
    <x v="3"/>
    <x v="68"/>
    <x v="1"/>
    <x v="71"/>
    <x v="73"/>
    <x v="52"/>
    <x v="0"/>
    <x v="0"/>
    <x v="40"/>
    <x v="65"/>
    <x v="12"/>
    <n v="9217.31"/>
    <n v="9217.31"/>
    <n v="9217.31"/>
    <n v="0"/>
    <s v="NULL"/>
    <s v="Winterstorm NY MA TX PA SC"/>
    <n v="3949.1976460300002"/>
    <m/>
    <x v="2"/>
  </r>
  <r>
    <x v="309"/>
    <x v="2"/>
    <x v="13"/>
    <x v="217"/>
    <x v="1"/>
    <x v="274"/>
    <x v="216"/>
    <x v="1"/>
    <x v="0"/>
    <x v="0"/>
    <x v="3"/>
    <x v="246"/>
    <x v="52"/>
    <n v="2167.6550000000002"/>
    <n v="2167.6550000000002"/>
    <n v="2167.6550000000002"/>
    <n v="0"/>
    <s v="NULL"/>
    <s v="Winterstorm NY MA TX PA SC"/>
    <n v="3949.1976460300002"/>
    <m/>
    <x v="8"/>
  </r>
  <r>
    <x v="86"/>
    <x v="2"/>
    <x v="0"/>
    <x v="23"/>
    <x v="0"/>
    <x v="78"/>
    <x v="78"/>
    <x v="57"/>
    <x v="0"/>
    <x v="0"/>
    <x v="3"/>
    <x v="71"/>
    <x v="11"/>
    <n v="2126.7800000000002"/>
    <n v="2126.7800000000002"/>
    <n v="2126.7800000000002"/>
    <n v="0"/>
    <s v="NULL"/>
    <s v="Winterstorm NY MA TX PA SC"/>
    <n v="3949.1976460300002"/>
    <m/>
    <x v="0"/>
  </r>
  <r>
    <x v="335"/>
    <x v="2"/>
    <x v="13"/>
    <x v="100"/>
    <x v="1"/>
    <x v="299"/>
    <x v="105"/>
    <x v="77"/>
    <x v="0"/>
    <x v="0"/>
    <x v="1"/>
    <x v="267"/>
    <x v="37"/>
    <n v="9927.0071567600007"/>
    <n v="9927.0071567600007"/>
    <n v="9927.0071567600007"/>
    <n v="0"/>
    <s v="NULL"/>
    <s v="Winterstorm NY MA TX PA SC"/>
    <n v="3949.1976460300002"/>
    <m/>
    <x v="8"/>
  </r>
  <r>
    <x v="10"/>
    <x v="2"/>
    <x v="0"/>
    <x v="10"/>
    <x v="1"/>
    <x v="10"/>
    <x v="8"/>
    <x v="8"/>
    <x v="0"/>
    <x v="0"/>
    <x v="3"/>
    <x v="10"/>
    <x v="6"/>
    <n v="29340.367875"/>
    <n v="29340.367875"/>
    <n v="29340.367875"/>
    <n v="0"/>
    <s v="NULL"/>
    <s v="Winterstorm NY MA TX PA SC"/>
    <n v="3949.1976460300002"/>
    <m/>
    <x v="0"/>
  </r>
  <r>
    <x v="310"/>
    <x v="2"/>
    <x v="13"/>
    <x v="218"/>
    <x v="1"/>
    <x v="275"/>
    <x v="217"/>
    <x v="32"/>
    <x v="0"/>
    <x v="0"/>
    <x v="3"/>
    <x v="247"/>
    <x v="53"/>
    <n v="431.48029609999998"/>
    <n v="431.48029609999998"/>
    <n v="431.48029609999998"/>
    <n v="0"/>
    <s v="NULL"/>
    <s v="Winterstorm NY MA TX PA SC"/>
    <n v="3949.1976460300002"/>
    <m/>
    <x v="8"/>
  </r>
  <r>
    <x v="336"/>
    <x v="2"/>
    <x v="3"/>
    <x v="159"/>
    <x v="1"/>
    <x v="300"/>
    <x v="228"/>
    <x v="150"/>
    <x v="0"/>
    <x v="0"/>
    <x v="97"/>
    <x v="268"/>
    <x v="33"/>
    <n v="14005.728254789999"/>
    <n v="14005.728254789999"/>
    <n v="14005.728254789999"/>
    <n v="0"/>
    <s v="NULL"/>
    <s v="Winterstorm NY MA TX PA SC"/>
    <n v="3949.1976460300002"/>
    <m/>
    <x v="2"/>
  </r>
  <r>
    <x v="191"/>
    <x v="0"/>
    <x v="4"/>
    <x v="12"/>
    <x v="0"/>
    <x v="12"/>
    <x v="153"/>
    <x v="3"/>
    <x v="0"/>
    <x v="0"/>
    <x v="4"/>
    <x v="5"/>
    <x v="3"/>
    <n v="130.59257199999999"/>
    <n v="130.59257199999999"/>
    <n v="130.59257199999999"/>
    <n v="0"/>
    <s v="NULL"/>
    <s v="Winterstorm NY TX MA NJ PA"/>
    <n v="4781.60363426"/>
    <m/>
    <x v="1"/>
  </r>
  <r>
    <x v="134"/>
    <x v="0"/>
    <x v="2"/>
    <x v="27"/>
    <x v="0"/>
    <x v="27"/>
    <x v="114"/>
    <x v="3"/>
    <x v="0"/>
    <x v="0"/>
    <x v="4"/>
    <x v="5"/>
    <x v="3"/>
    <n v="32965.540096999997"/>
    <n v="32965.540096999997"/>
    <n v="32965.540096999997"/>
    <n v="0"/>
    <s v="NULL"/>
    <s v="Winterstorm NY TX MA NJ PA"/>
    <n v="4781.60363426"/>
    <m/>
    <x v="1"/>
  </r>
  <r>
    <x v="195"/>
    <x v="0"/>
    <x v="12"/>
    <x v="148"/>
    <x v="1"/>
    <x v="72"/>
    <x v="156"/>
    <x v="106"/>
    <x v="0"/>
    <x v="0"/>
    <x v="5"/>
    <x v="159"/>
    <x v="3"/>
    <n v="11.48"/>
    <n v="11.48"/>
    <n v="11.48"/>
    <n v="0"/>
    <s v="NULL"/>
    <s v="Winterstorm NY TX MA NJ PA"/>
    <n v="4781.60363426"/>
    <m/>
    <x v="4"/>
  </r>
  <r>
    <x v="205"/>
    <x v="0"/>
    <x v="14"/>
    <x v="155"/>
    <x v="0"/>
    <x v="182"/>
    <x v="164"/>
    <x v="113"/>
    <x v="0"/>
    <x v="0"/>
    <x v="96"/>
    <x v="5"/>
    <x v="3"/>
    <n v="0"/>
    <n v="0"/>
    <n v="-886.18"/>
    <n v="0"/>
    <s v="NULL"/>
    <s v="Winterstorm NY TX MA NJ PA"/>
    <n v="4781.60363426"/>
    <m/>
    <x v="4"/>
  </r>
  <r>
    <x v="197"/>
    <x v="0"/>
    <x v="16"/>
    <x v="149"/>
    <x v="1"/>
    <x v="174"/>
    <x v="158"/>
    <x v="108"/>
    <x v="0"/>
    <x v="0"/>
    <x v="5"/>
    <x v="161"/>
    <x v="3"/>
    <n v="3058.05"/>
    <n v="3058.05"/>
    <n v="3058.05"/>
    <n v="0"/>
    <s v="NULL"/>
    <s v="Winterstorm NY TX MA NJ PA"/>
    <n v="4781.60363426"/>
    <m/>
    <x v="4"/>
  </r>
  <r>
    <x v="109"/>
    <x v="0"/>
    <x v="3"/>
    <x v="89"/>
    <x v="1"/>
    <x v="100"/>
    <x v="96"/>
    <x v="36"/>
    <x v="0"/>
    <x v="0"/>
    <x v="25"/>
    <x v="44"/>
    <x v="23"/>
    <n v="35398.604500000001"/>
    <n v="35398.604500000001"/>
    <n v="35398.604500000001"/>
    <n v="0"/>
    <s v="NULL"/>
    <s v="Winterstorm NY TX MA NJ PA"/>
    <n v="4781.60363426"/>
    <m/>
    <x v="2"/>
  </r>
  <r>
    <x v="160"/>
    <x v="0"/>
    <x v="0"/>
    <x v="122"/>
    <x v="0"/>
    <x v="139"/>
    <x v="38"/>
    <x v="29"/>
    <x v="0"/>
    <x v="0"/>
    <x v="72"/>
    <x v="129"/>
    <x v="41"/>
    <n v="30916.817999999999"/>
    <n v="30916.817999999999"/>
    <n v="30916.817999999999"/>
    <n v="0"/>
    <s v="NULL"/>
    <s v="Winterstorm NY TX MA NJ PA"/>
    <n v="4781.60363426"/>
    <m/>
    <x v="0"/>
  </r>
  <r>
    <x v="311"/>
    <x v="0"/>
    <x v="0"/>
    <x v="26"/>
    <x v="0"/>
    <x v="276"/>
    <x v="143"/>
    <x v="9"/>
    <x v="0"/>
    <x v="0"/>
    <x v="7"/>
    <x v="248"/>
    <x v="14"/>
    <n v="40582.952550000002"/>
    <n v="40582.952550000002"/>
    <n v="40582.952550000002"/>
    <n v="0"/>
    <s v="NULL"/>
    <s v="Winterstorm NY TX MA NJ PA"/>
    <n v="4781.60363426"/>
    <m/>
    <x v="0"/>
  </r>
  <r>
    <x v="162"/>
    <x v="0"/>
    <x v="2"/>
    <x v="123"/>
    <x v="1"/>
    <x v="141"/>
    <x v="134"/>
    <x v="92"/>
    <x v="0"/>
    <x v="0"/>
    <x v="5"/>
    <x v="131"/>
    <x v="27"/>
    <n v="6576.6149999999998"/>
    <n v="6576.6149999999998"/>
    <n v="6576.6149999999998"/>
    <n v="0"/>
    <s v="NULL"/>
    <s v="Winterstorm NY TX MA NJ PA"/>
    <n v="4781.60363426"/>
    <m/>
    <x v="1"/>
  </r>
  <r>
    <x v="163"/>
    <x v="0"/>
    <x v="2"/>
    <x v="124"/>
    <x v="0"/>
    <x v="142"/>
    <x v="122"/>
    <x v="93"/>
    <x v="0"/>
    <x v="0"/>
    <x v="74"/>
    <x v="132"/>
    <x v="5"/>
    <n v="8364.8554999999997"/>
    <n v="8364.8554999999997"/>
    <n v="8364.8554999999997"/>
    <n v="0"/>
    <s v="NULL"/>
    <s v="Winterstorm NY TX MA NJ PA"/>
    <n v="4781.60363426"/>
    <m/>
    <x v="1"/>
  </r>
  <r>
    <x v="165"/>
    <x v="0"/>
    <x v="0"/>
    <x v="126"/>
    <x v="0"/>
    <x v="144"/>
    <x v="136"/>
    <x v="94"/>
    <x v="0"/>
    <x v="0"/>
    <x v="75"/>
    <x v="134"/>
    <x v="4"/>
    <n v="119.98050000000001"/>
    <n v="119.98050000000001"/>
    <n v="119.98050000000001"/>
    <n v="0"/>
    <s v="NULL"/>
    <s v="Winterstorm NY TX MA NJ PA"/>
    <n v="4781.60363426"/>
    <m/>
    <x v="0"/>
  </r>
  <r>
    <x v="312"/>
    <x v="0"/>
    <x v="2"/>
    <x v="219"/>
    <x v="0"/>
    <x v="277"/>
    <x v="21"/>
    <x v="32"/>
    <x v="0"/>
    <x v="0"/>
    <x v="68"/>
    <x v="249"/>
    <x v="13"/>
    <n v="476.714"/>
    <n v="476.714"/>
    <n v="476.714"/>
    <n v="0"/>
    <s v="NULL"/>
    <s v="Winterstorm NY TX MA NJ PA"/>
    <n v="4781.60363426"/>
    <m/>
    <x v="1"/>
  </r>
  <r>
    <x v="167"/>
    <x v="0"/>
    <x v="0"/>
    <x v="128"/>
    <x v="1"/>
    <x v="146"/>
    <x v="58"/>
    <x v="8"/>
    <x v="0"/>
    <x v="0"/>
    <x v="53"/>
    <x v="136"/>
    <x v="5"/>
    <n v="128044.01300000001"/>
    <n v="128044.01300000001"/>
    <n v="128044.01300000001"/>
    <n v="0"/>
    <s v="NULL"/>
    <s v="Winterstorm NY TX MA NJ PA"/>
    <n v="4781.60363426"/>
    <m/>
    <x v="0"/>
  </r>
  <r>
    <x v="96"/>
    <x v="0"/>
    <x v="2"/>
    <x v="78"/>
    <x v="1"/>
    <x v="87"/>
    <x v="86"/>
    <x v="61"/>
    <x v="0"/>
    <x v="0"/>
    <x v="5"/>
    <x v="80"/>
    <x v="10"/>
    <n v="6004.6575000000003"/>
    <n v="6004.6575000000003"/>
    <n v="6004.6575000000003"/>
    <n v="0"/>
    <s v="NULL"/>
    <s v="Winterstorm NY TX MA NJ PA"/>
    <n v="4781.60363426"/>
    <m/>
    <x v="1"/>
  </r>
  <r>
    <x v="131"/>
    <x v="0"/>
    <x v="0"/>
    <x v="104"/>
    <x v="1"/>
    <x v="118"/>
    <x v="45"/>
    <x v="1"/>
    <x v="0"/>
    <x v="0"/>
    <x v="1"/>
    <x v="109"/>
    <x v="16"/>
    <n v="246542.77499999999"/>
    <n v="246542.77499999999"/>
    <n v="246542.77499999999"/>
    <n v="0"/>
    <s v="NULL"/>
    <s v="Winterstorm NY TX MA NJ PA"/>
    <n v="4781.60363426"/>
    <m/>
    <x v="0"/>
  </r>
  <r>
    <x v="331"/>
    <x v="0"/>
    <x v="0"/>
    <x v="56"/>
    <x v="0"/>
    <x v="295"/>
    <x v="218"/>
    <x v="149"/>
    <x v="0"/>
    <x v="0"/>
    <x v="139"/>
    <x v="265"/>
    <x v="4"/>
    <n v="1705.8518999999999"/>
    <n v="1705.8518999999999"/>
    <n v="1705.8518999999999"/>
    <n v="0"/>
    <s v="NULL"/>
    <s v="Winterstorm NY TX MA NJ PA"/>
    <n v="4781.60363426"/>
    <m/>
    <x v="0"/>
  </r>
  <r>
    <x v="201"/>
    <x v="0"/>
    <x v="0"/>
    <x v="19"/>
    <x v="0"/>
    <x v="178"/>
    <x v="160"/>
    <x v="109"/>
    <x v="0"/>
    <x v="0"/>
    <x v="94"/>
    <x v="164"/>
    <x v="5"/>
    <n v="6928.7385000000004"/>
    <n v="6928.7385000000004"/>
    <n v="6928.7385000000004"/>
    <n v="0"/>
    <s v="NULL"/>
    <s v="Winterstorm NY TX MA NJ PA"/>
    <n v="4781.60363426"/>
    <m/>
    <x v="0"/>
  </r>
  <r>
    <x v="97"/>
    <x v="0"/>
    <x v="0"/>
    <x v="44"/>
    <x v="0"/>
    <x v="88"/>
    <x v="87"/>
    <x v="4"/>
    <x v="0"/>
    <x v="0"/>
    <x v="3"/>
    <x v="81"/>
    <x v="23"/>
    <n v="79.032499999999999"/>
    <n v="79.032499999999999"/>
    <n v="79.032499999999999"/>
    <n v="0"/>
    <s v="NULL"/>
    <s v="Winterstorm NY TX MA NJ PA"/>
    <n v="4781.60363426"/>
    <m/>
    <x v="0"/>
  </r>
  <r>
    <x v="220"/>
    <x v="0"/>
    <x v="2"/>
    <x v="164"/>
    <x v="0"/>
    <x v="196"/>
    <x v="171"/>
    <x v="116"/>
    <x v="0"/>
    <x v="0"/>
    <x v="99"/>
    <x v="179"/>
    <x v="47"/>
    <n v="3987.6734590000001"/>
    <n v="3987.6734590000001"/>
    <n v="3987.6734590000001"/>
    <n v="0"/>
    <s v="NULL"/>
    <s v="Winterstorm NY TX MA NJ PA"/>
    <n v="4781.60363426"/>
    <m/>
    <x v="1"/>
  </r>
  <r>
    <x v="211"/>
    <x v="0"/>
    <x v="0"/>
    <x v="35"/>
    <x v="0"/>
    <x v="188"/>
    <x v="36"/>
    <x v="8"/>
    <x v="0"/>
    <x v="0"/>
    <x v="14"/>
    <x v="173"/>
    <x v="0"/>
    <n v="64.538250000000005"/>
    <n v="64.538250000000005"/>
    <n v="64.538250000000005"/>
    <n v="0"/>
    <s v="NULL"/>
    <s v="Winterstorm NY TX MA NJ PA"/>
    <n v="4781.60363426"/>
    <m/>
    <x v="0"/>
  </r>
  <r>
    <x v="332"/>
    <x v="0"/>
    <x v="0"/>
    <x v="46"/>
    <x v="0"/>
    <x v="296"/>
    <x v="227"/>
    <x v="125"/>
    <x v="0"/>
    <x v="0"/>
    <x v="140"/>
    <x v="184"/>
    <x v="28"/>
    <n v="34928.782200000001"/>
    <n v="34928.782200000001"/>
    <n v="34928.782200000001"/>
    <n v="0"/>
    <s v="NULL"/>
    <s v="Winterstorm NY TX MA NJ PA"/>
    <n v="4781.60363426"/>
    <m/>
    <x v="0"/>
  </r>
  <r>
    <x v="200"/>
    <x v="0"/>
    <x v="7"/>
    <x v="152"/>
    <x v="1"/>
    <x v="177"/>
    <x v="159"/>
    <x v="34"/>
    <x v="0"/>
    <x v="0"/>
    <x v="63"/>
    <x v="132"/>
    <x v="44"/>
    <n v="48849.052559999996"/>
    <n v="48849.052559999996"/>
    <n v="48849.052559999996"/>
    <n v="0"/>
    <s v="NULL"/>
    <s v="Winterstorm NY TX MA NJ PA"/>
    <n v="4781.60363426"/>
    <m/>
    <x v="5"/>
  </r>
  <r>
    <x v="175"/>
    <x v="0"/>
    <x v="0"/>
    <x v="132"/>
    <x v="1"/>
    <x v="154"/>
    <x v="141"/>
    <x v="45"/>
    <x v="0"/>
    <x v="0"/>
    <x v="27"/>
    <x v="143"/>
    <x v="10"/>
    <n v="829631.73450000002"/>
    <n v="829631.73450000002"/>
    <n v="829631.73450000002"/>
    <n v="0"/>
    <s v="NULL"/>
    <s v="Winterstorm NY TX MA NJ PA"/>
    <n v="4781.60363426"/>
    <m/>
    <x v="0"/>
  </r>
  <r>
    <x v="176"/>
    <x v="0"/>
    <x v="0"/>
    <x v="133"/>
    <x v="1"/>
    <x v="155"/>
    <x v="142"/>
    <x v="26"/>
    <x v="0"/>
    <x v="0"/>
    <x v="3"/>
    <x v="62"/>
    <x v="28"/>
    <n v="119176.72319999999"/>
    <n v="119176.72319999999"/>
    <n v="119176.72319999999"/>
    <n v="0"/>
    <s v="NULL"/>
    <s v="Winterstorm NY TX MA NJ PA"/>
    <n v="4781.60363426"/>
    <m/>
    <x v="0"/>
  </r>
  <r>
    <x v="317"/>
    <x v="0"/>
    <x v="3"/>
    <x v="220"/>
    <x v="1"/>
    <x v="282"/>
    <x v="218"/>
    <x v="144"/>
    <x v="0"/>
    <x v="0"/>
    <x v="133"/>
    <x v="254"/>
    <x v="5"/>
    <n v="293547.91450000001"/>
    <n v="293547.91450000001"/>
    <n v="293547.91450000001"/>
    <n v="0"/>
    <s v="NULL"/>
    <s v="Winterstorm NY TX MA NJ PA"/>
    <n v="4781.60363426"/>
    <m/>
    <x v="2"/>
  </r>
  <r>
    <x v="178"/>
    <x v="0"/>
    <x v="0"/>
    <x v="36"/>
    <x v="0"/>
    <x v="157"/>
    <x v="58"/>
    <x v="8"/>
    <x v="0"/>
    <x v="0"/>
    <x v="83"/>
    <x v="145"/>
    <x v="5"/>
    <n v="3.347"/>
    <n v="3.347"/>
    <n v="3.347"/>
    <n v="0"/>
    <s v="NULL"/>
    <s v="Winterstorm NY TX MA NJ PA"/>
    <n v="4781.60363426"/>
    <m/>
    <x v="0"/>
  </r>
  <r>
    <x v="179"/>
    <x v="0"/>
    <x v="0"/>
    <x v="47"/>
    <x v="0"/>
    <x v="158"/>
    <x v="144"/>
    <x v="95"/>
    <x v="0"/>
    <x v="0"/>
    <x v="3"/>
    <x v="146"/>
    <x v="5"/>
    <n v="71.521000000000001"/>
    <n v="71.521000000000001"/>
    <n v="71.521000000000001"/>
    <n v="0"/>
    <s v="NULL"/>
    <s v="Winterstorm NY TX MA NJ PA"/>
    <n v="4781.60363426"/>
    <m/>
    <x v="0"/>
  </r>
  <r>
    <x v="318"/>
    <x v="0"/>
    <x v="2"/>
    <x v="221"/>
    <x v="0"/>
    <x v="283"/>
    <x v="51"/>
    <x v="9"/>
    <x v="0"/>
    <x v="0"/>
    <x v="59"/>
    <x v="255"/>
    <x v="13"/>
    <n v="34.012"/>
    <n v="34.012"/>
    <n v="34.012"/>
    <n v="3.9447776999999999"/>
    <s v="NULL"/>
    <s v="Winterstorm NY TX MA NJ PA"/>
    <n v="4781.60363426"/>
    <m/>
    <x v="1"/>
  </r>
  <r>
    <x v="180"/>
    <x v="0"/>
    <x v="2"/>
    <x v="135"/>
    <x v="0"/>
    <x v="159"/>
    <x v="141"/>
    <x v="34"/>
    <x v="0"/>
    <x v="0"/>
    <x v="84"/>
    <x v="147"/>
    <x v="12"/>
    <n v="17.236000000000001"/>
    <n v="17.236000000000001"/>
    <n v="17.236000000000001"/>
    <n v="0"/>
    <s v="NULL"/>
    <s v="Winterstorm NY TX MA NJ PA"/>
    <n v="4781.60363426"/>
    <m/>
    <x v="1"/>
  </r>
  <r>
    <x v="181"/>
    <x v="0"/>
    <x v="7"/>
    <x v="136"/>
    <x v="1"/>
    <x v="160"/>
    <x v="65"/>
    <x v="19"/>
    <x v="0"/>
    <x v="0"/>
    <x v="85"/>
    <x v="148"/>
    <x v="12"/>
    <n v="22022.592000000001"/>
    <n v="22022.592000000001"/>
    <n v="22022.592000000001"/>
    <n v="0"/>
    <s v="NULL"/>
    <s v="Winterstorm NY TX MA NJ PA"/>
    <n v="4781.60363426"/>
    <m/>
    <x v="5"/>
  </r>
  <r>
    <x v="182"/>
    <x v="0"/>
    <x v="7"/>
    <x v="137"/>
    <x v="1"/>
    <x v="161"/>
    <x v="145"/>
    <x v="8"/>
    <x v="0"/>
    <x v="0"/>
    <x v="53"/>
    <x v="149"/>
    <x v="34"/>
    <n v="18980.652075000002"/>
    <n v="18980.652075000002"/>
    <n v="18980.652075000002"/>
    <n v="0"/>
    <s v="NULL"/>
    <s v="Winterstorm NY TX MA NJ PA"/>
    <n v="4781.60363426"/>
    <m/>
    <x v="5"/>
  </r>
  <r>
    <x v="207"/>
    <x v="0"/>
    <x v="0"/>
    <x v="6"/>
    <x v="0"/>
    <x v="184"/>
    <x v="165"/>
    <x v="29"/>
    <x v="0"/>
    <x v="0"/>
    <x v="3"/>
    <x v="169"/>
    <x v="4"/>
    <n v="121.6602"/>
    <n v="121.6602"/>
    <n v="121.6602"/>
    <n v="0"/>
    <s v="NULL"/>
    <s v="Winterstorm NY TX MA NJ PA"/>
    <n v="4781.60363426"/>
    <m/>
    <x v="0"/>
  </r>
  <r>
    <x v="334"/>
    <x v="0"/>
    <x v="7"/>
    <x v="229"/>
    <x v="1"/>
    <x v="298"/>
    <x v="141"/>
    <x v="19"/>
    <x v="0"/>
    <x v="0"/>
    <x v="85"/>
    <x v="156"/>
    <x v="16"/>
    <n v="4569.1987499999996"/>
    <n v="4569.1987499999996"/>
    <n v="4569.1987499999996"/>
    <n v="0"/>
    <s v="NULL"/>
    <s v="Winterstorm NY TX MA NJ PA"/>
    <n v="4781.60363426"/>
    <m/>
    <x v="5"/>
  </r>
  <r>
    <x v="106"/>
    <x v="0"/>
    <x v="13"/>
    <x v="86"/>
    <x v="1"/>
    <x v="97"/>
    <x v="94"/>
    <x v="69"/>
    <x v="0"/>
    <x v="0"/>
    <x v="3"/>
    <x v="89"/>
    <x v="11"/>
    <n v="1719.8624"/>
    <n v="1719.8624"/>
    <n v="1719.8624"/>
    <n v="0"/>
    <s v="NULL"/>
    <s v="Winterstorm NY TX MA NJ PA"/>
    <n v="4781.60363426"/>
    <m/>
    <x v="8"/>
  </r>
  <r>
    <x v="337"/>
    <x v="0"/>
    <x v="0"/>
    <x v="230"/>
    <x v="0"/>
    <x v="301"/>
    <x v="229"/>
    <x v="151"/>
    <x v="0"/>
    <x v="0"/>
    <x v="3"/>
    <x v="269"/>
    <x v="10"/>
    <n v="3.702"/>
    <n v="3.702"/>
    <n v="3.702"/>
    <n v="0"/>
    <s v="NULL"/>
    <s v="Winterstorm NY TX MA NJ PA"/>
    <n v="4781.60363426"/>
    <m/>
    <x v="0"/>
  </r>
  <r>
    <x v="148"/>
    <x v="0"/>
    <x v="0"/>
    <x v="23"/>
    <x v="0"/>
    <x v="131"/>
    <x v="51"/>
    <x v="45"/>
    <x v="0"/>
    <x v="0"/>
    <x v="3"/>
    <x v="121"/>
    <x v="11"/>
    <n v="26359.0216"/>
    <n v="26359.0216"/>
    <n v="26359.0216"/>
    <n v="0"/>
    <s v="NULL"/>
    <s v="Winterstorm NY TX MA NJ PA"/>
    <n v="4781.60363426"/>
    <m/>
    <x v="0"/>
  </r>
  <r>
    <x v="335"/>
    <x v="0"/>
    <x v="13"/>
    <x v="100"/>
    <x v="1"/>
    <x v="299"/>
    <x v="105"/>
    <x v="77"/>
    <x v="0"/>
    <x v="0"/>
    <x v="1"/>
    <x v="267"/>
    <x v="37"/>
    <n v="14259.71770189"/>
    <n v="14259.71770189"/>
    <n v="14259.71770189"/>
    <n v="0"/>
    <s v="NULL"/>
    <s v="Winterstorm NY TX MA NJ PA"/>
    <n v="4781.60363426"/>
    <m/>
    <x v="8"/>
  </r>
  <r>
    <x v="1"/>
    <x v="1"/>
    <x v="0"/>
    <x v="1"/>
    <x v="1"/>
    <x v="1"/>
    <x v="1"/>
    <x v="1"/>
    <x v="0"/>
    <x v="0"/>
    <x v="1"/>
    <x v="1"/>
    <x v="1"/>
    <n v="37093.621050000002"/>
    <n v="37093.621050000002"/>
    <n v="37093.621050000002"/>
    <n v="0"/>
    <s v="NULL"/>
    <s v="Winterstorm NY TX MA CT PA"/>
    <n v="3280.0940773799998"/>
    <m/>
    <x v="0"/>
  </r>
  <r>
    <x v="60"/>
    <x v="1"/>
    <x v="0"/>
    <x v="52"/>
    <x v="0"/>
    <x v="52"/>
    <x v="55"/>
    <x v="30"/>
    <x v="0"/>
    <x v="0"/>
    <x v="28"/>
    <x v="48"/>
    <x v="2"/>
    <n v="449.05180000000001"/>
    <n v="449.05180000000001"/>
    <n v="449.05180000000001"/>
    <n v="0"/>
    <s v="NULL"/>
    <s v="Winterstorm NY TX MA CT PA"/>
    <n v="3280.0940773799998"/>
    <m/>
    <x v="0"/>
  </r>
  <r>
    <x v="54"/>
    <x v="1"/>
    <x v="0"/>
    <x v="48"/>
    <x v="1"/>
    <x v="48"/>
    <x v="49"/>
    <x v="36"/>
    <x v="0"/>
    <x v="0"/>
    <x v="25"/>
    <x v="44"/>
    <x v="12"/>
    <n v="104808.458"/>
    <n v="104808.458"/>
    <n v="104808.458"/>
    <n v="0"/>
    <s v="NULL"/>
    <s v="Winterstorm NY TX MA CT PA"/>
    <n v="3280.0940773799998"/>
    <m/>
    <x v="0"/>
  </r>
  <r>
    <x v="107"/>
    <x v="1"/>
    <x v="0"/>
    <x v="87"/>
    <x v="0"/>
    <x v="98"/>
    <x v="95"/>
    <x v="70"/>
    <x v="0"/>
    <x v="0"/>
    <x v="54"/>
    <x v="90"/>
    <x v="36"/>
    <n v="25.078499999999998"/>
    <n v="25.078499999999998"/>
    <n v="25.078499999999998"/>
    <n v="0"/>
    <s v="NULL"/>
    <s v="Winterstorm NY TX MA CT PA"/>
    <n v="3280.0940773799998"/>
    <m/>
    <x v="0"/>
  </r>
  <r>
    <x v="95"/>
    <x v="1"/>
    <x v="0"/>
    <x v="77"/>
    <x v="0"/>
    <x v="86"/>
    <x v="3"/>
    <x v="8"/>
    <x v="0"/>
    <x v="0"/>
    <x v="14"/>
    <x v="79"/>
    <x v="12"/>
    <n v="352.012"/>
    <n v="352.012"/>
    <n v="352.012"/>
    <n v="0"/>
    <s v="NULL"/>
    <s v="Winterstorm NY TX MA CT PA"/>
    <n v="3280.0940773799998"/>
    <m/>
    <x v="0"/>
  </r>
  <r>
    <x v="270"/>
    <x v="1"/>
    <x v="0"/>
    <x v="168"/>
    <x v="0"/>
    <x v="239"/>
    <x v="80"/>
    <x v="9"/>
    <x v="0"/>
    <x v="0"/>
    <x v="59"/>
    <x v="214"/>
    <x v="12"/>
    <n v="4377.3789999999999"/>
    <n v="4377.3789999999999"/>
    <n v="4377.3789999999999"/>
    <n v="0"/>
    <s v="NULL"/>
    <s v="Winterstorm NY TX MA CT PA"/>
    <n v="3280.0940773799998"/>
    <m/>
    <x v="0"/>
  </r>
  <r>
    <x v="272"/>
    <x v="1"/>
    <x v="0"/>
    <x v="169"/>
    <x v="0"/>
    <x v="241"/>
    <x v="197"/>
    <x v="133"/>
    <x v="0"/>
    <x v="0"/>
    <x v="119"/>
    <x v="216"/>
    <x v="16"/>
    <n v="303.42525000000001"/>
    <n v="303.42525000000001"/>
    <n v="303.42525000000001"/>
    <n v="0"/>
    <s v="NULL"/>
    <s v="Winterstorm NY TX MA CT PA"/>
    <n v="3280.0940773799998"/>
    <m/>
    <x v="0"/>
  </r>
  <r>
    <x v="92"/>
    <x v="1"/>
    <x v="0"/>
    <x v="29"/>
    <x v="0"/>
    <x v="83"/>
    <x v="84"/>
    <x v="32"/>
    <x v="0"/>
    <x v="0"/>
    <x v="46"/>
    <x v="76"/>
    <x v="31"/>
    <n v="18398.2634"/>
    <n v="18398.2634"/>
    <n v="18398.2634"/>
    <n v="0"/>
    <s v="NULL"/>
    <s v="Winterstorm NY TX MA CT PA"/>
    <n v="3280.0940773799998"/>
    <m/>
    <x v="0"/>
  </r>
  <r>
    <x v="113"/>
    <x v="1"/>
    <x v="0"/>
    <x v="92"/>
    <x v="0"/>
    <x v="103"/>
    <x v="8"/>
    <x v="72"/>
    <x v="0"/>
    <x v="0"/>
    <x v="56"/>
    <x v="94"/>
    <x v="10"/>
    <n v="9522.9375"/>
    <n v="9522.9375"/>
    <n v="9522.9375"/>
    <n v="0"/>
    <s v="NULL"/>
    <s v="Winterstorm NY TX MA CT PA"/>
    <n v="3280.0940773799998"/>
    <m/>
    <x v="0"/>
  </r>
  <r>
    <x v="199"/>
    <x v="1"/>
    <x v="0"/>
    <x v="151"/>
    <x v="1"/>
    <x v="176"/>
    <x v="19"/>
    <x v="46"/>
    <x v="0"/>
    <x v="0"/>
    <x v="93"/>
    <x v="163"/>
    <x v="9"/>
    <n v="24035.107499999998"/>
    <n v="24035.107499999998"/>
    <n v="24035.107499999998"/>
    <n v="0"/>
    <s v="NULL"/>
    <s v="Winterstorm NY TX MA CT PA"/>
    <n v="3280.0940773799998"/>
    <m/>
    <x v="0"/>
  </r>
  <r>
    <x v="279"/>
    <x v="1"/>
    <x v="2"/>
    <x v="197"/>
    <x v="1"/>
    <x v="248"/>
    <x v="201"/>
    <x v="29"/>
    <x v="0"/>
    <x v="0"/>
    <x v="123"/>
    <x v="223"/>
    <x v="50"/>
    <n v="13229.623"/>
    <n v="13229.623"/>
    <n v="13229.623"/>
    <n v="0"/>
    <s v="NULL"/>
    <s v="Winterstorm NY TX MA CT PA"/>
    <n v="3280.0940773799998"/>
    <m/>
    <x v="1"/>
  </r>
  <r>
    <x v="139"/>
    <x v="1"/>
    <x v="0"/>
    <x v="108"/>
    <x v="0"/>
    <x v="122"/>
    <x v="58"/>
    <x v="9"/>
    <x v="0"/>
    <x v="0"/>
    <x v="64"/>
    <x v="113"/>
    <x v="23"/>
    <n v="124.99575"/>
    <n v="124.99575"/>
    <n v="124.99575"/>
    <n v="0"/>
    <s v="NULL"/>
    <s v="Winterstorm NY TX MA CT PA"/>
    <n v="3280.0940773799998"/>
    <m/>
    <x v="0"/>
  </r>
  <r>
    <x v="215"/>
    <x v="1"/>
    <x v="2"/>
    <x v="60"/>
    <x v="0"/>
    <x v="192"/>
    <x v="169"/>
    <x v="9"/>
    <x v="0"/>
    <x v="0"/>
    <x v="7"/>
    <x v="176"/>
    <x v="27"/>
    <n v="511.1"/>
    <n v="511.1"/>
    <n v="511.1"/>
    <n v="0"/>
    <s v="NULL"/>
    <s v="Winterstorm NY TX MA CT PA"/>
    <n v="3280.0940773799998"/>
    <m/>
    <x v="1"/>
  </r>
  <r>
    <x v="280"/>
    <x v="1"/>
    <x v="0"/>
    <x v="198"/>
    <x v="1"/>
    <x v="249"/>
    <x v="47"/>
    <x v="19"/>
    <x v="0"/>
    <x v="0"/>
    <x v="85"/>
    <x v="224"/>
    <x v="33"/>
    <n v="88414.165649999995"/>
    <n v="88414.165649999995"/>
    <n v="88414.165649999995"/>
    <n v="0"/>
    <s v="NULL"/>
    <s v="Winterstorm NY TX MA CT PA"/>
    <n v="3280.0940773799998"/>
    <m/>
    <x v="0"/>
  </r>
  <r>
    <x v="281"/>
    <x v="1"/>
    <x v="0"/>
    <x v="199"/>
    <x v="1"/>
    <x v="250"/>
    <x v="112"/>
    <x v="32"/>
    <x v="0"/>
    <x v="0"/>
    <x v="124"/>
    <x v="225"/>
    <x v="10"/>
    <n v="352422.34950000001"/>
    <n v="352422.34950000001"/>
    <n v="352422.34950000001"/>
    <n v="0"/>
    <s v="NULL"/>
    <s v="Winterstorm NY TX MA CT PA"/>
    <n v="3280.0940773799998"/>
    <m/>
    <x v="0"/>
  </r>
  <r>
    <x v="96"/>
    <x v="1"/>
    <x v="2"/>
    <x v="78"/>
    <x v="1"/>
    <x v="87"/>
    <x v="86"/>
    <x v="61"/>
    <x v="0"/>
    <x v="0"/>
    <x v="5"/>
    <x v="80"/>
    <x v="10"/>
    <n v="4524.1260000000002"/>
    <n v="4524.1260000000002"/>
    <n v="4524.1260000000002"/>
    <n v="0"/>
    <s v="NULL"/>
    <s v="Winterstorm NY TX MA CT PA"/>
    <n v="3280.0940773799998"/>
    <m/>
    <x v="1"/>
  </r>
  <r>
    <x v="131"/>
    <x v="1"/>
    <x v="0"/>
    <x v="104"/>
    <x v="1"/>
    <x v="118"/>
    <x v="45"/>
    <x v="1"/>
    <x v="0"/>
    <x v="0"/>
    <x v="1"/>
    <x v="109"/>
    <x v="16"/>
    <n v="70140.524999999994"/>
    <n v="70140.524999999994"/>
    <n v="70140.524999999994"/>
    <n v="0"/>
    <s v="NULL"/>
    <s v="Winterstorm NY TX MA CT PA"/>
    <n v="3280.0940773799998"/>
    <m/>
    <x v="0"/>
  </r>
  <r>
    <x v="331"/>
    <x v="1"/>
    <x v="0"/>
    <x v="56"/>
    <x v="0"/>
    <x v="295"/>
    <x v="218"/>
    <x v="149"/>
    <x v="0"/>
    <x v="0"/>
    <x v="139"/>
    <x v="265"/>
    <x v="4"/>
    <n v="898.06859999999995"/>
    <n v="898.06859999999995"/>
    <n v="898.06859999999995"/>
    <n v="0"/>
    <s v="NULL"/>
    <s v="Winterstorm NY TX MA CT PA"/>
    <n v="3280.0940773799998"/>
    <m/>
    <x v="0"/>
  </r>
  <r>
    <x v="201"/>
    <x v="1"/>
    <x v="0"/>
    <x v="19"/>
    <x v="0"/>
    <x v="178"/>
    <x v="160"/>
    <x v="109"/>
    <x v="0"/>
    <x v="0"/>
    <x v="94"/>
    <x v="164"/>
    <x v="5"/>
    <n v="1868.6054999999999"/>
    <n v="1868.6054999999999"/>
    <n v="1868.6054999999999"/>
    <n v="0"/>
    <s v="NULL"/>
    <s v="Winterstorm NY TX MA CT PA"/>
    <n v="3280.0940773799998"/>
    <m/>
    <x v="0"/>
  </r>
  <r>
    <x v="97"/>
    <x v="1"/>
    <x v="0"/>
    <x v="44"/>
    <x v="0"/>
    <x v="88"/>
    <x v="87"/>
    <x v="4"/>
    <x v="0"/>
    <x v="0"/>
    <x v="3"/>
    <x v="81"/>
    <x v="23"/>
    <n v="65.3035"/>
    <n v="65.3035"/>
    <n v="65.3035"/>
    <n v="0"/>
    <s v="NULL"/>
    <s v="Winterstorm NY TX MA CT PA"/>
    <n v="3280.0940773799998"/>
    <m/>
    <x v="0"/>
  </r>
  <r>
    <x v="220"/>
    <x v="1"/>
    <x v="2"/>
    <x v="164"/>
    <x v="0"/>
    <x v="196"/>
    <x v="171"/>
    <x v="116"/>
    <x v="0"/>
    <x v="0"/>
    <x v="99"/>
    <x v="179"/>
    <x v="47"/>
    <n v="3266.429572"/>
    <n v="3266.429572"/>
    <n v="3266.429572"/>
    <n v="0"/>
    <s v="NULL"/>
    <s v="Winterstorm NY TX MA CT PA"/>
    <n v="3280.0940773799998"/>
    <m/>
    <x v="1"/>
  </r>
  <r>
    <x v="211"/>
    <x v="1"/>
    <x v="0"/>
    <x v="35"/>
    <x v="0"/>
    <x v="188"/>
    <x v="36"/>
    <x v="8"/>
    <x v="0"/>
    <x v="0"/>
    <x v="14"/>
    <x v="173"/>
    <x v="0"/>
    <n v="18.133150000000001"/>
    <n v="18.133150000000001"/>
    <n v="18.133150000000001"/>
    <n v="0"/>
    <s v="NULL"/>
    <s v="Winterstorm NY TX MA CT PA"/>
    <n v="3280.0940773799998"/>
    <m/>
    <x v="0"/>
  </r>
  <r>
    <x v="332"/>
    <x v="1"/>
    <x v="0"/>
    <x v="46"/>
    <x v="0"/>
    <x v="296"/>
    <x v="227"/>
    <x v="125"/>
    <x v="0"/>
    <x v="0"/>
    <x v="140"/>
    <x v="184"/>
    <x v="28"/>
    <n v="20268"/>
    <n v="20268"/>
    <n v="20268"/>
    <n v="0"/>
    <s v="NULL"/>
    <s v="Winterstorm NY TX MA CT PA"/>
    <n v="3280.0940773799998"/>
    <m/>
    <x v="0"/>
  </r>
  <r>
    <x v="143"/>
    <x v="1"/>
    <x v="8"/>
    <x v="112"/>
    <x v="1"/>
    <x v="126"/>
    <x v="120"/>
    <x v="84"/>
    <x v="0"/>
    <x v="0"/>
    <x v="66"/>
    <x v="116"/>
    <x v="21"/>
    <n v="5260.4904823400002"/>
    <n v="5260.4904823400002"/>
    <n v="5260.4904823400002"/>
    <n v="0"/>
    <s v="NULL"/>
    <s v="Winterstorm NY TX MA CT PA"/>
    <n v="3280.0940773799998"/>
    <m/>
    <x v="6"/>
  </r>
  <r>
    <x v="284"/>
    <x v="1"/>
    <x v="0"/>
    <x v="175"/>
    <x v="0"/>
    <x v="253"/>
    <x v="144"/>
    <x v="95"/>
    <x v="0"/>
    <x v="0"/>
    <x v="3"/>
    <x v="228"/>
    <x v="5"/>
    <n v="1024.8320000000001"/>
    <n v="1024.8320000000001"/>
    <n v="1024.8320000000001"/>
    <n v="0"/>
    <s v="NULL"/>
    <s v="Winterstorm NY TX MA CT PA"/>
    <n v="3280.0940773799998"/>
    <m/>
    <x v="0"/>
  </r>
  <r>
    <x v="207"/>
    <x v="1"/>
    <x v="0"/>
    <x v="6"/>
    <x v="0"/>
    <x v="184"/>
    <x v="165"/>
    <x v="29"/>
    <x v="0"/>
    <x v="0"/>
    <x v="3"/>
    <x v="169"/>
    <x v="4"/>
    <n v="25.134"/>
    <n v="25.134"/>
    <n v="25.134"/>
    <n v="0"/>
    <s v="NULL"/>
    <s v="Winterstorm NY TX MA CT PA"/>
    <n v="3280.0940773799998"/>
    <m/>
    <x v="0"/>
  </r>
  <r>
    <x v="334"/>
    <x v="1"/>
    <x v="7"/>
    <x v="229"/>
    <x v="1"/>
    <x v="298"/>
    <x v="141"/>
    <x v="19"/>
    <x v="0"/>
    <x v="0"/>
    <x v="85"/>
    <x v="156"/>
    <x v="16"/>
    <n v="2841.4994999999999"/>
    <n v="2841.4994999999999"/>
    <n v="2841.4994999999999"/>
    <n v="0"/>
    <s v="NULL"/>
    <s v="Winterstorm NY TX MA CT PA"/>
    <n v="3280.0940773799998"/>
    <m/>
    <x v="5"/>
  </r>
  <r>
    <x v="106"/>
    <x v="1"/>
    <x v="13"/>
    <x v="86"/>
    <x v="1"/>
    <x v="97"/>
    <x v="94"/>
    <x v="69"/>
    <x v="0"/>
    <x v="0"/>
    <x v="3"/>
    <x v="89"/>
    <x v="11"/>
    <n v="2304.1604000000002"/>
    <n v="2304.1604000000002"/>
    <n v="2304.1604000000002"/>
    <n v="0"/>
    <s v="NULL"/>
    <s v="Winterstorm NY TX MA CT PA"/>
    <n v="3280.0940773799998"/>
    <m/>
    <x v="8"/>
  </r>
  <r>
    <x v="51"/>
    <x v="1"/>
    <x v="0"/>
    <x v="45"/>
    <x v="0"/>
    <x v="45"/>
    <x v="47"/>
    <x v="30"/>
    <x v="0"/>
    <x v="0"/>
    <x v="3"/>
    <x v="41"/>
    <x v="16"/>
    <n v="29.954249999999998"/>
    <n v="29.954249999999998"/>
    <n v="29.954249999999998"/>
    <n v="0"/>
    <s v="NULL"/>
    <s v="Winterstorm NY TX MA CT PA"/>
    <n v="3280.0940773799998"/>
    <m/>
    <x v="0"/>
  </r>
  <r>
    <x v="17"/>
    <x v="1"/>
    <x v="0"/>
    <x v="15"/>
    <x v="1"/>
    <x v="15"/>
    <x v="14"/>
    <x v="12"/>
    <x v="0"/>
    <x v="0"/>
    <x v="3"/>
    <x v="13"/>
    <x v="8"/>
    <n v="50181.336256000002"/>
    <n v="50181.336256000002"/>
    <n v="50181.336256000002"/>
    <n v="0"/>
    <s v="NULL"/>
    <s v="Winterstorm NY TX MA CT PA"/>
    <n v="3280.0940773799998"/>
    <m/>
    <x v="0"/>
  </r>
  <r>
    <x v="25"/>
    <x v="1"/>
    <x v="0"/>
    <x v="23"/>
    <x v="0"/>
    <x v="23"/>
    <x v="22"/>
    <x v="19"/>
    <x v="0"/>
    <x v="0"/>
    <x v="3"/>
    <x v="20"/>
    <x v="11"/>
    <n v="15808.7724"/>
    <n v="15808.7724"/>
    <n v="15808.7724"/>
    <n v="0"/>
    <s v="NULL"/>
    <s v="Winterstorm NY TX MA CT PA"/>
    <n v="3280.0940773799998"/>
    <m/>
    <x v="0"/>
  </r>
  <r>
    <x v="19"/>
    <x v="1"/>
    <x v="6"/>
    <x v="17"/>
    <x v="1"/>
    <x v="17"/>
    <x v="16"/>
    <x v="14"/>
    <x v="0"/>
    <x v="0"/>
    <x v="5"/>
    <x v="14"/>
    <x v="3"/>
    <n v="159305.76999999999"/>
    <n v="159305.76999999999"/>
    <n v="159305.76999999999"/>
    <n v="0"/>
    <s v="NULL"/>
    <s v="Winterstorm NY TX MA CT PA"/>
    <n v="3280.0940773799998"/>
    <m/>
    <x v="4"/>
  </r>
  <r>
    <x v="5"/>
    <x v="1"/>
    <x v="1"/>
    <x v="5"/>
    <x v="0"/>
    <x v="5"/>
    <x v="4"/>
    <x v="3"/>
    <x v="0"/>
    <x v="0"/>
    <x v="4"/>
    <x v="5"/>
    <x v="3"/>
    <n v="187.56989999999999"/>
    <n v="187.56989999999999"/>
    <n v="187.56989999999999"/>
    <n v="0"/>
    <s v="NULL"/>
    <s v="Winterstorm NY TX MA CT PA"/>
    <n v="3280.0940773799998"/>
    <m/>
    <x v="1"/>
  </r>
  <r>
    <x v="50"/>
    <x v="1"/>
    <x v="4"/>
    <x v="12"/>
    <x v="0"/>
    <x v="12"/>
    <x v="46"/>
    <x v="3"/>
    <x v="0"/>
    <x v="0"/>
    <x v="4"/>
    <x v="5"/>
    <x v="3"/>
    <n v="1966.321958"/>
    <n v="1966.321958"/>
    <n v="1966.321958"/>
    <n v="0"/>
    <s v="NULL"/>
    <s v="Winterstorm NY TX MA CT PA"/>
    <n v="3280.0940773799998"/>
    <m/>
    <x v="1"/>
  </r>
  <r>
    <x v="14"/>
    <x v="1"/>
    <x v="4"/>
    <x v="12"/>
    <x v="0"/>
    <x v="12"/>
    <x v="11"/>
    <x v="3"/>
    <x v="0"/>
    <x v="0"/>
    <x v="4"/>
    <x v="5"/>
    <x v="3"/>
    <n v="682.87352699999997"/>
    <n v="682.87352699999997"/>
    <n v="682.87352699999997"/>
    <n v="0"/>
    <s v="NULL"/>
    <s v="Winterstorm NY TX MA CT PA"/>
    <n v="3280.0940773799998"/>
    <m/>
    <x v="1"/>
  </r>
  <r>
    <x v="33"/>
    <x v="1"/>
    <x v="2"/>
    <x v="27"/>
    <x v="0"/>
    <x v="27"/>
    <x v="29"/>
    <x v="3"/>
    <x v="0"/>
    <x v="0"/>
    <x v="4"/>
    <x v="5"/>
    <x v="3"/>
    <n v="11515.501464000001"/>
    <n v="11515.501464000001"/>
    <n v="11515.501464000001"/>
    <n v="0"/>
    <s v="NULL"/>
    <s v="Winterstorm NY TX MA CT PA"/>
    <n v="3280.0940773799998"/>
    <m/>
    <x v="1"/>
  </r>
  <r>
    <x v="136"/>
    <x v="1"/>
    <x v="2"/>
    <x v="27"/>
    <x v="0"/>
    <x v="27"/>
    <x v="115"/>
    <x v="3"/>
    <x v="0"/>
    <x v="0"/>
    <x v="4"/>
    <x v="5"/>
    <x v="3"/>
    <n v="86417.704555999997"/>
    <n v="86417.704555999997"/>
    <n v="86417.704555999997"/>
    <n v="0"/>
    <s v="NULL"/>
    <s v="Winterstorm NY TX MA CT PA"/>
    <n v="3280.0940773799998"/>
    <m/>
    <x v="1"/>
  </r>
  <r>
    <x v="125"/>
    <x v="1"/>
    <x v="12"/>
    <x v="102"/>
    <x v="1"/>
    <x v="114"/>
    <x v="107"/>
    <x v="78"/>
    <x v="0"/>
    <x v="0"/>
    <x v="5"/>
    <x v="105"/>
    <x v="3"/>
    <n v="1069808.08"/>
    <n v="1069808.08"/>
    <n v="1069808.08"/>
    <n v="0"/>
    <s v="NULL"/>
    <s v="Winterstorm NY TX MA CT PA"/>
    <n v="3280.0940773799998"/>
    <m/>
    <x v="4"/>
  </r>
  <r>
    <x v="116"/>
    <x v="1"/>
    <x v="12"/>
    <x v="93"/>
    <x v="1"/>
    <x v="72"/>
    <x v="100"/>
    <x v="73"/>
    <x v="0"/>
    <x v="0"/>
    <x v="5"/>
    <x v="97"/>
    <x v="3"/>
    <n v="13131.48"/>
    <n v="13131.48"/>
    <n v="13131.48"/>
    <n v="0"/>
    <s v="NULL"/>
    <s v="Winterstorm NY TX MA CT PA"/>
    <n v="3280.0940773799998"/>
    <m/>
    <x v="4"/>
  </r>
  <r>
    <x v="18"/>
    <x v="1"/>
    <x v="5"/>
    <x v="16"/>
    <x v="1"/>
    <x v="16"/>
    <x v="15"/>
    <x v="13"/>
    <x v="0"/>
    <x v="0"/>
    <x v="5"/>
    <x v="5"/>
    <x v="3"/>
    <n v="0"/>
    <n v="0"/>
    <n v="-1957.56"/>
    <n v="0"/>
    <s v="NULL"/>
    <s v="Winterstorm NY TX MA CT PA"/>
    <n v="3280.0940773799998"/>
    <m/>
    <x v="3"/>
  </r>
  <r>
    <x v="15"/>
    <x v="1"/>
    <x v="5"/>
    <x v="13"/>
    <x v="1"/>
    <x v="13"/>
    <x v="12"/>
    <x v="10"/>
    <x v="0"/>
    <x v="0"/>
    <x v="5"/>
    <x v="5"/>
    <x v="3"/>
    <n v="0"/>
    <n v="0"/>
    <n v="-804711.49"/>
    <n v="0"/>
    <s v="NULL"/>
    <s v="Winterstorm NY TX MA CT PA"/>
    <n v="3280.0940773799998"/>
    <m/>
    <x v="3"/>
  </r>
  <r>
    <x v="221"/>
    <x v="0"/>
    <x v="1"/>
    <x v="5"/>
    <x v="0"/>
    <x v="5"/>
    <x v="172"/>
    <x v="3"/>
    <x v="0"/>
    <x v="0"/>
    <x v="4"/>
    <x v="5"/>
    <x v="3"/>
    <n v="1812.240691"/>
    <n v="1812.240691"/>
    <n v="1812.240691"/>
    <n v="0"/>
    <s v="NULL"/>
    <s v="Winterstorm NY TX MA NJ PA"/>
    <n v="4781.60363426"/>
    <m/>
    <x v="1"/>
  </r>
  <r>
    <x v="222"/>
    <x v="0"/>
    <x v="11"/>
    <x v="59"/>
    <x v="0"/>
    <x v="61"/>
    <x v="173"/>
    <x v="3"/>
    <x v="0"/>
    <x v="0"/>
    <x v="4"/>
    <x v="5"/>
    <x v="3"/>
    <n v="858.55448799999999"/>
    <n v="858.55448799999999"/>
    <n v="858.55448799999999"/>
    <n v="0"/>
    <s v="NULL"/>
    <s v="Winterstorm NY TX MA NJ PA"/>
    <n v="4781.60363426"/>
    <m/>
    <x v="1"/>
  </r>
  <r>
    <x v="223"/>
    <x v="0"/>
    <x v="11"/>
    <x v="59"/>
    <x v="0"/>
    <x v="61"/>
    <x v="174"/>
    <x v="3"/>
    <x v="0"/>
    <x v="0"/>
    <x v="4"/>
    <x v="5"/>
    <x v="3"/>
    <n v="1390.456747"/>
    <n v="1390.456747"/>
    <n v="1390.456747"/>
    <n v="0"/>
    <s v="NULL"/>
    <s v="Winterstorm NY TX MA NJ PA"/>
    <n v="4781.60363426"/>
    <m/>
    <x v="1"/>
  </r>
  <r>
    <x v="224"/>
    <x v="0"/>
    <x v="4"/>
    <x v="12"/>
    <x v="0"/>
    <x v="12"/>
    <x v="175"/>
    <x v="3"/>
    <x v="0"/>
    <x v="0"/>
    <x v="4"/>
    <x v="5"/>
    <x v="3"/>
    <n v="1174.2232650000001"/>
    <n v="1174.2232650000001"/>
    <n v="1174.2232650000001"/>
    <n v="0"/>
    <s v="NULL"/>
    <s v="Winterstorm NY TX MA NJ PA"/>
    <n v="4781.60363426"/>
    <m/>
    <x v="1"/>
  </r>
  <r>
    <x v="225"/>
    <x v="0"/>
    <x v="17"/>
    <x v="165"/>
    <x v="0"/>
    <x v="197"/>
    <x v="176"/>
    <x v="3"/>
    <x v="0"/>
    <x v="0"/>
    <x v="4"/>
    <x v="5"/>
    <x v="3"/>
    <n v="32.464199999999998"/>
    <n v="32.464199999999998"/>
    <n v="32.464199999999998"/>
    <n v="0"/>
    <s v="NULL"/>
    <s v="Winterstorm NY TX MA NJ PA"/>
    <n v="4781.60363426"/>
    <m/>
    <x v="10"/>
  </r>
  <r>
    <x v="226"/>
    <x v="0"/>
    <x v="2"/>
    <x v="27"/>
    <x v="0"/>
    <x v="27"/>
    <x v="177"/>
    <x v="3"/>
    <x v="0"/>
    <x v="0"/>
    <x v="4"/>
    <x v="5"/>
    <x v="3"/>
    <n v="120.21980000000001"/>
    <n v="120.21980000000001"/>
    <n v="120.21980000000001"/>
    <n v="0"/>
    <s v="NULL"/>
    <s v="Winterstorm NY TX MA NJ PA"/>
    <n v="4781.60363426"/>
    <m/>
    <x v="1"/>
  </r>
  <r>
    <x v="227"/>
    <x v="0"/>
    <x v="2"/>
    <x v="27"/>
    <x v="0"/>
    <x v="27"/>
    <x v="178"/>
    <x v="3"/>
    <x v="0"/>
    <x v="0"/>
    <x v="4"/>
    <x v="5"/>
    <x v="3"/>
    <n v="285654.67478100001"/>
    <n v="285654.67478100001"/>
    <n v="285654.67478100001"/>
    <n v="0"/>
    <s v="NULL"/>
    <s v="Winterstorm NY TX MA NJ PA"/>
    <n v="4781.60363426"/>
    <m/>
    <x v="1"/>
  </r>
  <r>
    <x v="83"/>
    <x v="0"/>
    <x v="12"/>
    <x v="71"/>
    <x v="1"/>
    <x v="75"/>
    <x v="76"/>
    <x v="55"/>
    <x v="0"/>
    <x v="0"/>
    <x v="5"/>
    <x v="69"/>
    <x v="3"/>
    <n v="2145993.09"/>
    <n v="2145993.09"/>
    <n v="2145993.09"/>
    <n v="0"/>
    <s v="NULL"/>
    <s v="Winterstorm NY TX MA NJ PA"/>
    <n v="4781.60363426"/>
    <m/>
    <x v="4"/>
  </r>
  <r>
    <x v="228"/>
    <x v="0"/>
    <x v="12"/>
    <x v="166"/>
    <x v="1"/>
    <x v="198"/>
    <x v="179"/>
    <x v="117"/>
    <x v="0"/>
    <x v="0"/>
    <x v="5"/>
    <x v="180"/>
    <x v="3"/>
    <n v="35638.559999999998"/>
    <n v="35638.559999999998"/>
    <n v="35638.559999999998"/>
    <n v="0"/>
    <s v="NULL"/>
    <s v="Winterstorm NY TX MA NJ PA"/>
    <n v="4781.60363426"/>
    <m/>
    <x v="4"/>
  </r>
  <r>
    <x v="229"/>
    <x v="0"/>
    <x v="0"/>
    <x v="1"/>
    <x v="0"/>
    <x v="199"/>
    <x v="180"/>
    <x v="118"/>
    <x v="0"/>
    <x v="0"/>
    <x v="100"/>
    <x v="181"/>
    <x v="1"/>
    <n v="52.71255"/>
    <n v="52.71255"/>
    <n v="52.71255"/>
    <n v="0"/>
    <s v="NULL"/>
    <s v="Winterstorm NY TX MA NJ PA"/>
    <n v="4781.60363426"/>
    <m/>
    <x v="0"/>
  </r>
  <r>
    <x v="338"/>
    <x v="0"/>
    <x v="5"/>
    <x v="231"/>
    <x v="1"/>
    <x v="302"/>
    <x v="230"/>
    <x v="152"/>
    <x v="0"/>
    <x v="0"/>
    <x v="5"/>
    <x v="5"/>
    <x v="3"/>
    <n v="0"/>
    <n v="0"/>
    <n v="-18.03"/>
    <n v="0"/>
    <s v="NULL"/>
    <s v="Winterstorm NY TX MA NJ PA"/>
    <n v="4781.60363426"/>
    <m/>
    <x v="3"/>
  </r>
  <r>
    <x v="306"/>
    <x v="0"/>
    <x v="0"/>
    <x v="87"/>
    <x v="0"/>
    <x v="271"/>
    <x v="214"/>
    <x v="143"/>
    <x v="0"/>
    <x v="0"/>
    <x v="42"/>
    <x v="243"/>
    <x v="36"/>
    <n v="1190.4138"/>
    <n v="1190.4138"/>
    <n v="1190.4138"/>
    <n v="0"/>
    <s v="NULL"/>
    <s v="Winterstorm NY TX MA NJ PA"/>
    <n v="4781.60363426"/>
    <m/>
    <x v="0"/>
  </r>
  <r>
    <x v="323"/>
    <x v="0"/>
    <x v="0"/>
    <x v="38"/>
    <x v="0"/>
    <x v="287"/>
    <x v="39"/>
    <x v="29"/>
    <x v="0"/>
    <x v="0"/>
    <x v="135"/>
    <x v="239"/>
    <x v="12"/>
    <n v="97.459000000000003"/>
    <n v="97.459000000000003"/>
    <n v="97.459000000000003"/>
    <n v="0"/>
    <s v="NULL"/>
    <s v="Winterstorm NY TX MA NJ PA"/>
    <n v="4781.60363426"/>
    <m/>
    <x v="0"/>
  </r>
  <r>
    <x v="32"/>
    <x v="0"/>
    <x v="0"/>
    <x v="29"/>
    <x v="0"/>
    <x v="29"/>
    <x v="3"/>
    <x v="8"/>
    <x v="0"/>
    <x v="0"/>
    <x v="14"/>
    <x v="25"/>
    <x v="12"/>
    <n v="28720.15"/>
    <n v="28720.15"/>
    <n v="28720.15"/>
    <n v="0"/>
    <s v="NULL"/>
    <s v="Winterstorm NY TX MA NJ PA"/>
    <n v="4781.60363426"/>
    <m/>
    <x v="0"/>
  </r>
  <r>
    <x v="82"/>
    <x v="0"/>
    <x v="0"/>
    <x v="41"/>
    <x v="1"/>
    <x v="74"/>
    <x v="75"/>
    <x v="43"/>
    <x v="0"/>
    <x v="0"/>
    <x v="41"/>
    <x v="68"/>
    <x v="15"/>
    <n v="433970.73090000002"/>
    <n v="433970.73090000002"/>
    <n v="433970.73090000002"/>
    <n v="0"/>
    <s v="NULL"/>
    <s v="Winterstorm NY TX MA NJ PA"/>
    <n v="4781.60363426"/>
    <m/>
    <x v="0"/>
  </r>
  <r>
    <x v="73"/>
    <x v="0"/>
    <x v="2"/>
    <x v="62"/>
    <x v="0"/>
    <x v="65"/>
    <x v="67"/>
    <x v="48"/>
    <x v="0"/>
    <x v="0"/>
    <x v="9"/>
    <x v="59"/>
    <x v="16"/>
    <n v="39557.636250000003"/>
    <n v="39557.636250000003"/>
    <n v="39557.636250000003"/>
    <n v="0"/>
    <s v="NULL"/>
    <s v="Winterstorm NY TX MA NJ PA"/>
    <n v="4781.60363426"/>
    <m/>
    <x v="1"/>
  </r>
  <r>
    <x v="339"/>
    <x v="0"/>
    <x v="0"/>
    <x v="232"/>
    <x v="2"/>
    <x v="303"/>
    <x v="231"/>
    <x v="136"/>
    <x v="5"/>
    <x v="0"/>
    <x v="142"/>
    <x v="270"/>
    <x v="51"/>
    <n v="668773.16165000002"/>
    <n v="395394.10870137898"/>
    <n v="395394.10870137898"/>
    <n v="64251.413046080001"/>
    <s v="NULL"/>
    <s v="Winterstorm NY TX MA NJ PA"/>
    <n v="4781.60363426"/>
    <m/>
    <x v="0"/>
  </r>
  <r>
    <x v="16"/>
    <x v="0"/>
    <x v="3"/>
    <x v="14"/>
    <x v="1"/>
    <x v="14"/>
    <x v="13"/>
    <x v="11"/>
    <x v="0"/>
    <x v="0"/>
    <x v="3"/>
    <x v="12"/>
    <x v="7"/>
    <n v="105894.738"/>
    <n v="105894.738"/>
    <n v="105894.738"/>
    <n v="0"/>
    <s v="NULL"/>
    <s v="Winterstorm NY TX MA NJ PA"/>
    <n v="4781.60363426"/>
    <m/>
    <x v="2"/>
  </r>
  <r>
    <x v="233"/>
    <x v="0"/>
    <x v="0"/>
    <x v="170"/>
    <x v="1"/>
    <x v="203"/>
    <x v="51"/>
    <x v="30"/>
    <x v="0"/>
    <x v="0"/>
    <x v="21"/>
    <x v="185"/>
    <x v="12"/>
    <n v="3151509.0210000002"/>
    <n v="3151509.0210000002"/>
    <n v="3151509.0210000002"/>
    <n v="0"/>
    <s v="NULL"/>
    <s v="Winterstorm NY TX MA NJ PA"/>
    <n v="4781.60363426"/>
    <m/>
    <x v="0"/>
  </r>
  <r>
    <x v="234"/>
    <x v="0"/>
    <x v="2"/>
    <x v="88"/>
    <x v="0"/>
    <x v="204"/>
    <x v="21"/>
    <x v="32"/>
    <x v="0"/>
    <x v="0"/>
    <x v="103"/>
    <x v="186"/>
    <x v="13"/>
    <n v="601.70399999999995"/>
    <n v="601.70399999999995"/>
    <n v="601.70399999999995"/>
    <n v="0"/>
    <s v="NULL"/>
    <s v="Winterstorm NY TX MA NJ PA"/>
    <n v="4781.60363426"/>
    <m/>
    <x v="1"/>
  </r>
  <r>
    <x v="340"/>
    <x v="0"/>
    <x v="4"/>
    <x v="233"/>
    <x v="1"/>
    <x v="304"/>
    <x v="232"/>
    <x v="153"/>
    <x v="0"/>
    <x v="0"/>
    <x v="63"/>
    <x v="271"/>
    <x v="16"/>
    <n v="2.0959976500000002"/>
    <n v="2.0959976500000002"/>
    <n v="2.0959976500000002"/>
    <n v="0"/>
    <s v="NULL"/>
    <s v="Winterstorm NY TX MA NJ PA"/>
    <n v="4781.60363426"/>
    <m/>
    <x v="1"/>
  </r>
  <r>
    <x v="235"/>
    <x v="0"/>
    <x v="2"/>
    <x v="171"/>
    <x v="0"/>
    <x v="205"/>
    <x v="19"/>
    <x v="49"/>
    <x v="0"/>
    <x v="0"/>
    <x v="37"/>
    <x v="187"/>
    <x v="12"/>
    <n v="2392.712"/>
    <n v="2392.712"/>
    <n v="2392.712"/>
    <n v="0"/>
    <s v="NULL"/>
    <s v="Winterstorm NY TX MA NJ PA"/>
    <n v="4781.60363426"/>
    <m/>
    <x v="1"/>
  </r>
  <r>
    <x v="236"/>
    <x v="0"/>
    <x v="0"/>
    <x v="172"/>
    <x v="1"/>
    <x v="206"/>
    <x v="154"/>
    <x v="65"/>
    <x v="0"/>
    <x v="0"/>
    <x v="104"/>
    <x v="188"/>
    <x v="15"/>
    <n v="53346.758500000004"/>
    <n v="53346.758500000004"/>
    <n v="53346.758500000004"/>
    <n v="0"/>
    <s v="NULL"/>
    <s v="Winterstorm NY TX MA NJ PA"/>
    <n v="4781.60363426"/>
    <m/>
    <x v="0"/>
  </r>
  <r>
    <x v="237"/>
    <x v="0"/>
    <x v="0"/>
    <x v="44"/>
    <x v="0"/>
    <x v="207"/>
    <x v="3"/>
    <x v="30"/>
    <x v="0"/>
    <x v="0"/>
    <x v="3"/>
    <x v="189"/>
    <x v="23"/>
    <n v="158.8015"/>
    <n v="158.8015"/>
    <n v="158.8015"/>
    <n v="0"/>
    <s v="NULL"/>
    <s v="Winterstorm NY TX MA NJ PA"/>
    <n v="4781.60363426"/>
    <m/>
    <x v="0"/>
  </r>
  <r>
    <x v="238"/>
    <x v="0"/>
    <x v="0"/>
    <x v="150"/>
    <x v="0"/>
    <x v="208"/>
    <x v="182"/>
    <x v="120"/>
    <x v="0"/>
    <x v="0"/>
    <x v="105"/>
    <x v="190"/>
    <x v="23"/>
    <n v="7191.3095000000003"/>
    <n v="7191.3095000000003"/>
    <n v="7191.3095000000003"/>
    <n v="0"/>
    <s v="NULL"/>
    <s v="Winterstorm NY TX MA NJ PA"/>
    <n v="4781.60363426"/>
    <m/>
    <x v="0"/>
  </r>
  <r>
    <x v="239"/>
    <x v="0"/>
    <x v="0"/>
    <x v="35"/>
    <x v="0"/>
    <x v="209"/>
    <x v="151"/>
    <x v="31"/>
    <x v="0"/>
    <x v="0"/>
    <x v="87"/>
    <x v="59"/>
    <x v="0"/>
    <n v="90.009150000000005"/>
    <n v="90.009150000000005"/>
    <n v="90.009150000000005"/>
    <n v="0"/>
    <s v="NULL"/>
    <s v="Winterstorm NY TX MA NJ PA"/>
    <n v="4781.60363426"/>
    <m/>
    <x v="0"/>
  </r>
  <r>
    <x v="240"/>
    <x v="0"/>
    <x v="0"/>
    <x v="0"/>
    <x v="0"/>
    <x v="210"/>
    <x v="183"/>
    <x v="121"/>
    <x v="0"/>
    <x v="0"/>
    <x v="106"/>
    <x v="191"/>
    <x v="0"/>
    <n v="35012.8485"/>
    <n v="35012.8485"/>
    <n v="35012.8485"/>
    <n v="0"/>
    <s v="NULL"/>
    <s v="Winterstorm NY TX MA NJ PA"/>
    <n v="4781.60363426"/>
    <m/>
    <x v="0"/>
  </r>
  <r>
    <x v="241"/>
    <x v="0"/>
    <x v="3"/>
    <x v="81"/>
    <x v="0"/>
    <x v="211"/>
    <x v="184"/>
    <x v="122"/>
    <x v="0"/>
    <x v="0"/>
    <x v="107"/>
    <x v="192"/>
    <x v="5"/>
    <n v="44742.443500000001"/>
    <n v="44742.443500000001"/>
    <n v="44742.443500000001"/>
    <n v="0"/>
    <s v="NULL"/>
    <s v="Winterstorm NY TX MA NJ PA"/>
    <n v="4781.60363426"/>
    <m/>
    <x v="2"/>
  </r>
  <r>
    <x v="242"/>
    <x v="0"/>
    <x v="11"/>
    <x v="173"/>
    <x v="1"/>
    <x v="212"/>
    <x v="185"/>
    <x v="123"/>
    <x v="0"/>
    <x v="0"/>
    <x v="5"/>
    <x v="193"/>
    <x v="3"/>
    <n v="792.7"/>
    <n v="792.7"/>
    <n v="792.7"/>
    <n v="0"/>
    <s v="NULL"/>
    <s v="Winterstorm NY TX MA NJ PA"/>
    <n v="4781.60363426"/>
    <m/>
    <x v="1"/>
  </r>
  <r>
    <x v="243"/>
    <x v="0"/>
    <x v="2"/>
    <x v="111"/>
    <x v="1"/>
    <x v="213"/>
    <x v="119"/>
    <x v="83"/>
    <x v="0"/>
    <x v="0"/>
    <x v="108"/>
    <x v="194"/>
    <x v="13"/>
    <n v="788.024"/>
    <n v="788.024"/>
    <n v="788.024"/>
    <n v="0"/>
    <s v="NULL"/>
    <s v="Winterstorm NY TX MA NJ PA"/>
    <n v="4781.60363426"/>
    <m/>
    <x v="1"/>
  </r>
  <r>
    <x v="327"/>
    <x v="0"/>
    <x v="0"/>
    <x v="226"/>
    <x v="1"/>
    <x v="291"/>
    <x v="72"/>
    <x v="49"/>
    <x v="0"/>
    <x v="0"/>
    <x v="137"/>
    <x v="262"/>
    <x v="26"/>
    <n v="12950.03"/>
    <n v="12950.03"/>
    <n v="12950.03"/>
    <n v="0"/>
    <s v="NULL"/>
    <s v="Winterstorm NY TX MA NJ PA"/>
    <n v="4781.60363426"/>
    <m/>
    <x v="0"/>
  </r>
  <r>
    <x v="45"/>
    <x v="0"/>
    <x v="0"/>
    <x v="40"/>
    <x v="1"/>
    <x v="40"/>
    <x v="41"/>
    <x v="31"/>
    <x v="0"/>
    <x v="0"/>
    <x v="3"/>
    <x v="36"/>
    <x v="16"/>
    <n v="9819.7724999999991"/>
    <n v="9819.7724999999991"/>
    <n v="9819.7724999999991"/>
    <n v="0"/>
    <s v="NULL"/>
    <s v="Winterstorm NY TX MA NJ PA"/>
    <n v="4781.60363426"/>
    <m/>
    <x v="0"/>
  </r>
  <r>
    <x v="78"/>
    <x v="0"/>
    <x v="0"/>
    <x v="67"/>
    <x v="1"/>
    <x v="70"/>
    <x v="72"/>
    <x v="1"/>
    <x v="0"/>
    <x v="0"/>
    <x v="1"/>
    <x v="64"/>
    <x v="27"/>
    <n v="35802.582499999997"/>
    <n v="35802.582499999997"/>
    <n v="35802.582499999997"/>
    <n v="0"/>
    <s v="NULL"/>
    <s v="Winterstorm NY TX MA NJ PA"/>
    <n v="4781.60363426"/>
    <m/>
    <x v="0"/>
  </r>
  <r>
    <x v="8"/>
    <x v="0"/>
    <x v="3"/>
    <x v="8"/>
    <x v="1"/>
    <x v="8"/>
    <x v="6"/>
    <x v="6"/>
    <x v="0"/>
    <x v="0"/>
    <x v="3"/>
    <x v="8"/>
    <x v="5"/>
    <n v="22892.748500000002"/>
    <n v="22892.748500000002"/>
    <n v="22892.748500000002"/>
    <n v="0"/>
    <s v="NULL"/>
    <s v="Winterstorm NY TX MA NJ PA"/>
    <n v="4781.60363426"/>
    <m/>
    <x v="2"/>
  </r>
  <r>
    <x v="81"/>
    <x v="0"/>
    <x v="0"/>
    <x v="70"/>
    <x v="1"/>
    <x v="73"/>
    <x v="65"/>
    <x v="54"/>
    <x v="0"/>
    <x v="0"/>
    <x v="3"/>
    <x v="67"/>
    <x v="9"/>
    <n v="341014.43930000003"/>
    <n v="341014.43930000003"/>
    <n v="341014.43930000003"/>
    <n v="0"/>
    <s v="NULL"/>
    <s v="Winterstorm NY TX MA NJ PA"/>
    <n v="4781.60363426"/>
    <m/>
    <x v="0"/>
  </r>
  <r>
    <x v="246"/>
    <x v="0"/>
    <x v="7"/>
    <x v="176"/>
    <x v="1"/>
    <x v="216"/>
    <x v="98"/>
    <x v="101"/>
    <x v="0"/>
    <x v="0"/>
    <x v="109"/>
    <x v="197"/>
    <x v="12"/>
    <n v="3499.1179999999999"/>
    <n v="3499.1179999999999"/>
    <n v="3499.1179999999999"/>
    <n v="0"/>
    <s v="NULL"/>
    <s v="Winterstorm NY TX MA NJ PA"/>
    <n v="4781.60363426"/>
    <m/>
    <x v="5"/>
  </r>
  <r>
    <x v="247"/>
    <x v="0"/>
    <x v="0"/>
    <x v="6"/>
    <x v="0"/>
    <x v="217"/>
    <x v="144"/>
    <x v="8"/>
    <x v="0"/>
    <x v="0"/>
    <x v="3"/>
    <x v="198"/>
    <x v="4"/>
    <n v="328.49549999999999"/>
    <n v="328.49549999999999"/>
    <n v="328.49549999999999"/>
    <n v="0"/>
    <s v="NULL"/>
    <s v="Winterstorm NY TX MA NJ PA"/>
    <n v="4781.60363426"/>
    <m/>
    <x v="0"/>
  </r>
  <r>
    <x v="248"/>
    <x v="0"/>
    <x v="7"/>
    <x v="177"/>
    <x v="1"/>
    <x v="218"/>
    <x v="168"/>
    <x v="125"/>
    <x v="0"/>
    <x v="0"/>
    <x v="110"/>
    <x v="199"/>
    <x v="46"/>
    <n v="30239.216250000001"/>
    <n v="30239.216250000001"/>
    <n v="30239.216250000001"/>
    <n v="0"/>
    <s v="NULL"/>
    <s v="Winterstorm NY TX MA NJ PA"/>
    <n v="4781.60363426"/>
    <m/>
    <x v="5"/>
  </r>
  <r>
    <x v="341"/>
    <x v="0"/>
    <x v="0"/>
    <x v="230"/>
    <x v="0"/>
    <x v="305"/>
    <x v="233"/>
    <x v="154"/>
    <x v="0"/>
    <x v="0"/>
    <x v="3"/>
    <x v="257"/>
    <x v="10"/>
    <n v="149.55000000000001"/>
    <n v="149.55000000000001"/>
    <n v="149.55000000000001"/>
    <n v="0"/>
    <s v="NULL"/>
    <s v="Winterstorm NY TX MA NJ PA"/>
    <n v="4781.60363426"/>
    <m/>
    <x v="0"/>
  </r>
  <r>
    <x v="249"/>
    <x v="0"/>
    <x v="0"/>
    <x v="162"/>
    <x v="0"/>
    <x v="219"/>
    <x v="186"/>
    <x v="124"/>
    <x v="0"/>
    <x v="0"/>
    <x v="94"/>
    <x v="59"/>
    <x v="12"/>
    <n v="1414.81"/>
    <n v="1414.81"/>
    <n v="1414.81"/>
    <n v="0"/>
    <s v="NULL"/>
    <s v="Winterstorm NY TX MA NJ PA"/>
    <n v="4781.60363426"/>
    <m/>
    <x v="0"/>
  </r>
  <r>
    <x v="250"/>
    <x v="0"/>
    <x v="0"/>
    <x v="178"/>
    <x v="1"/>
    <x v="220"/>
    <x v="187"/>
    <x v="126"/>
    <x v="0"/>
    <x v="0"/>
    <x v="111"/>
    <x v="200"/>
    <x v="5"/>
    <n v="496136.97100000002"/>
    <n v="496136.97100000002"/>
    <n v="496136.97100000002"/>
    <n v="0"/>
    <s v="NULL"/>
    <s v="Winterstorm NY TX MA NJ PA"/>
    <n v="4781.60363426"/>
    <m/>
    <x v="0"/>
  </r>
  <r>
    <x v="251"/>
    <x v="0"/>
    <x v="0"/>
    <x v="179"/>
    <x v="0"/>
    <x v="221"/>
    <x v="58"/>
    <x v="31"/>
    <x v="0"/>
    <x v="0"/>
    <x v="87"/>
    <x v="201"/>
    <x v="12"/>
    <n v="24.119"/>
    <n v="24.119"/>
    <n v="24.119"/>
    <n v="0"/>
    <s v="NULL"/>
    <s v="Winterstorm NY TX MA NJ PA"/>
    <n v="4781.60363426"/>
    <m/>
    <x v="0"/>
  </r>
  <r>
    <x v="252"/>
    <x v="0"/>
    <x v="0"/>
    <x v="23"/>
    <x v="0"/>
    <x v="222"/>
    <x v="70"/>
    <x v="2"/>
    <x v="0"/>
    <x v="0"/>
    <x v="3"/>
    <x v="202"/>
    <x v="16"/>
    <n v="12148.39725"/>
    <n v="12148.39725"/>
    <n v="12148.39725"/>
    <n v="0"/>
    <s v="NULL"/>
    <s v="Winterstorm NY TX MA NJ PA"/>
    <n v="4781.60363426"/>
    <m/>
    <x v="0"/>
  </r>
  <r>
    <x v="253"/>
    <x v="0"/>
    <x v="7"/>
    <x v="180"/>
    <x v="1"/>
    <x v="223"/>
    <x v="188"/>
    <x v="127"/>
    <x v="0"/>
    <x v="0"/>
    <x v="112"/>
    <x v="203"/>
    <x v="4"/>
    <n v="13414.3179"/>
    <n v="13414.3179"/>
    <n v="13414.3179"/>
    <n v="0"/>
    <s v="NULL"/>
    <s v="Winterstorm NY TX MA NJ PA"/>
    <n v="4781.60363426"/>
    <m/>
    <x v="5"/>
  </r>
  <r>
    <x v="254"/>
    <x v="0"/>
    <x v="0"/>
    <x v="181"/>
    <x v="0"/>
    <x v="224"/>
    <x v="47"/>
    <x v="32"/>
    <x v="0"/>
    <x v="0"/>
    <x v="3"/>
    <x v="204"/>
    <x v="12"/>
    <n v="82.835999999999999"/>
    <n v="82.835999999999999"/>
    <n v="82.835999999999999"/>
    <n v="0"/>
    <s v="NULL"/>
    <s v="Winterstorm NY TX MA NJ PA"/>
    <n v="4781.60363426"/>
    <m/>
    <x v="0"/>
  </r>
  <r>
    <x v="108"/>
    <x v="2"/>
    <x v="2"/>
    <x v="88"/>
    <x v="0"/>
    <x v="99"/>
    <x v="39"/>
    <x v="8"/>
    <x v="0"/>
    <x v="0"/>
    <x v="34"/>
    <x v="91"/>
    <x v="10"/>
    <n v="2635.857"/>
    <n v="2635.857"/>
    <n v="2635.857"/>
    <n v="0"/>
    <s v="NULL"/>
    <s v="Winterstorm NY MA TX PA SC"/>
    <n v="3949.1976460300002"/>
    <m/>
    <x v="1"/>
  </r>
  <r>
    <x v="323"/>
    <x v="2"/>
    <x v="0"/>
    <x v="38"/>
    <x v="0"/>
    <x v="287"/>
    <x v="39"/>
    <x v="29"/>
    <x v="0"/>
    <x v="0"/>
    <x v="135"/>
    <x v="239"/>
    <x v="12"/>
    <n v="34.948999999999998"/>
    <n v="34.948999999999998"/>
    <n v="34.948999999999998"/>
    <n v="0"/>
    <s v="NULL"/>
    <s v="Winterstorm NY MA TX PA SC"/>
    <n v="3949.1976460300002"/>
    <m/>
    <x v="0"/>
  </r>
  <r>
    <x v="135"/>
    <x v="2"/>
    <x v="7"/>
    <x v="106"/>
    <x v="1"/>
    <x v="120"/>
    <x v="112"/>
    <x v="34"/>
    <x v="0"/>
    <x v="0"/>
    <x v="63"/>
    <x v="111"/>
    <x v="4"/>
    <n v="1427.9232"/>
    <n v="1427.9232"/>
    <n v="1427.9232"/>
    <n v="0"/>
    <s v="NULL"/>
    <s v="Winterstorm NY MA TX PA SC"/>
    <n v="3949.1976460300002"/>
    <m/>
    <x v="5"/>
  </r>
  <r>
    <x v="98"/>
    <x v="2"/>
    <x v="0"/>
    <x v="22"/>
    <x v="0"/>
    <x v="89"/>
    <x v="88"/>
    <x v="62"/>
    <x v="0"/>
    <x v="0"/>
    <x v="48"/>
    <x v="82"/>
    <x v="5"/>
    <n v="1908.1904999999999"/>
    <n v="1908.1904999999999"/>
    <n v="1908.1904999999999"/>
    <n v="0"/>
    <s v="NULL"/>
    <s v="Winterstorm NY MA TX PA SC"/>
    <n v="3949.1976460300002"/>
    <m/>
    <x v="0"/>
  </r>
  <r>
    <x v="202"/>
    <x v="2"/>
    <x v="0"/>
    <x v="151"/>
    <x v="1"/>
    <x v="179"/>
    <x v="161"/>
    <x v="110"/>
    <x v="0"/>
    <x v="0"/>
    <x v="95"/>
    <x v="165"/>
    <x v="45"/>
    <n v="61286.456774999999"/>
    <n v="61286.456774999999"/>
    <n v="61286.456774999999"/>
    <n v="0"/>
    <s v="NULL"/>
    <s v="Winterstorm NY MA TX PA SC"/>
    <n v="3949.1976460300002"/>
    <m/>
    <x v="0"/>
  </r>
  <r>
    <x v="217"/>
    <x v="2"/>
    <x v="0"/>
    <x v="161"/>
    <x v="1"/>
    <x v="193"/>
    <x v="87"/>
    <x v="32"/>
    <x v="0"/>
    <x v="0"/>
    <x v="3"/>
    <x v="177"/>
    <x v="46"/>
    <n v="182103.170625"/>
    <n v="182103.170625"/>
    <n v="182103.170625"/>
    <n v="0"/>
    <s v="NULL"/>
    <s v="Winterstorm NY MA TX PA SC"/>
    <n v="3949.1976460300002"/>
    <m/>
    <x v="0"/>
  </r>
  <r>
    <x v="210"/>
    <x v="2"/>
    <x v="0"/>
    <x v="158"/>
    <x v="0"/>
    <x v="187"/>
    <x v="58"/>
    <x v="8"/>
    <x v="0"/>
    <x v="0"/>
    <x v="12"/>
    <x v="172"/>
    <x v="5"/>
    <n v="13767.413500000001"/>
    <n v="13767.413500000001"/>
    <n v="13767.413500000001"/>
    <n v="0"/>
    <s v="NULL"/>
    <s v="Winterstorm NY MA TX PA SC"/>
    <n v="3949.1976460300002"/>
    <m/>
    <x v="0"/>
  </r>
  <r>
    <x v="72"/>
    <x v="2"/>
    <x v="0"/>
    <x v="56"/>
    <x v="0"/>
    <x v="64"/>
    <x v="66"/>
    <x v="47"/>
    <x v="0"/>
    <x v="0"/>
    <x v="36"/>
    <x v="58"/>
    <x v="23"/>
    <n v="9299.3169999999991"/>
    <n v="9299.3169999999991"/>
    <n v="9299.3169999999991"/>
    <n v="0"/>
    <s v="NULL"/>
    <s v="Winterstorm NY MA TX PA SC"/>
    <n v="3949.1976460300002"/>
    <m/>
    <x v="0"/>
  </r>
  <r>
    <x v="236"/>
    <x v="2"/>
    <x v="0"/>
    <x v="172"/>
    <x v="1"/>
    <x v="206"/>
    <x v="154"/>
    <x v="65"/>
    <x v="0"/>
    <x v="0"/>
    <x v="104"/>
    <x v="188"/>
    <x v="15"/>
    <n v="36789.479299999999"/>
    <n v="36789.479299999999"/>
    <n v="36789.479299999999"/>
    <n v="0"/>
    <s v="NULL"/>
    <s v="Winterstorm NY MA TX PA SC"/>
    <n v="3949.1976460300002"/>
    <m/>
    <x v="0"/>
  </r>
  <r>
    <x v="2"/>
    <x v="2"/>
    <x v="0"/>
    <x v="2"/>
    <x v="0"/>
    <x v="2"/>
    <x v="1"/>
    <x v="1"/>
    <x v="0"/>
    <x v="0"/>
    <x v="2"/>
    <x v="2"/>
    <x v="1"/>
    <n v="39.57705"/>
    <n v="39.57705"/>
    <n v="39.57705"/>
    <n v="0"/>
    <s v="NULL"/>
    <s v="Winterstorm NY MA TX PA SC"/>
    <n v="3949.1976460300002"/>
    <m/>
    <x v="0"/>
  </r>
  <r>
    <x v="71"/>
    <x v="2"/>
    <x v="0"/>
    <x v="61"/>
    <x v="0"/>
    <x v="63"/>
    <x v="65"/>
    <x v="46"/>
    <x v="0"/>
    <x v="0"/>
    <x v="35"/>
    <x v="57"/>
    <x v="24"/>
    <n v="1604.3720000000001"/>
    <n v="1604.3720000000001"/>
    <n v="1604.3720000000001"/>
    <n v="0"/>
    <s v="NULL"/>
    <s v="Winterstorm NY MA TX PA SC"/>
    <n v="3949.1976460300002"/>
    <m/>
    <x v="0"/>
  </r>
  <r>
    <x v="237"/>
    <x v="2"/>
    <x v="0"/>
    <x v="44"/>
    <x v="0"/>
    <x v="207"/>
    <x v="3"/>
    <x v="30"/>
    <x v="0"/>
    <x v="0"/>
    <x v="3"/>
    <x v="189"/>
    <x v="23"/>
    <n v="186.97024999999999"/>
    <n v="186.97024999999999"/>
    <n v="186.97024999999999"/>
    <n v="0"/>
    <s v="NULL"/>
    <s v="Winterstorm NY MA TX PA SC"/>
    <n v="3949.1976460300002"/>
    <m/>
    <x v="0"/>
  </r>
  <r>
    <x v="238"/>
    <x v="2"/>
    <x v="0"/>
    <x v="150"/>
    <x v="0"/>
    <x v="208"/>
    <x v="182"/>
    <x v="120"/>
    <x v="0"/>
    <x v="0"/>
    <x v="105"/>
    <x v="190"/>
    <x v="23"/>
    <n v="1602.41725"/>
    <n v="1602.41725"/>
    <n v="1602.41725"/>
    <n v="0"/>
    <s v="NULL"/>
    <s v="Winterstorm NY MA TX PA SC"/>
    <n v="3949.1976460300002"/>
    <m/>
    <x v="0"/>
  </r>
  <r>
    <x v="42"/>
    <x v="2"/>
    <x v="0"/>
    <x v="37"/>
    <x v="0"/>
    <x v="37"/>
    <x v="38"/>
    <x v="8"/>
    <x v="0"/>
    <x v="0"/>
    <x v="14"/>
    <x v="33"/>
    <x v="18"/>
    <n v="11448.685799999999"/>
    <n v="11448.685799999999"/>
    <n v="11448.685799999999"/>
    <n v="0"/>
    <s v="NULL"/>
    <s v="Winterstorm NY MA TX PA SC"/>
    <n v="3949.1976460300002"/>
    <m/>
    <x v="0"/>
  </r>
  <r>
    <x v="0"/>
    <x v="2"/>
    <x v="0"/>
    <x v="0"/>
    <x v="0"/>
    <x v="0"/>
    <x v="0"/>
    <x v="0"/>
    <x v="0"/>
    <x v="0"/>
    <x v="0"/>
    <x v="0"/>
    <x v="0"/>
    <n v="3287.0988499999999"/>
    <n v="3287.0988499999999"/>
    <n v="3287.0988499999999"/>
    <n v="0"/>
    <s v="NULL"/>
    <s v="Winterstorm NY MA TX PA SC"/>
    <n v="3949.1976460300002"/>
    <m/>
    <x v="0"/>
  </r>
  <r>
    <x v="52"/>
    <x v="2"/>
    <x v="0"/>
    <x v="46"/>
    <x v="0"/>
    <x v="46"/>
    <x v="48"/>
    <x v="35"/>
    <x v="0"/>
    <x v="0"/>
    <x v="24"/>
    <x v="42"/>
    <x v="23"/>
    <n v="13906.023999999999"/>
    <n v="13906.023999999999"/>
    <n v="13906.023999999999"/>
    <n v="0"/>
    <s v="NULL"/>
    <s v="Winterstorm NY MA TX PA SC"/>
    <n v="3949.1976460300002"/>
    <m/>
    <x v="0"/>
  </r>
  <r>
    <x v="242"/>
    <x v="2"/>
    <x v="11"/>
    <x v="173"/>
    <x v="1"/>
    <x v="212"/>
    <x v="185"/>
    <x v="123"/>
    <x v="0"/>
    <x v="0"/>
    <x v="5"/>
    <x v="193"/>
    <x v="3"/>
    <n v="802.1"/>
    <n v="802.1"/>
    <n v="802.1"/>
    <n v="0"/>
    <s v="NULL"/>
    <s v="Winterstorm NY MA TX PA SC"/>
    <n v="3949.1976460300002"/>
    <m/>
    <x v="1"/>
  </r>
  <r>
    <x v="243"/>
    <x v="2"/>
    <x v="2"/>
    <x v="111"/>
    <x v="1"/>
    <x v="213"/>
    <x v="119"/>
    <x v="83"/>
    <x v="0"/>
    <x v="0"/>
    <x v="108"/>
    <x v="194"/>
    <x v="13"/>
    <n v="259.41800000000001"/>
    <n v="259.41800000000001"/>
    <n v="259.41800000000001"/>
    <n v="0"/>
    <s v="NULL"/>
    <s v="Winterstorm NY MA TX PA SC"/>
    <n v="3949.1976460300002"/>
    <m/>
    <x v="1"/>
  </r>
  <r>
    <x v="327"/>
    <x v="2"/>
    <x v="0"/>
    <x v="226"/>
    <x v="1"/>
    <x v="291"/>
    <x v="72"/>
    <x v="49"/>
    <x v="0"/>
    <x v="0"/>
    <x v="137"/>
    <x v="262"/>
    <x v="26"/>
    <n v="11298.63"/>
    <n v="11298.63"/>
    <n v="11298.63"/>
    <n v="0"/>
    <s v="NULL"/>
    <s v="Winterstorm NY MA TX PA SC"/>
    <n v="3949.1976460300002"/>
    <m/>
    <x v="0"/>
  </r>
  <r>
    <x v="194"/>
    <x v="2"/>
    <x v="3"/>
    <x v="147"/>
    <x v="1"/>
    <x v="172"/>
    <x v="155"/>
    <x v="105"/>
    <x v="0"/>
    <x v="0"/>
    <x v="90"/>
    <x v="158"/>
    <x v="43"/>
    <n v="20629.932521030001"/>
    <n v="20629.932521030001"/>
    <n v="20629.932521030001"/>
    <n v="0"/>
    <s v="NULL"/>
    <s v="Winterstorm NY MA TX PA SC"/>
    <n v="3949.1976460300002"/>
    <m/>
    <x v="2"/>
  </r>
  <r>
    <x v="99"/>
    <x v="2"/>
    <x v="0"/>
    <x v="79"/>
    <x v="0"/>
    <x v="90"/>
    <x v="51"/>
    <x v="63"/>
    <x v="0"/>
    <x v="0"/>
    <x v="3"/>
    <x v="83"/>
    <x v="5"/>
    <n v="4.4264999999999999"/>
    <n v="4.4264999999999999"/>
    <n v="4.4264999999999999"/>
    <n v="0"/>
    <s v="NULL"/>
    <s v="Winterstorm NY MA TX PA SC"/>
    <n v="3949.1976460300002"/>
    <m/>
    <x v="0"/>
  </r>
  <r>
    <x v="214"/>
    <x v="2"/>
    <x v="13"/>
    <x v="160"/>
    <x v="1"/>
    <x v="191"/>
    <x v="168"/>
    <x v="46"/>
    <x v="0"/>
    <x v="0"/>
    <x v="3"/>
    <x v="175"/>
    <x v="12"/>
    <n v="67414.536999999997"/>
    <n v="67414.536999999997"/>
    <n v="67414.536999999997"/>
    <n v="0"/>
    <s v="NULL"/>
    <s v="Winterstorm NY MA TX PA SC"/>
    <n v="3949.1976460300002"/>
    <m/>
    <x v="8"/>
  </r>
  <r>
    <x v="127"/>
    <x v="2"/>
    <x v="0"/>
    <x v="103"/>
    <x v="1"/>
    <x v="116"/>
    <x v="108"/>
    <x v="79"/>
    <x v="0"/>
    <x v="0"/>
    <x v="3"/>
    <x v="107"/>
    <x v="39"/>
    <n v="909176.57609999995"/>
    <n v="909176.57609999995"/>
    <n v="909176.57609999995"/>
    <n v="0"/>
    <s v="NULL"/>
    <s v="Winterstorm NY MA TX PA SC"/>
    <n v="3949.1976460300002"/>
    <m/>
    <x v="0"/>
  </r>
  <r>
    <x v="246"/>
    <x v="2"/>
    <x v="7"/>
    <x v="176"/>
    <x v="1"/>
    <x v="216"/>
    <x v="98"/>
    <x v="101"/>
    <x v="0"/>
    <x v="0"/>
    <x v="109"/>
    <x v="197"/>
    <x v="12"/>
    <n v="2176.433"/>
    <n v="2176.433"/>
    <n v="2176.433"/>
    <n v="0"/>
    <s v="NULL"/>
    <s v="Winterstorm NY MA TX PA SC"/>
    <n v="3949.1976460300002"/>
    <m/>
    <x v="5"/>
  </r>
  <r>
    <x v="27"/>
    <x v="2"/>
    <x v="8"/>
    <x v="25"/>
    <x v="0"/>
    <x v="25"/>
    <x v="24"/>
    <x v="21"/>
    <x v="0"/>
    <x v="0"/>
    <x v="3"/>
    <x v="22"/>
    <x v="13"/>
    <n v="3836.7740343199998"/>
    <n v="3836.7740343199998"/>
    <n v="3836.7740343199998"/>
    <n v="0"/>
    <s v="NULL"/>
    <s v="Winterstorm NY MA TX PA SC"/>
    <n v="3949.1976460300002"/>
    <m/>
    <x v="6"/>
  </r>
  <r>
    <x v="102"/>
    <x v="2"/>
    <x v="4"/>
    <x v="82"/>
    <x v="1"/>
    <x v="93"/>
    <x v="91"/>
    <x v="66"/>
    <x v="0"/>
    <x v="0"/>
    <x v="5"/>
    <x v="86"/>
    <x v="10"/>
    <n v="2047.5421318399999"/>
    <n v="2047.5421318399999"/>
    <n v="2047.5421318399999"/>
    <n v="0"/>
    <s v="NULL"/>
    <s v="Winterstorm NY MA TX PA SC"/>
    <n v="3949.1976460300002"/>
    <m/>
    <x v="1"/>
  </r>
  <r>
    <x v="341"/>
    <x v="2"/>
    <x v="0"/>
    <x v="230"/>
    <x v="0"/>
    <x v="305"/>
    <x v="233"/>
    <x v="154"/>
    <x v="0"/>
    <x v="0"/>
    <x v="3"/>
    <x v="257"/>
    <x v="10"/>
    <n v="49.398000000000003"/>
    <n v="49.398000000000003"/>
    <n v="49.398000000000003"/>
    <n v="0"/>
    <s v="NULL"/>
    <s v="Winterstorm NY MA TX PA SC"/>
    <n v="3949.1976460300002"/>
    <m/>
    <x v="0"/>
  </r>
  <r>
    <x v="251"/>
    <x v="2"/>
    <x v="0"/>
    <x v="179"/>
    <x v="0"/>
    <x v="221"/>
    <x v="58"/>
    <x v="31"/>
    <x v="0"/>
    <x v="0"/>
    <x v="87"/>
    <x v="201"/>
    <x v="12"/>
    <n v="4.4740000000000002"/>
    <n v="4.4740000000000002"/>
    <n v="4.4740000000000002"/>
    <n v="0"/>
    <s v="NULL"/>
    <s v="Winterstorm NY MA TX PA SC"/>
    <n v="3949.1976460300002"/>
    <m/>
    <x v="0"/>
  </r>
  <r>
    <x v="148"/>
    <x v="2"/>
    <x v="0"/>
    <x v="23"/>
    <x v="0"/>
    <x v="131"/>
    <x v="51"/>
    <x v="45"/>
    <x v="0"/>
    <x v="0"/>
    <x v="3"/>
    <x v="121"/>
    <x v="11"/>
    <n v="9262.4295999999995"/>
    <n v="9262.4295999999995"/>
    <n v="9262.4295999999995"/>
    <n v="0"/>
    <s v="NULL"/>
    <s v="Winterstorm NY MA TX PA SC"/>
    <n v="3949.1976460300002"/>
    <m/>
    <x v="0"/>
  </r>
  <r>
    <x v="130"/>
    <x v="1"/>
    <x v="1"/>
    <x v="5"/>
    <x v="0"/>
    <x v="5"/>
    <x v="111"/>
    <x v="3"/>
    <x v="0"/>
    <x v="0"/>
    <x v="4"/>
    <x v="5"/>
    <x v="3"/>
    <n v="76042.817999999999"/>
    <n v="76042.817999999999"/>
    <n v="76042.817999999999"/>
    <n v="0"/>
    <s v="NULL"/>
    <s v="Winterstorm NY TX MA CT PA"/>
    <n v="3280.0940773799998"/>
    <m/>
    <x v="1"/>
  </r>
  <r>
    <x v="216"/>
    <x v="1"/>
    <x v="11"/>
    <x v="59"/>
    <x v="0"/>
    <x v="61"/>
    <x v="170"/>
    <x v="3"/>
    <x v="0"/>
    <x v="0"/>
    <x v="4"/>
    <x v="5"/>
    <x v="3"/>
    <n v="661.57249999999999"/>
    <n v="661.57249999999999"/>
    <n v="661.57249999999999"/>
    <n v="0"/>
    <s v="NULL"/>
    <s v="Winterstorm NY TX MA CT PA"/>
    <n v="3280.0940773799998"/>
    <m/>
    <x v="1"/>
  </r>
  <r>
    <x v="110"/>
    <x v="1"/>
    <x v="2"/>
    <x v="27"/>
    <x v="0"/>
    <x v="27"/>
    <x v="97"/>
    <x v="3"/>
    <x v="0"/>
    <x v="0"/>
    <x v="4"/>
    <x v="5"/>
    <x v="3"/>
    <n v="153002.074826"/>
    <n v="153002.074826"/>
    <n v="153002.074826"/>
    <n v="0"/>
    <s v="NULL"/>
    <s v="Winterstorm NY TX MA CT PA"/>
    <n v="3280.0940773799998"/>
    <m/>
    <x v="1"/>
  </r>
  <r>
    <x v="133"/>
    <x v="1"/>
    <x v="12"/>
    <x v="105"/>
    <x v="1"/>
    <x v="72"/>
    <x v="113"/>
    <x v="81"/>
    <x v="0"/>
    <x v="0"/>
    <x v="5"/>
    <x v="110"/>
    <x v="3"/>
    <n v="635.04"/>
    <n v="635.04"/>
    <n v="635.04"/>
    <n v="0"/>
    <s v="NULL"/>
    <s v="Winterstorm NY TX MA CT PA"/>
    <n v="3280.0940773799998"/>
    <m/>
    <x v="4"/>
  </r>
  <r>
    <x v="118"/>
    <x v="1"/>
    <x v="14"/>
    <x v="95"/>
    <x v="1"/>
    <x v="107"/>
    <x v="102"/>
    <x v="74"/>
    <x v="0"/>
    <x v="0"/>
    <x v="5"/>
    <x v="99"/>
    <x v="3"/>
    <n v="261489.02"/>
    <n v="261489.02"/>
    <n v="261489.02"/>
    <n v="0"/>
    <s v="NULL"/>
    <s v="Winterstorm NY TX MA CT PA"/>
    <n v="3280.0940773799998"/>
    <m/>
    <x v="4"/>
  </r>
  <r>
    <x v="208"/>
    <x v="1"/>
    <x v="12"/>
    <x v="157"/>
    <x v="1"/>
    <x v="185"/>
    <x v="166"/>
    <x v="114"/>
    <x v="0"/>
    <x v="0"/>
    <x v="5"/>
    <x v="170"/>
    <x v="3"/>
    <n v="1621"/>
    <n v="1621"/>
    <n v="1621"/>
    <n v="0"/>
    <s v="NULL"/>
    <s v="Winterstorm NY TX MA CT PA"/>
    <n v="3280.0940773799998"/>
    <m/>
    <x v="4"/>
  </r>
  <r>
    <x v="204"/>
    <x v="1"/>
    <x v="6"/>
    <x v="154"/>
    <x v="1"/>
    <x v="181"/>
    <x v="163"/>
    <x v="112"/>
    <x v="0"/>
    <x v="0"/>
    <x v="5"/>
    <x v="167"/>
    <x v="3"/>
    <n v="889.69"/>
    <n v="889.69"/>
    <n v="889.69"/>
    <n v="0"/>
    <s v="NULL"/>
    <s v="Winterstorm NY TX MA CT PA"/>
    <n v="3280.0940773799998"/>
    <m/>
    <x v="4"/>
  </r>
  <r>
    <x v="149"/>
    <x v="1"/>
    <x v="0"/>
    <x v="52"/>
    <x v="0"/>
    <x v="132"/>
    <x v="122"/>
    <x v="72"/>
    <x v="0"/>
    <x v="0"/>
    <x v="70"/>
    <x v="122"/>
    <x v="2"/>
    <n v="1293.2716"/>
    <n v="1293.2716"/>
    <n v="1293.2716"/>
    <n v="0"/>
    <s v="NULL"/>
    <s v="Winterstorm NY TX MA CT PA"/>
    <n v="3280.0940773799998"/>
    <m/>
    <x v="0"/>
  </r>
  <r>
    <x v="196"/>
    <x v="1"/>
    <x v="0"/>
    <x v="1"/>
    <x v="0"/>
    <x v="173"/>
    <x v="157"/>
    <x v="107"/>
    <x v="0"/>
    <x v="0"/>
    <x v="91"/>
    <x v="160"/>
    <x v="1"/>
    <n v="154.45665"/>
    <n v="154.45665"/>
    <n v="154.45665"/>
    <n v="0"/>
    <s v="NULL"/>
    <s v="Winterstorm NY TX MA CT PA"/>
    <n v="3280.0940773799998"/>
    <m/>
    <x v="0"/>
  </r>
  <r>
    <x v="121"/>
    <x v="1"/>
    <x v="2"/>
    <x v="98"/>
    <x v="0"/>
    <x v="110"/>
    <x v="3"/>
    <x v="9"/>
    <x v="0"/>
    <x v="0"/>
    <x v="59"/>
    <x v="102"/>
    <x v="5"/>
    <n v="7167.77"/>
    <n v="7167.77"/>
    <n v="7167.77"/>
    <n v="0"/>
    <s v="NULL"/>
    <s v="Winterstorm NY TX MA CT PA"/>
    <n v="3280.0940773799998"/>
    <m/>
    <x v="1"/>
  </r>
  <r>
    <x v="342"/>
    <x v="1"/>
    <x v="3"/>
    <x v="234"/>
    <x v="1"/>
    <x v="306"/>
    <x v="234"/>
    <x v="155"/>
    <x v="0"/>
    <x v="0"/>
    <x v="143"/>
    <x v="272"/>
    <x v="5"/>
    <n v="412113.25750000001"/>
    <n v="412113.25750000001"/>
    <n v="412113.25750000001"/>
    <n v="0"/>
    <s v="NULL"/>
    <s v="Winterstorm NY TX MA CT PA"/>
    <n v="3280.0940773799998"/>
    <m/>
    <x v="2"/>
  </r>
  <r>
    <x v="266"/>
    <x v="1"/>
    <x v="2"/>
    <x v="189"/>
    <x v="0"/>
    <x v="235"/>
    <x v="141"/>
    <x v="56"/>
    <x v="0"/>
    <x v="0"/>
    <x v="116"/>
    <x v="212"/>
    <x v="4"/>
    <n v="2180.6147999999998"/>
    <n v="2180.6147999999998"/>
    <n v="2180.6147999999998"/>
    <n v="0"/>
    <s v="NULL"/>
    <s v="Winterstorm NY TX MA CT PA"/>
    <n v="3280.0940773799998"/>
    <m/>
    <x v="1"/>
  </r>
  <r>
    <x v="343"/>
    <x v="1"/>
    <x v="0"/>
    <x v="87"/>
    <x v="0"/>
    <x v="307"/>
    <x v="235"/>
    <x v="156"/>
    <x v="0"/>
    <x v="0"/>
    <x v="144"/>
    <x v="273"/>
    <x v="5"/>
    <n v="700.60149999999999"/>
    <n v="700.60149999999999"/>
    <n v="700.60149999999999"/>
    <n v="0"/>
    <s v="NULL"/>
    <s v="Winterstorm NY TX MA CT PA"/>
    <n v="3280.0940773799998"/>
    <m/>
    <x v="0"/>
  </r>
  <r>
    <x v="267"/>
    <x v="1"/>
    <x v="0"/>
    <x v="77"/>
    <x v="0"/>
    <x v="236"/>
    <x v="47"/>
    <x v="9"/>
    <x v="0"/>
    <x v="0"/>
    <x v="117"/>
    <x v="64"/>
    <x v="10"/>
    <n v="1975.5989999999999"/>
    <n v="1975.5989999999999"/>
    <n v="1975.5989999999999"/>
    <n v="0"/>
    <s v="NULL"/>
    <s v="Winterstorm NY TX MA CT PA"/>
    <n v="3280.0940773799998"/>
    <m/>
    <x v="0"/>
  </r>
  <r>
    <x v="268"/>
    <x v="1"/>
    <x v="2"/>
    <x v="190"/>
    <x v="0"/>
    <x v="237"/>
    <x v="65"/>
    <x v="19"/>
    <x v="0"/>
    <x v="0"/>
    <x v="118"/>
    <x v="213"/>
    <x v="12"/>
    <n v="7087.9709999999995"/>
    <n v="7087.9709999999995"/>
    <n v="7087.9709999999995"/>
    <n v="0"/>
    <s v="NULL"/>
    <s v="Winterstorm NY TX MA CT PA"/>
    <n v="3280.0940773799998"/>
    <m/>
    <x v="1"/>
  </r>
  <r>
    <x v="269"/>
    <x v="1"/>
    <x v="0"/>
    <x v="191"/>
    <x v="0"/>
    <x v="238"/>
    <x v="117"/>
    <x v="29"/>
    <x v="0"/>
    <x v="0"/>
    <x v="20"/>
    <x v="133"/>
    <x v="5"/>
    <n v="6.4675000000000002"/>
    <n v="6.4675000000000002"/>
    <n v="6.4675000000000002"/>
    <n v="0"/>
    <s v="NULL"/>
    <s v="Winterstorm NY TX MA CT PA"/>
    <n v="3280.0940773799998"/>
    <m/>
    <x v="0"/>
  </r>
  <r>
    <x v="271"/>
    <x v="1"/>
    <x v="2"/>
    <x v="123"/>
    <x v="1"/>
    <x v="240"/>
    <x v="196"/>
    <x v="132"/>
    <x v="0"/>
    <x v="0"/>
    <x v="5"/>
    <x v="215"/>
    <x v="27"/>
    <n v="13306.7775"/>
    <n v="13306.7775"/>
    <n v="13306.7775"/>
    <n v="0"/>
    <s v="NULL"/>
    <s v="Winterstorm NY TX MA CT PA"/>
    <n v="3280.0940773799998"/>
    <m/>
    <x v="1"/>
  </r>
  <r>
    <x v="273"/>
    <x v="1"/>
    <x v="0"/>
    <x v="192"/>
    <x v="1"/>
    <x v="242"/>
    <x v="198"/>
    <x v="71"/>
    <x v="0"/>
    <x v="0"/>
    <x v="120"/>
    <x v="217"/>
    <x v="23"/>
    <n v="238221.07949999999"/>
    <n v="238221.07949999999"/>
    <n v="238221.07949999999"/>
    <n v="0"/>
    <s v="NULL"/>
    <s v="Winterstorm NY TX MA CT PA"/>
    <n v="3280.0940773799998"/>
    <m/>
    <x v="0"/>
  </r>
  <r>
    <x v="274"/>
    <x v="1"/>
    <x v="0"/>
    <x v="193"/>
    <x v="0"/>
    <x v="243"/>
    <x v="165"/>
    <x v="29"/>
    <x v="0"/>
    <x v="0"/>
    <x v="121"/>
    <x v="218"/>
    <x v="4"/>
    <n v="369.08609999999999"/>
    <n v="369.08609999999999"/>
    <n v="369.08609999999999"/>
    <n v="0"/>
    <s v="NULL"/>
    <s v="Winterstorm NY TX MA CT PA"/>
    <n v="3280.0940773799998"/>
    <m/>
    <x v="0"/>
  </r>
  <r>
    <x v="275"/>
    <x v="1"/>
    <x v="0"/>
    <x v="194"/>
    <x v="1"/>
    <x v="244"/>
    <x v="199"/>
    <x v="134"/>
    <x v="0"/>
    <x v="0"/>
    <x v="122"/>
    <x v="219"/>
    <x v="33"/>
    <n v="316276.50180000003"/>
    <n v="316276.50180000003"/>
    <n v="316276.50180000003"/>
    <n v="0"/>
    <s v="NULL"/>
    <s v="Winterstorm NY TX MA CT PA"/>
    <n v="3280.0940773799998"/>
    <m/>
    <x v="0"/>
  </r>
  <r>
    <x v="344"/>
    <x v="1"/>
    <x v="0"/>
    <x v="41"/>
    <x v="0"/>
    <x v="308"/>
    <x v="236"/>
    <x v="49"/>
    <x v="0"/>
    <x v="0"/>
    <x v="3"/>
    <x v="274"/>
    <x v="57"/>
    <n v="556.17055000000005"/>
    <n v="556.17055000000005"/>
    <n v="556.17055000000005"/>
    <n v="0"/>
    <s v="NULL"/>
    <s v="Winterstorm NY TX MA CT PA"/>
    <n v="3280.0940773799998"/>
    <m/>
    <x v="0"/>
  </r>
  <r>
    <x v="276"/>
    <x v="1"/>
    <x v="0"/>
    <x v="195"/>
    <x v="1"/>
    <x v="245"/>
    <x v="200"/>
    <x v="101"/>
    <x v="0"/>
    <x v="0"/>
    <x v="3"/>
    <x v="220"/>
    <x v="4"/>
    <n v="22688.176800000001"/>
    <n v="22688.176800000001"/>
    <n v="22688.176800000001"/>
    <n v="0"/>
    <s v="NULL"/>
    <s v="Winterstorm NY TX MA CT PA"/>
    <n v="3280.0940773799998"/>
    <m/>
    <x v="0"/>
  </r>
  <r>
    <x v="277"/>
    <x v="1"/>
    <x v="0"/>
    <x v="196"/>
    <x v="0"/>
    <x v="246"/>
    <x v="47"/>
    <x v="9"/>
    <x v="0"/>
    <x v="0"/>
    <x v="3"/>
    <x v="221"/>
    <x v="10"/>
    <n v="859.76099999999997"/>
    <n v="859.76099999999997"/>
    <n v="859.76099999999997"/>
    <n v="0"/>
    <s v="NULL"/>
    <s v="Winterstorm NY TX MA CT PA"/>
    <n v="3280.0940773799998"/>
    <m/>
    <x v="0"/>
  </r>
  <r>
    <x v="278"/>
    <x v="1"/>
    <x v="0"/>
    <x v="127"/>
    <x v="0"/>
    <x v="247"/>
    <x v="169"/>
    <x v="1"/>
    <x v="0"/>
    <x v="0"/>
    <x v="3"/>
    <x v="222"/>
    <x v="12"/>
    <n v="2284.5650000000001"/>
    <n v="2284.5650000000001"/>
    <n v="2284.5650000000001"/>
    <n v="0"/>
    <s v="NULL"/>
    <s v="Winterstorm NY TX MA CT PA"/>
    <n v="3280.0940773799998"/>
    <m/>
    <x v="0"/>
  </r>
  <r>
    <x v="345"/>
    <x v="1"/>
    <x v="0"/>
    <x v="235"/>
    <x v="1"/>
    <x v="309"/>
    <x v="237"/>
    <x v="30"/>
    <x v="0"/>
    <x v="0"/>
    <x v="21"/>
    <x v="275"/>
    <x v="58"/>
    <n v="198295.11322500001"/>
    <n v="198295.11322500001"/>
    <n v="198295.11322500001"/>
    <n v="0"/>
    <s v="NULL"/>
    <s v="Winterstorm NY TX MA CT PA"/>
    <n v="3280.0940773799998"/>
    <m/>
    <x v="0"/>
  </r>
  <r>
    <x v="193"/>
    <x v="1"/>
    <x v="0"/>
    <x v="146"/>
    <x v="0"/>
    <x v="171"/>
    <x v="41"/>
    <x v="32"/>
    <x v="0"/>
    <x v="0"/>
    <x v="3"/>
    <x v="57"/>
    <x v="42"/>
    <n v="28.126124999999998"/>
    <n v="28.126124999999998"/>
    <n v="28.126124999999998"/>
    <n v="0"/>
    <s v="NULL"/>
    <s v="Winterstorm NY TX MA CT PA"/>
    <n v="3280.0940773799998"/>
    <m/>
    <x v="0"/>
  </r>
  <r>
    <x v="119"/>
    <x v="1"/>
    <x v="0"/>
    <x v="96"/>
    <x v="1"/>
    <x v="108"/>
    <x v="103"/>
    <x v="75"/>
    <x v="0"/>
    <x v="0"/>
    <x v="3"/>
    <x v="100"/>
    <x v="36"/>
    <n v="248979.13200000001"/>
    <n v="248979.13200000001"/>
    <n v="248979.13200000001"/>
    <n v="0"/>
    <s v="NULL"/>
    <s v="Winterstorm NY TX MA CT PA"/>
    <n v="3280.0940773799998"/>
    <m/>
    <x v="0"/>
  </r>
  <r>
    <x v="128"/>
    <x v="1"/>
    <x v="0"/>
    <x v="0"/>
    <x v="0"/>
    <x v="117"/>
    <x v="109"/>
    <x v="80"/>
    <x v="0"/>
    <x v="0"/>
    <x v="61"/>
    <x v="108"/>
    <x v="0"/>
    <n v="17060.067500000001"/>
    <n v="17060.067500000001"/>
    <n v="17060.067500000001"/>
    <n v="0"/>
    <s v="NULL"/>
    <s v="Winterstorm NY TX MA CT PA"/>
    <n v="3280.0940773799998"/>
    <m/>
    <x v="0"/>
  </r>
  <r>
    <x v="126"/>
    <x v="1"/>
    <x v="0"/>
    <x v="56"/>
    <x v="0"/>
    <x v="115"/>
    <x v="80"/>
    <x v="63"/>
    <x v="0"/>
    <x v="0"/>
    <x v="60"/>
    <x v="106"/>
    <x v="23"/>
    <n v="12457.241"/>
    <n v="12457.241"/>
    <n v="12457.241"/>
    <n v="0"/>
    <s v="NULL"/>
    <s v="Winterstorm NY TX MA CT PA"/>
    <n v="3280.0940773799998"/>
    <m/>
    <x v="0"/>
  </r>
  <r>
    <x v="146"/>
    <x v="1"/>
    <x v="0"/>
    <x v="2"/>
    <x v="0"/>
    <x v="129"/>
    <x v="117"/>
    <x v="49"/>
    <x v="0"/>
    <x v="0"/>
    <x v="37"/>
    <x v="119"/>
    <x v="4"/>
    <n v="908.6223"/>
    <n v="908.6223"/>
    <n v="908.6223"/>
    <n v="0"/>
    <s v="NULL"/>
    <s v="Winterstorm NY TX MA CT PA"/>
    <n v="3280.0940773799998"/>
    <m/>
    <x v="0"/>
  </r>
  <r>
    <x v="93"/>
    <x v="1"/>
    <x v="0"/>
    <x v="61"/>
    <x v="0"/>
    <x v="84"/>
    <x v="73"/>
    <x v="45"/>
    <x v="0"/>
    <x v="0"/>
    <x v="47"/>
    <x v="77"/>
    <x v="32"/>
    <n v="4206.4400500000002"/>
    <n v="4206.4400500000002"/>
    <n v="4206.4400500000002"/>
    <n v="0"/>
    <s v="NULL"/>
    <s v="Winterstorm NY TX MA CT PA"/>
    <n v="3280.0940773799998"/>
    <m/>
    <x v="0"/>
  </r>
  <r>
    <x v="198"/>
    <x v="1"/>
    <x v="0"/>
    <x v="150"/>
    <x v="0"/>
    <x v="175"/>
    <x v="87"/>
    <x v="4"/>
    <x v="0"/>
    <x v="0"/>
    <x v="92"/>
    <x v="162"/>
    <x v="23"/>
    <n v="9270.4055000000008"/>
    <n v="9270.4055000000008"/>
    <n v="9270.4055000000008"/>
    <n v="0"/>
    <s v="NULL"/>
    <s v="Winterstorm NY TX MA CT PA"/>
    <n v="3280.0940773799998"/>
    <m/>
    <x v="0"/>
  </r>
  <r>
    <x v="147"/>
    <x v="1"/>
    <x v="3"/>
    <x v="114"/>
    <x v="0"/>
    <x v="130"/>
    <x v="8"/>
    <x v="29"/>
    <x v="0"/>
    <x v="0"/>
    <x v="69"/>
    <x v="120"/>
    <x v="16"/>
    <n v="394.416"/>
    <n v="394.416"/>
    <n v="394.416"/>
    <n v="0"/>
    <s v="NULL"/>
    <s v="Winterstorm NY TX MA CT PA"/>
    <n v="3280.0940773799998"/>
    <m/>
    <x v="2"/>
  </r>
  <r>
    <x v="114"/>
    <x v="1"/>
    <x v="0"/>
    <x v="37"/>
    <x v="0"/>
    <x v="104"/>
    <x v="99"/>
    <x v="8"/>
    <x v="0"/>
    <x v="0"/>
    <x v="12"/>
    <x v="95"/>
    <x v="37"/>
    <n v="2530.5468999999998"/>
    <n v="2530.5468999999998"/>
    <n v="2530.5468999999998"/>
    <n v="0"/>
    <s v="NULL"/>
    <s v="Winterstorm NY TX MA CT PA"/>
    <n v="3280.0940773799998"/>
    <m/>
    <x v="0"/>
  </r>
  <r>
    <x v="91"/>
    <x v="1"/>
    <x v="0"/>
    <x v="0"/>
    <x v="0"/>
    <x v="82"/>
    <x v="83"/>
    <x v="59"/>
    <x v="0"/>
    <x v="0"/>
    <x v="45"/>
    <x v="75"/>
    <x v="30"/>
    <n v="9222.3556750000007"/>
    <n v="9222.3556750000007"/>
    <n v="9222.3556750000007"/>
    <n v="0"/>
    <s v="NULL"/>
    <s v="Winterstorm NY TX MA CT PA"/>
    <n v="3280.0940773799998"/>
    <m/>
    <x v="0"/>
  </r>
  <r>
    <x v="140"/>
    <x v="1"/>
    <x v="2"/>
    <x v="109"/>
    <x v="0"/>
    <x v="123"/>
    <x v="117"/>
    <x v="8"/>
    <x v="0"/>
    <x v="0"/>
    <x v="12"/>
    <x v="34"/>
    <x v="16"/>
    <n v="489.39749999999998"/>
    <n v="489.39749999999998"/>
    <n v="489.39749999999998"/>
    <n v="0"/>
    <s v="NULL"/>
    <s v="Winterstorm NY TX MA CT PA"/>
    <n v="3280.0940773799998"/>
    <m/>
    <x v="1"/>
  </r>
  <r>
    <x v="142"/>
    <x v="1"/>
    <x v="2"/>
    <x v="111"/>
    <x v="0"/>
    <x v="125"/>
    <x v="119"/>
    <x v="83"/>
    <x v="0"/>
    <x v="0"/>
    <x v="65"/>
    <x v="115"/>
    <x v="13"/>
    <n v="63.932000000000002"/>
    <n v="63.932000000000002"/>
    <n v="63.932000000000002"/>
    <n v="0"/>
    <s v="NULL"/>
    <s v="Winterstorm NY TX MA CT PA"/>
    <n v="3280.0940773799998"/>
    <m/>
    <x v="1"/>
  </r>
  <r>
    <x v="346"/>
    <x v="1"/>
    <x v="7"/>
    <x v="236"/>
    <x v="1"/>
    <x v="310"/>
    <x v="238"/>
    <x v="157"/>
    <x v="0"/>
    <x v="0"/>
    <x v="110"/>
    <x v="276"/>
    <x v="5"/>
    <n v="20690.961652310001"/>
    <n v="20690.961652310001"/>
    <n v="20690.961652310001"/>
    <n v="0"/>
    <s v="NULL"/>
    <s v="Winterstorm NY TX MA CT PA"/>
    <n v="3280.0940773799998"/>
    <m/>
    <x v="5"/>
  </r>
  <r>
    <x v="283"/>
    <x v="1"/>
    <x v="13"/>
    <x v="201"/>
    <x v="1"/>
    <x v="252"/>
    <x v="202"/>
    <x v="135"/>
    <x v="0"/>
    <x v="0"/>
    <x v="3"/>
    <x v="227"/>
    <x v="51"/>
    <n v="51078.084968679999"/>
    <n v="51078.084968679999"/>
    <n v="51078.084968679999"/>
    <n v="0"/>
    <s v="NULL"/>
    <s v="Winterstorm NY TX MA CT PA"/>
    <n v="3280.0940773799998"/>
    <m/>
    <x v="8"/>
  </r>
  <r>
    <x v="347"/>
    <x v="1"/>
    <x v="0"/>
    <x v="237"/>
    <x v="0"/>
    <x v="311"/>
    <x v="239"/>
    <x v="158"/>
    <x v="0"/>
    <x v="0"/>
    <x v="3"/>
    <x v="277"/>
    <x v="29"/>
    <n v="26.46"/>
    <n v="26.46"/>
    <n v="26.46"/>
    <n v="0"/>
    <s v="NULL"/>
    <s v="Winterstorm NY TX MA CT PA"/>
    <n v="3280.0940773799998"/>
    <m/>
    <x v="0"/>
  </r>
  <r>
    <x v="88"/>
    <x v="1"/>
    <x v="0"/>
    <x v="73"/>
    <x v="0"/>
    <x v="79"/>
    <x v="80"/>
    <x v="8"/>
    <x v="0"/>
    <x v="0"/>
    <x v="3"/>
    <x v="72"/>
    <x v="13"/>
    <n v="2.1379999999999999"/>
    <n v="2.1379999999999999"/>
    <n v="2.1379999999999999"/>
    <n v="0"/>
    <s v="NULL"/>
    <s v="Winterstorm NY TX MA CT PA"/>
    <n v="3280.0940773799998"/>
    <m/>
    <x v="0"/>
  </r>
  <r>
    <x v="203"/>
    <x v="1"/>
    <x v="13"/>
    <x v="153"/>
    <x v="1"/>
    <x v="180"/>
    <x v="162"/>
    <x v="111"/>
    <x v="0"/>
    <x v="0"/>
    <x v="52"/>
    <x v="166"/>
    <x v="4"/>
    <n v="8274.3231413400008"/>
    <n v="8274.3231413400008"/>
    <n v="8274.3231413400008"/>
    <n v="0"/>
    <s v="NULL"/>
    <s v="Winterstorm NY TX MA CT PA"/>
    <n v="3280.0940773799998"/>
    <m/>
    <x v="8"/>
  </r>
  <r>
    <x v="141"/>
    <x v="1"/>
    <x v="0"/>
    <x v="110"/>
    <x v="1"/>
    <x v="124"/>
    <x v="118"/>
    <x v="82"/>
    <x v="0"/>
    <x v="0"/>
    <x v="3"/>
    <x v="114"/>
    <x v="12"/>
    <n v="34122.201000000001"/>
    <n v="34122.201000000001"/>
    <n v="34122.201000000001"/>
    <n v="0"/>
    <s v="NULL"/>
    <s v="Winterstorm NY TX MA CT PA"/>
    <n v="3280.0940773799998"/>
    <m/>
    <x v="0"/>
  </r>
  <r>
    <x v="111"/>
    <x v="1"/>
    <x v="0"/>
    <x v="90"/>
    <x v="1"/>
    <x v="101"/>
    <x v="98"/>
    <x v="71"/>
    <x v="0"/>
    <x v="0"/>
    <x v="3"/>
    <x v="92"/>
    <x v="13"/>
    <n v="38268.959999999999"/>
    <n v="38268.959999999999"/>
    <n v="38268.959999999999"/>
    <n v="0"/>
    <s v="NULL"/>
    <s v="Winterstorm NY TX MA CT PA"/>
    <n v="3280.0940773799998"/>
    <m/>
    <x v="0"/>
  </r>
  <r>
    <x v="120"/>
    <x v="1"/>
    <x v="0"/>
    <x v="97"/>
    <x v="1"/>
    <x v="109"/>
    <x v="104"/>
    <x v="76"/>
    <x v="0"/>
    <x v="0"/>
    <x v="58"/>
    <x v="101"/>
    <x v="25"/>
    <n v="3465.3042"/>
    <n v="3465.3042"/>
    <n v="3465.3042"/>
    <n v="0"/>
    <s v="NULL"/>
    <s v="Winterstorm NY TX MA CT PA"/>
    <n v="3280.0940773799998"/>
    <m/>
    <x v="0"/>
  </r>
  <r>
    <x v="94"/>
    <x v="1"/>
    <x v="7"/>
    <x v="76"/>
    <x v="1"/>
    <x v="85"/>
    <x v="85"/>
    <x v="60"/>
    <x v="0"/>
    <x v="0"/>
    <x v="3"/>
    <x v="78"/>
    <x v="33"/>
    <n v="28916.796600000001"/>
    <n v="28916.796600000001"/>
    <n v="28916.796600000001"/>
    <n v="0"/>
    <s v="NULL"/>
    <s v="Winterstorm NY TX MA CT PA"/>
    <n v="3280.0940773799998"/>
    <m/>
    <x v="5"/>
  </r>
  <r>
    <x v="206"/>
    <x v="1"/>
    <x v="2"/>
    <x v="156"/>
    <x v="0"/>
    <x v="183"/>
    <x v="1"/>
    <x v="32"/>
    <x v="0"/>
    <x v="0"/>
    <x v="68"/>
    <x v="168"/>
    <x v="16"/>
    <n v="291.10275000000001"/>
    <n v="291.10275000000001"/>
    <n v="291.10275000000001"/>
    <n v="0"/>
    <s v="NULL"/>
    <s v="Winterstorm NY TX MA CT PA"/>
    <n v="3280.0940773799998"/>
    <m/>
    <x v="1"/>
  </r>
  <r>
    <x v="75"/>
    <x v="1"/>
    <x v="7"/>
    <x v="64"/>
    <x v="1"/>
    <x v="67"/>
    <x v="69"/>
    <x v="39"/>
    <x v="0"/>
    <x v="0"/>
    <x v="29"/>
    <x v="61"/>
    <x v="9"/>
    <n v="275.07420000000002"/>
    <n v="275.07420000000002"/>
    <n v="275.07420000000002"/>
    <n v="0"/>
    <s v="NULL"/>
    <s v="Winterstorm NY TX MA CT PA"/>
    <n v="3280.0940773799998"/>
    <m/>
    <x v="5"/>
  </r>
  <r>
    <x v="209"/>
    <x v="1"/>
    <x v="0"/>
    <x v="23"/>
    <x v="0"/>
    <x v="186"/>
    <x v="47"/>
    <x v="4"/>
    <x v="0"/>
    <x v="0"/>
    <x v="3"/>
    <x v="171"/>
    <x v="11"/>
    <n v="47122.328800000003"/>
    <n v="47122.328800000003"/>
    <n v="47122.328800000003"/>
    <n v="0"/>
    <s v="NULL"/>
    <s v="Winterstorm NY TX MA CT PA"/>
    <n v="3280.0940773799998"/>
    <m/>
    <x v="0"/>
  </r>
  <r>
    <x v="219"/>
    <x v="1"/>
    <x v="0"/>
    <x v="163"/>
    <x v="0"/>
    <x v="195"/>
    <x v="8"/>
    <x v="72"/>
    <x v="0"/>
    <x v="0"/>
    <x v="98"/>
    <x v="152"/>
    <x v="10"/>
    <n v="451.48649999999998"/>
    <n v="451.48649999999998"/>
    <n v="451.48649999999998"/>
    <n v="0"/>
    <s v="NULL"/>
    <s v="Winterstorm NY TX MA CT PA"/>
    <n v="3280.0940773799998"/>
    <m/>
    <x v="0"/>
  </r>
  <r>
    <x v="192"/>
    <x v="1"/>
    <x v="0"/>
    <x v="145"/>
    <x v="1"/>
    <x v="170"/>
    <x v="154"/>
    <x v="1"/>
    <x v="0"/>
    <x v="0"/>
    <x v="1"/>
    <x v="157"/>
    <x v="20"/>
    <n v="51603.502999999997"/>
    <n v="51603.502999999997"/>
    <n v="51603.502999999997"/>
    <n v="0"/>
    <s v="NULL"/>
    <s v="Winterstorm NY TX MA CT PA"/>
    <n v="3280.0940773799998"/>
    <m/>
    <x v="0"/>
  </r>
  <r>
    <x v="222"/>
    <x v="2"/>
    <x v="11"/>
    <x v="59"/>
    <x v="0"/>
    <x v="61"/>
    <x v="173"/>
    <x v="3"/>
    <x v="0"/>
    <x v="0"/>
    <x v="4"/>
    <x v="5"/>
    <x v="3"/>
    <n v="821.94317699999999"/>
    <n v="821.94317699999999"/>
    <n v="821.94317699999999"/>
    <n v="0"/>
    <s v="NULL"/>
    <s v="Winterstorm NY MA TX PA SC"/>
    <n v="3949.1976460300002"/>
    <m/>
    <x v="1"/>
  </r>
  <r>
    <x v="223"/>
    <x v="2"/>
    <x v="11"/>
    <x v="59"/>
    <x v="0"/>
    <x v="61"/>
    <x v="174"/>
    <x v="3"/>
    <x v="0"/>
    <x v="0"/>
    <x v="4"/>
    <x v="5"/>
    <x v="3"/>
    <n v="1071.8739129999999"/>
    <n v="1071.8739129999999"/>
    <n v="1071.8739129999999"/>
    <n v="0"/>
    <s v="NULL"/>
    <s v="Winterstorm NY MA TX PA SC"/>
    <n v="3949.1976460300002"/>
    <m/>
    <x v="1"/>
  </r>
  <r>
    <x v="225"/>
    <x v="2"/>
    <x v="17"/>
    <x v="165"/>
    <x v="0"/>
    <x v="197"/>
    <x v="176"/>
    <x v="3"/>
    <x v="0"/>
    <x v="0"/>
    <x v="4"/>
    <x v="5"/>
    <x v="3"/>
    <n v="26.368600000000001"/>
    <n v="26.368600000000001"/>
    <n v="26.368600000000001"/>
    <n v="0"/>
    <s v="NULL"/>
    <s v="Winterstorm NY MA TX PA SC"/>
    <n v="3949.1976460300002"/>
    <m/>
    <x v="10"/>
  </r>
  <r>
    <x v="226"/>
    <x v="2"/>
    <x v="2"/>
    <x v="27"/>
    <x v="0"/>
    <x v="27"/>
    <x v="177"/>
    <x v="3"/>
    <x v="0"/>
    <x v="0"/>
    <x v="4"/>
    <x v="5"/>
    <x v="3"/>
    <n v="65.089799999999997"/>
    <n v="65.089799999999997"/>
    <n v="65.089799999999997"/>
    <n v="0"/>
    <s v="NULL"/>
    <s v="Winterstorm NY MA TX PA SC"/>
    <n v="3949.1976460300002"/>
    <m/>
    <x v="1"/>
  </r>
  <r>
    <x v="228"/>
    <x v="2"/>
    <x v="12"/>
    <x v="166"/>
    <x v="1"/>
    <x v="198"/>
    <x v="179"/>
    <x v="117"/>
    <x v="0"/>
    <x v="0"/>
    <x v="5"/>
    <x v="180"/>
    <x v="3"/>
    <n v="24686.51"/>
    <n v="24686.51"/>
    <n v="24686.51"/>
    <n v="0"/>
    <s v="NULL"/>
    <s v="Winterstorm NY MA TX PA SC"/>
    <n v="3949.1976460300002"/>
    <m/>
    <x v="4"/>
  </r>
  <r>
    <x v="338"/>
    <x v="2"/>
    <x v="5"/>
    <x v="231"/>
    <x v="1"/>
    <x v="302"/>
    <x v="230"/>
    <x v="152"/>
    <x v="0"/>
    <x v="0"/>
    <x v="5"/>
    <x v="5"/>
    <x v="3"/>
    <n v="0"/>
    <n v="0"/>
    <n v="-5.07"/>
    <n v="0"/>
    <s v="NULL"/>
    <s v="Winterstorm NY MA TX PA SC"/>
    <n v="3949.1976460300002"/>
    <m/>
    <x v="3"/>
  </r>
  <r>
    <x v="300"/>
    <x v="2"/>
    <x v="0"/>
    <x v="122"/>
    <x v="0"/>
    <x v="265"/>
    <x v="80"/>
    <x v="9"/>
    <x v="0"/>
    <x v="0"/>
    <x v="125"/>
    <x v="238"/>
    <x v="12"/>
    <n v="374.322"/>
    <n v="374.322"/>
    <n v="374.322"/>
    <n v="0"/>
    <s v="NULL"/>
    <s v="Winterstorm NY MA TX PA SC"/>
    <n v="3949.1976460300002"/>
    <m/>
    <x v="0"/>
  </r>
  <r>
    <x v="230"/>
    <x v="2"/>
    <x v="3"/>
    <x v="167"/>
    <x v="1"/>
    <x v="200"/>
    <x v="181"/>
    <x v="119"/>
    <x v="0"/>
    <x v="0"/>
    <x v="3"/>
    <x v="182"/>
    <x v="2"/>
    <n v="133526.50899999999"/>
    <n v="133526.50899999999"/>
    <n v="133526.50899999999"/>
    <n v="0"/>
    <s v="NULL"/>
    <s v="Winterstorm NY MA TX PA SC"/>
    <n v="3949.1976460300002"/>
    <m/>
    <x v="2"/>
  </r>
  <r>
    <x v="231"/>
    <x v="2"/>
    <x v="0"/>
    <x v="168"/>
    <x v="0"/>
    <x v="201"/>
    <x v="80"/>
    <x v="9"/>
    <x v="0"/>
    <x v="0"/>
    <x v="101"/>
    <x v="183"/>
    <x v="12"/>
    <n v="9126.0460000000003"/>
    <n v="9126.0460000000003"/>
    <n v="9126.0460000000003"/>
    <n v="0"/>
    <s v="NULL"/>
    <s v="Winterstorm NY MA TX PA SC"/>
    <n v="3949.1976460300002"/>
    <m/>
    <x v="0"/>
  </r>
  <r>
    <x v="232"/>
    <x v="2"/>
    <x v="0"/>
    <x v="169"/>
    <x v="0"/>
    <x v="202"/>
    <x v="123"/>
    <x v="72"/>
    <x v="0"/>
    <x v="0"/>
    <x v="102"/>
    <x v="184"/>
    <x v="16"/>
    <n v="17.357250000000001"/>
    <n v="17.357250000000001"/>
    <n v="17.357250000000001"/>
    <n v="0"/>
    <s v="NULL"/>
    <s v="Winterstorm NY MA TX PA SC"/>
    <n v="3949.1976460300002"/>
    <m/>
    <x v="0"/>
  </r>
  <r>
    <x v="313"/>
    <x v="2"/>
    <x v="0"/>
    <x v="146"/>
    <x v="0"/>
    <x v="278"/>
    <x v="41"/>
    <x v="32"/>
    <x v="0"/>
    <x v="0"/>
    <x v="3"/>
    <x v="250"/>
    <x v="42"/>
    <n v="68.217124999999996"/>
    <n v="68.217124999999996"/>
    <n v="68.217124999999996"/>
    <n v="0"/>
    <s v="NULL"/>
    <s v="Winterstorm NY MA TX PA SC"/>
    <n v="3949.1976460300002"/>
    <m/>
    <x v="0"/>
  </r>
  <r>
    <x v="233"/>
    <x v="2"/>
    <x v="0"/>
    <x v="170"/>
    <x v="1"/>
    <x v="203"/>
    <x v="51"/>
    <x v="30"/>
    <x v="0"/>
    <x v="0"/>
    <x v="21"/>
    <x v="185"/>
    <x v="12"/>
    <n v="2499422.7629999998"/>
    <n v="2499422.7629999998"/>
    <n v="2499422.7629999998"/>
    <n v="0"/>
    <s v="NULL"/>
    <s v="Winterstorm NY MA TX PA SC"/>
    <n v="3949.1976460300002"/>
    <m/>
    <x v="0"/>
  </r>
  <r>
    <x v="234"/>
    <x v="2"/>
    <x v="2"/>
    <x v="88"/>
    <x v="0"/>
    <x v="204"/>
    <x v="21"/>
    <x v="32"/>
    <x v="0"/>
    <x v="0"/>
    <x v="103"/>
    <x v="186"/>
    <x v="13"/>
    <n v="603.39400000000001"/>
    <n v="603.39400000000001"/>
    <n v="603.39400000000001"/>
    <n v="0"/>
    <s v="NULL"/>
    <s v="Winterstorm NY MA TX PA SC"/>
    <n v="3949.1976460300002"/>
    <m/>
    <x v="1"/>
  </r>
  <r>
    <x v="340"/>
    <x v="2"/>
    <x v="4"/>
    <x v="233"/>
    <x v="1"/>
    <x v="304"/>
    <x v="232"/>
    <x v="153"/>
    <x v="0"/>
    <x v="0"/>
    <x v="63"/>
    <x v="271"/>
    <x v="16"/>
    <n v="2.22374866"/>
    <n v="2.22374866"/>
    <n v="2.22374866"/>
    <n v="0"/>
    <s v="NULL"/>
    <s v="Winterstorm NY MA TX PA SC"/>
    <n v="3949.1976460300002"/>
    <m/>
    <x v="1"/>
  </r>
  <r>
    <x v="235"/>
    <x v="2"/>
    <x v="2"/>
    <x v="171"/>
    <x v="0"/>
    <x v="205"/>
    <x v="19"/>
    <x v="49"/>
    <x v="0"/>
    <x v="0"/>
    <x v="37"/>
    <x v="187"/>
    <x v="12"/>
    <n v="1224.674"/>
    <n v="1224.674"/>
    <n v="1224.674"/>
    <n v="0"/>
    <s v="NULL"/>
    <s v="Winterstorm NY MA TX PA SC"/>
    <n v="3949.1976460300002"/>
    <m/>
    <x v="1"/>
  </r>
  <r>
    <x v="314"/>
    <x v="2"/>
    <x v="0"/>
    <x v="11"/>
    <x v="0"/>
    <x v="279"/>
    <x v="19"/>
    <x v="1"/>
    <x v="0"/>
    <x v="0"/>
    <x v="2"/>
    <x v="251"/>
    <x v="5"/>
    <n v="338.21050000000002"/>
    <n v="338.21050000000002"/>
    <n v="338.21050000000002"/>
    <n v="0"/>
    <s v="NULL"/>
    <s v="Winterstorm NY MA TX PA SC"/>
    <n v="3949.1976460300002"/>
    <m/>
    <x v="0"/>
  </r>
  <r>
    <x v="315"/>
    <x v="2"/>
    <x v="0"/>
    <x v="61"/>
    <x v="0"/>
    <x v="280"/>
    <x v="65"/>
    <x v="19"/>
    <x v="0"/>
    <x v="0"/>
    <x v="118"/>
    <x v="252"/>
    <x v="12"/>
    <n v="8763.6290000000008"/>
    <n v="8763.6290000000008"/>
    <n v="8763.6290000000008"/>
    <n v="0"/>
    <s v="NULL"/>
    <s v="Winterstorm NY MA TX PA SC"/>
    <n v="3949.1976460300002"/>
    <m/>
    <x v="0"/>
  </r>
  <r>
    <x v="316"/>
    <x v="2"/>
    <x v="0"/>
    <x v="150"/>
    <x v="0"/>
    <x v="281"/>
    <x v="39"/>
    <x v="39"/>
    <x v="0"/>
    <x v="0"/>
    <x v="132"/>
    <x v="253"/>
    <x v="23"/>
    <n v="14438.71725"/>
    <n v="14438.71725"/>
    <n v="14438.71725"/>
    <n v="0"/>
    <s v="NULL"/>
    <s v="Winterstorm NY MA TX PA SC"/>
    <n v="3949.1976460300002"/>
    <m/>
    <x v="0"/>
  </r>
  <r>
    <x v="239"/>
    <x v="2"/>
    <x v="0"/>
    <x v="35"/>
    <x v="0"/>
    <x v="209"/>
    <x v="151"/>
    <x v="31"/>
    <x v="0"/>
    <x v="0"/>
    <x v="87"/>
    <x v="59"/>
    <x v="0"/>
    <n v="56.303800000000003"/>
    <n v="56.303800000000003"/>
    <n v="56.303800000000003"/>
    <n v="0"/>
    <s v="NULL"/>
    <s v="Winterstorm NY MA TX PA SC"/>
    <n v="3949.1976460300002"/>
    <m/>
    <x v="0"/>
  </r>
  <r>
    <x v="240"/>
    <x v="2"/>
    <x v="0"/>
    <x v="0"/>
    <x v="0"/>
    <x v="210"/>
    <x v="183"/>
    <x v="121"/>
    <x v="0"/>
    <x v="0"/>
    <x v="106"/>
    <x v="191"/>
    <x v="0"/>
    <n v="23334.372599999999"/>
    <n v="23334.372599999999"/>
    <n v="23334.372599999999"/>
    <n v="0"/>
    <s v="NULL"/>
    <s v="Winterstorm NY MA TX PA SC"/>
    <n v="3949.1976460300002"/>
    <m/>
    <x v="0"/>
  </r>
  <r>
    <x v="241"/>
    <x v="2"/>
    <x v="3"/>
    <x v="81"/>
    <x v="0"/>
    <x v="211"/>
    <x v="184"/>
    <x v="122"/>
    <x v="0"/>
    <x v="0"/>
    <x v="107"/>
    <x v="192"/>
    <x v="5"/>
    <n v="22518.0075"/>
    <n v="22518.0075"/>
    <n v="22518.0075"/>
    <n v="0"/>
    <s v="NULL"/>
    <s v="Winterstorm NY MA TX PA SC"/>
    <n v="3949.1976460300002"/>
    <m/>
    <x v="2"/>
  </r>
  <r>
    <x v="244"/>
    <x v="2"/>
    <x v="0"/>
    <x v="174"/>
    <x v="0"/>
    <x v="214"/>
    <x v="69"/>
    <x v="124"/>
    <x v="0"/>
    <x v="0"/>
    <x v="3"/>
    <x v="195"/>
    <x v="5"/>
    <n v="3.9285000000000001"/>
    <n v="3.9285000000000001"/>
    <n v="3.9285000000000001"/>
    <n v="0"/>
    <s v="NULL"/>
    <s v="Winterstorm NY MA TX PA SC"/>
    <n v="3949.1976460300002"/>
    <m/>
    <x v="0"/>
  </r>
  <r>
    <x v="112"/>
    <x v="2"/>
    <x v="2"/>
    <x v="91"/>
    <x v="0"/>
    <x v="102"/>
    <x v="51"/>
    <x v="9"/>
    <x v="0"/>
    <x v="0"/>
    <x v="55"/>
    <x v="93"/>
    <x v="13"/>
    <n v="24.4"/>
    <n v="24.4"/>
    <n v="24.4"/>
    <n v="0"/>
    <s v="NULL"/>
    <s v="Winterstorm NY MA TX PA SC"/>
    <n v="3949.1976460300002"/>
    <m/>
    <x v="1"/>
  </r>
  <r>
    <x v="245"/>
    <x v="2"/>
    <x v="0"/>
    <x v="175"/>
    <x v="0"/>
    <x v="215"/>
    <x v="58"/>
    <x v="8"/>
    <x v="0"/>
    <x v="0"/>
    <x v="3"/>
    <x v="196"/>
    <x v="5"/>
    <n v="156.41900000000001"/>
    <n v="156.41900000000001"/>
    <n v="156.41900000000001"/>
    <n v="0"/>
    <s v="NULL"/>
    <s v="Winterstorm NY MA TX PA SC"/>
    <n v="3949.1976460300002"/>
    <m/>
    <x v="0"/>
  </r>
  <r>
    <x v="247"/>
    <x v="2"/>
    <x v="0"/>
    <x v="6"/>
    <x v="0"/>
    <x v="217"/>
    <x v="144"/>
    <x v="8"/>
    <x v="0"/>
    <x v="0"/>
    <x v="3"/>
    <x v="198"/>
    <x v="4"/>
    <n v="229.61009999999999"/>
    <n v="229.61009999999999"/>
    <n v="229.61009999999999"/>
    <n v="0"/>
    <s v="NULL"/>
    <s v="Winterstorm NY MA TX PA SC"/>
    <n v="3949.1976460300002"/>
    <m/>
    <x v="0"/>
  </r>
  <r>
    <x v="319"/>
    <x v="2"/>
    <x v="0"/>
    <x v="183"/>
    <x v="0"/>
    <x v="284"/>
    <x v="219"/>
    <x v="31"/>
    <x v="0"/>
    <x v="0"/>
    <x v="3"/>
    <x v="256"/>
    <x v="48"/>
    <n v="1.9512499999999999"/>
    <n v="1.9512499999999999"/>
    <n v="1.9512499999999999"/>
    <n v="0"/>
    <s v="NULL"/>
    <s v="Winterstorm NY MA TX PA SC"/>
    <n v="3949.1976460300002"/>
    <m/>
    <x v="0"/>
  </r>
  <r>
    <x v="248"/>
    <x v="2"/>
    <x v="7"/>
    <x v="177"/>
    <x v="1"/>
    <x v="218"/>
    <x v="168"/>
    <x v="125"/>
    <x v="0"/>
    <x v="0"/>
    <x v="110"/>
    <x v="199"/>
    <x v="46"/>
    <n v="19733.985625000001"/>
    <n v="19733.985625000001"/>
    <n v="19733.985625000001"/>
    <n v="0"/>
    <s v="NULL"/>
    <s v="Winterstorm NY MA TX PA SC"/>
    <n v="3949.1976460300002"/>
    <m/>
    <x v="5"/>
  </r>
  <r>
    <x v="249"/>
    <x v="2"/>
    <x v="0"/>
    <x v="162"/>
    <x v="0"/>
    <x v="219"/>
    <x v="186"/>
    <x v="124"/>
    <x v="0"/>
    <x v="0"/>
    <x v="94"/>
    <x v="59"/>
    <x v="12"/>
    <n v="693.85199999999998"/>
    <n v="693.85199999999998"/>
    <n v="693.85199999999998"/>
    <n v="0"/>
    <s v="NULL"/>
    <s v="Winterstorm NY MA TX PA SC"/>
    <n v="3949.1976460300002"/>
    <m/>
    <x v="0"/>
  </r>
  <r>
    <x v="320"/>
    <x v="2"/>
    <x v="0"/>
    <x v="222"/>
    <x v="0"/>
    <x v="285"/>
    <x v="220"/>
    <x v="145"/>
    <x v="0"/>
    <x v="0"/>
    <x v="3"/>
    <x v="257"/>
    <x v="24"/>
    <n v="182.36959999999999"/>
    <n v="182.36959999999999"/>
    <n v="182.36959999999999"/>
    <n v="0"/>
    <s v="NULL"/>
    <s v="Winterstorm NY MA TX PA SC"/>
    <n v="3949.1976460300002"/>
    <m/>
    <x v="0"/>
  </r>
  <r>
    <x v="250"/>
    <x v="2"/>
    <x v="0"/>
    <x v="178"/>
    <x v="1"/>
    <x v="220"/>
    <x v="187"/>
    <x v="126"/>
    <x v="0"/>
    <x v="0"/>
    <x v="111"/>
    <x v="200"/>
    <x v="5"/>
    <n v="312787.86849999998"/>
    <n v="312787.86849999998"/>
    <n v="312787.86849999998"/>
    <n v="0"/>
    <s v="NULL"/>
    <s v="Winterstorm NY MA TX PA SC"/>
    <n v="3949.1976460300002"/>
    <m/>
    <x v="0"/>
  </r>
  <r>
    <x v="252"/>
    <x v="2"/>
    <x v="0"/>
    <x v="23"/>
    <x v="0"/>
    <x v="222"/>
    <x v="70"/>
    <x v="2"/>
    <x v="0"/>
    <x v="0"/>
    <x v="3"/>
    <x v="202"/>
    <x v="16"/>
    <n v="10384.057500000001"/>
    <n v="10384.057500000001"/>
    <n v="10384.057500000001"/>
    <n v="0"/>
    <s v="NULL"/>
    <s v="Winterstorm NY MA TX PA SC"/>
    <n v="3949.1976460300002"/>
    <m/>
    <x v="0"/>
  </r>
  <r>
    <x v="253"/>
    <x v="2"/>
    <x v="7"/>
    <x v="180"/>
    <x v="1"/>
    <x v="223"/>
    <x v="188"/>
    <x v="127"/>
    <x v="0"/>
    <x v="0"/>
    <x v="112"/>
    <x v="203"/>
    <x v="4"/>
    <n v="7836.6068999999998"/>
    <n v="7836.6068999999998"/>
    <n v="7836.6068999999998"/>
    <n v="0"/>
    <s v="NULL"/>
    <s v="Winterstorm NY MA TX PA SC"/>
    <n v="3949.1976460300002"/>
    <m/>
    <x v="5"/>
  </r>
  <r>
    <x v="254"/>
    <x v="2"/>
    <x v="0"/>
    <x v="181"/>
    <x v="0"/>
    <x v="224"/>
    <x v="47"/>
    <x v="32"/>
    <x v="0"/>
    <x v="0"/>
    <x v="3"/>
    <x v="204"/>
    <x v="12"/>
    <n v="47.134999999999998"/>
    <n v="47.134999999999998"/>
    <n v="47.134999999999998"/>
    <n v="0"/>
    <s v="NULL"/>
    <s v="Winterstorm NY MA TX PA SC"/>
    <n v="3949.1976460300002"/>
    <m/>
    <x v="0"/>
  </r>
  <r>
    <x v="290"/>
    <x v="0"/>
    <x v="1"/>
    <x v="5"/>
    <x v="0"/>
    <x v="5"/>
    <x v="204"/>
    <x v="3"/>
    <x v="0"/>
    <x v="0"/>
    <x v="4"/>
    <x v="5"/>
    <x v="3"/>
    <n v="1286.604206"/>
    <n v="1286.604206"/>
    <n v="1286.604206"/>
    <n v="0"/>
    <s v="NULL"/>
    <s v="Winterstorm NY TX MA NJ PA"/>
    <n v="4781.60363426"/>
    <m/>
    <x v="1"/>
  </r>
  <r>
    <x v="291"/>
    <x v="0"/>
    <x v="11"/>
    <x v="59"/>
    <x v="0"/>
    <x v="61"/>
    <x v="205"/>
    <x v="3"/>
    <x v="0"/>
    <x v="0"/>
    <x v="4"/>
    <x v="5"/>
    <x v="3"/>
    <n v="922.94812000000002"/>
    <n v="922.94812000000002"/>
    <n v="922.94812000000002"/>
    <n v="0"/>
    <s v="NULL"/>
    <s v="Winterstorm NY TX MA NJ PA"/>
    <n v="4781.60363426"/>
    <m/>
    <x v="1"/>
  </r>
  <r>
    <x v="292"/>
    <x v="0"/>
    <x v="4"/>
    <x v="12"/>
    <x v="0"/>
    <x v="12"/>
    <x v="206"/>
    <x v="3"/>
    <x v="0"/>
    <x v="0"/>
    <x v="4"/>
    <x v="5"/>
    <x v="3"/>
    <n v="2140.736891"/>
    <n v="2140.736891"/>
    <n v="2140.736891"/>
    <n v="0"/>
    <s v="NULL"/>
    <s v="Winterstorm NY TX MA NJ PA"/>
    <n v="4781.60363426"/>
    <m/>
    <x v="1"/>
  </r>
  <r>
    <x v="293"/>
    <x v="0"/>
    <x v="2"/>
    <x v="27"/>
    <x v="0"/>
    <x v="27"/>
    <x v="207"/>
    <x v="3"/>
    <x v="0"/>
    <x v="0"/>
    <x v="4"/>
    <x v="5"/>
    <x v="3"/>
    <n v="1331.0809879999999"/>
    <n v="1331.0809879999999"/>
    <n v="1331.0809879999999"/>
    <n v="0"/>
    <s v="NULL"/>
    <s v="Winterstorm NY TX MA NJ PA"/>
    <n v="4781.60363426"/>
    <m/>
    <x v="1"/>
  </r>
  <r>
    <x v="294"/>
    <x v="0"/>
    <x v="9"/>
    <x v="204"/>
    <x v="1"/>
    <x v="259"/>
    <x v="208"/>
    <x v="138"/>
    <x v="0"/>
    <x v="0"/>
    <x v="5"/>
    <x v="233"/>
    <x v="3"/>
    <n v="6418.36"/>
    <n v="6418.36"/>
    <n v="6418.36"/>
    <n v="0"/>
    <s v="NULL"/>
    <s v="Winterstorm NY TX MA NJ PA"/>
    <n v="4781.60363426"/>
    <m/>
    <x v="4"/>
  </r>
  <r>
    <x v="295"/>
    <x v="0"/>
    <x v="12"/>
    <x v="205"/>
    <x v="1"/>
    <x v="260"/>
    <x v="209"/>
    <x v="139"/>
    <x v="0"/>
    <x v="0"/>
    <x v="5"/>
    <x v="234"/>
    <x v="3"/>
    <n v="372207.34"/>
    <n v="372207.34"/>
    <n v="372207.34"/>
    <n v="0"/>
    <s v="NULL"/>
    <s v="Winterstorm NY TX MA NJ PA"/>
    <n v="4781.60363426"/>
    <m/>
    <x v="4"/>
  </r>
  <r>
    <x v="156"/>
    <x v="0"/>
    <x v="14"/>
    <x v="118"/>
    <x v="1"/>
    <x v="135"/>
    <x v="129"/>
    <x v="88"/>
    <x v="0"/>
    <x v="0"/>
    <x v="5"/>
    <x v="125"/>
    <x v="3"/>
    <n v="15069.68"/>
    <n v="15069.68"/>
    <n v="15069.68"/>
    <n v="0"/>
    <s v="NULL"/>
    <s v="Winterstorm NY TX MA NJ PA"/>
    <n v="4781.60363426"/>
    <m/>
    <x v="4"/>
  </r>
  <r>
    <x v="296"/>
    <x v="0"/>
    <x v="14"/>
    <x v="206"/>
    <x v="1"/>
    <x v="261"/>
    <x v="210"/>
    <x v="140"/>
    <x v="0"/>
    <x v="0"/>
    <x v="5"/>
    <x v="235"/>
    <x v="3"/>
    <n v="84073.86"/>
    <n v="84073.86"/>
    <n v="84073.86"/>
    <n v="0"/>
    <s v="NULL"/>
    <s v="Winterstorm NY TX MA NJ PA"/>
    <n v="4781.60363426"/>
    <m/>
    <x v="4"/>
  </r>
  <r>
    <x v="297"/>
    <x v="0"/>
    <x v="5"/>
    <x v="207"/>
    <x v="0"/>
    <x v="262"/>
    <x v="211"/>
    <x v="141"/>
    <x v="0"/>
    <x v="0"/>
    <x v="96"/>
    <x v="5"/>
    <x v="3"/>
    <n v="0"/>
    <n v="0"/>
    <n v="-16256.94"/>
    <n v="0"/>
    <s v="NULL"/>
    <s v="Winterstorm NY TX MA NJ PA"/>
    <n v="4781.60363426"/>
    <m/>
    <x v="3"/>
  </r>
  <r>
    <x v="298"/>
    <x v="0"/>
    <x v="2"/>
    <x v="208"/>
    <x v="1"/>
    <x v="263"/>
    <x v="112"/>
    <x v="32"/>
    <x v="0"/>
    <x v="0"/>
    <x v="5"/>
    <x v="236"/>
    <x v="10"/>
    <n v="1413.1365000000001"/>
    <n v="1413.1365000000001"/>
    <n v="1413.1365000000001"/>
    <n v="0"/>
    <s v="NULL"/>
    <s v="Winterstorm NY TX MA NJ PA"/>
    <n v="4781.60363426"/>
    <m/>
    <x v="1"/>
  </r>
  <r>
    <x v="299"/>
    <x v="0"/>
    <x v="0"/>
    <x v="209"/>
    <x v="0"/>
    <x v="264"/>
    <x v="38"/>
    <x v="9"/>
    <x v="0"/>
    <x v="0"/>
    <x v="101"/>
    <x v="237"/>
    <x v="36"/>
    <n v="1273.2849000000001"/>
    <n v="1273.2849000000001"/>
    <n v="1273.2849000000001"/>
    <n v="0"/>
    <s v="NULL"/>
    <s v="Winterstorm NY TX MA NJ PA"/>
    <n v="4781.60363426"/>
    <m/>
    <x v="0"/>
  </r>
  <r>
    <x v="300"/>
    <x v="0"/>
    <x v="0"/>
    <x v="122"/>
    <x v="0"/>
    <x v="265"/>
    <x v="80"/>
    <x v="9"/>
    <x v="0"/>
    <x v="0"/>
    <x v="125"/>
    <x v="238"/>
    <x v="12"/>
    <n v="932.75"/>
    <n v="932.75"/>
    <n v="932.75"/>
    <n v="0"/>
    <s v="NULL"/>
    <s v="Winterstorm NY TX MA NJ PA"/>
    <n v="4781.60363426"/>
    <m/>
    <x v="0"/>
  </r>
  <r>
    <x v="348"/>
    <x v="0"/>
    <x v="0"/>
    <x v="77"/>
    <x v="0"/>
    <x v="312"/>
    <x v="240"/>
    <x v="8"/>
    <x v="0"/>
    <x v="0"/>
    <x v="14"/>
    <x v="278"/>
    <x v="59"/>
    <n v="2.9232999999999998"/>
    <n v="2.9232999999999998"/>
    <n v="2.9232999999999998"/>
    <n v="0"/>
    <s v="NULL"/>
    <s v="Winterstorm NY TX MA NJ PA"/>
    <n v="4781.60363426"/>
    <m/>
    <x v="0"/>
  </r>
  <r>
    <x v="108"/>
    <x v="0"/>
    <x v="2"/>
    <x v="88"/>
    <x v="0"/>
    <x v="99"/>
    <x v="39"/>
    <x v="8"/>
    <x v="0"/>
    <x v="0"/>
    <x v="34"/>
    <x v="91"/>
    <x v="10"/>
    <n v="3188.6444999999999"/>
    <n v="3188.6444999999999"/>
    <n v="3188.6444999999999"/>
    <n v="0"/>
    <s v="NULL"/>
    <s v="Winterstorm NY TX MA NJ PA"/>
    <n v="4781.60363426"/>
    <m/>
    <x v="1"/>
  </r>
  <r>
    <x v="349"/>
    <x v="0"/>
    <x v="0"/>
    <x v="238"/>
    <x v="2"/>
    <x v="313"/>
    <x v="36"/>
    <x v="71"/>
    <x v="6"/>
    <x v="0"/>
    <x v="145"/>
    <x v="198"/>
    <x v="9"/>
    <n v="6524.1518999999998"/>
    <n v="4294.2602917752502"/>
    <n v="4294.2602917752502"/>
    <n v="0"/>
    <s v="NULL"/>
    <s v="Winterstorm NY TX MA NJ PA"/>
    <n v="4781.60363426"/>
    <m/>
    <x v="0"/>
  </r>
  <r>
    <x v="135"/>
    <x v="0"/>
    <x v="7"/>
    <x v="106"/>
    <x v="1"/>
    <x v="120"/>
    <x v="112"/>
    <x v="34"/>
    <x v="0"/>
    <x v="0"/>
    <x v="63"/>
    <x v="111"/>
    <x v="4"/>
    <n v="2075.1950999999999"/>
    <n v="2075.1950999999999"/>
    <n v="2075.1950999999999"/>
    <n v="0"/>
    <s v="NULL"/>
    <s v="Winterstorm NY TX MA NJ PA"/>
    <n v="4781.60363426"/>
    <m/>
    <x v="5"/>
  </r>
  <r>
    <x v="98"/>
    <x v="0"/>
    <x v="0"/>
    <x v="22"/>
    <x v="0"/>
    <x v="89"/>
    <x v="88"/>
    <x v="62"/>
    <x v="0"/>
    <x v="0"/>
    <x v="48"/>
    <x v="82"/>
    <x v="5"/>
    <n v="1712.3734999999999"/>
    <n v="1712.3734999999999"/>
    <n v="1712.3734999999999"/>
    <n v="0"/>
    <s v="NULL"/>
    <s v="Winterstorm NY TX MA NJ PA"/>
    <n v="4781.60363426"/>
    <m/>
    <x v="0"/>
  </r>
  <r>
    <x v="202"/>
    <x v="0"/>
    <x v="0"/>
    <x v="151"/>
    <x v="1"/>
    <x v="179"/>
    <x v="161"/>
    <x v="110"/>
    <x v="0"/>
    <x v="0"/>
    <x v="95"/>
    <x v="165"/>
    <x v="45"/>
    <n v="98244.476624999996"/>
    <n v="98244.476624999996"/>
    <n v="98244.476624999996"/>
    <n v="0"/>
    <s v="NULL"/>
    <s v="Winterstorm NY TX MA NJ PA"/>
    <n v="4781.60363426"/>
    <m/>
    <x v="0"/>
  </r>
  <r>
    <x v="217"/>
    <x v="0"/>
    <x v="0"/>
    <x v="161"/>
    <x v="1"/>
    <x v="193"/>
    <x v="87"/>
    <x v="32"/>
    <x v="0"/>
    <x v="0"/>
    <x v="3"/>
    <x v="177"/>
    <x v="46"/>
    <n v="228491.044375"/>
    <n v="228491.044375"/>
    <n v="228491.044375"/>
    <n v="0"/>
    <s v="NULL"/>
    <s v="Winterstorm NY TX MA NJ PA"/>
    <n v="4781.60363426"/>
    <m/>
    <x v="0"/>
  </r>
  <r>
    <x v="213"/>
    <x v="0"/>
    <x v="0"/>
    <x v="108"/>
    <x v="0"/>
    <x v="190"/>
    <x v="117"/>
    <x v="32"/>
    <x v="0"/>
    <x v="0"/>
    <x v="46"/>
    <x v="77"/>
    <x v="23"/>
    <n v="184.6995"/>
    <n v="184.6995"/>
    <n v="184.6995"/>
    <n v="0"/>
    <s v="NULL"/>
    <s v="Winterstorm NY TX MA NJ PA"/>
    <n v="4781.60363426"/>
    <m/>
    <x v="0"/>
  </r>
  <r>
    <x v="210"/>
    <x v="0"/>
    <x v="0"/>
    <x v="158"/>
    <x v="0"/>
    <x v="187"/>
    <x v="58"/>
    <x v="8"/>
    <x v="0"/>
    <x v="0"/>
    <x v="12"/>
    <x v="172"/>
    <x v="5"/>
    <n v="16987.651000000002"/>
    <n v="16987.651000000002"/>
    <n v="16987.651000000002"/>
    <n v="0"/>
    <s v="NULL"/>
    <s v="Winterstorm NY TX MA NJ PA"/>
    <n v="4781.60363426"/>
    <m/>
    <x v="0"/>
  </r>
  <r>
    <x v="169"/>
    <x v="0"/>
    <x v="0"/>
    <x v="94"/>
    <x v="2"/>
    <x v="148"/>
    <x v="137"/>
    <x v="95"/>
    <x v="2"/>
    <x v="0"/>
    <x v="76"/>
    <x v="138"/>
    <x v="38"/>
    <n v="285000"/>
    <n v="187589.77441281601"/>
    <n v="187589.77441281601"/>
    <n v="0"/>
    <s v="NULL"/>
    <s v="Winterstorm NY TX MA NJ PA"/>
    <n v="4781.60363426"/>
    <m/>
    <x v="0"/>
  </r>
  <r>
    <x v="313"/>
    <x v="0"/>
    <x v="0"/>
    <x v="146"/>
    <x v="0"/>
    <x v="278"/>
    <x v="41"/>
    <x v="32"/>
    <x v="0"/>
    <x v="0"/>
    <x v="3"/>
    <x v="250"/>
    <x v="42"/>
    <n v="73.644625000000005"/>
    <n v="73.644625000000005"/>
    <n v="73.644625000000005"/>
    <n v="0"/>
    <s v="NULL"/>
    <s v="Winterstorm NY TX MA NJ PA"/>
    <n v="4781.60363426"/>
    <m/>
    <x v="0"/>
  </r>
  <r>
    <x v="170"/>
    <x v="0"/>
    <x v="0"/>
    <x v="0"/>
    <x v="0"/>
    <x v="149"/>
    <x v="138"/>
    <x v="96"/>
    <x v="0"/>
    <x v="0"/>
    <x v="77"/>
    <x v="139"/>
    <x v="0"/>
    <n v="61817.415800000002"/>
    <n v="61817.415800000002"/>
    <n v="61817.415800000002"/>
    <n v="0"/>
    <s v="NULL"/>
    <s v="Winterstorm NY TX MA NJ PA"/>
    <n v="4781.60363426"/>
    <m/>
    <x v="0"/>
  </r>
  <r>
    <x v="171"/>
    <x v="0"/>
    <x v="2"/>
    <x v="130"/>
    <x v="0"/>
    <x v="150"/>
    <x v="139"/>
    <x v="97"/>
    <x v="0"/>
    <x v="0"/>
    <x v="78"/>
    <x v="140"/>
    <x v="5"/>
    <n v="2180.6685000000002"/>
    <n v="2180.6685000000002"/>
    <n v="2180.6685000000002"/>
    <n v="0"/>
    <s v="NULL"/>
    <s v="Winterstorm NY TX MA NJ PA"/>
    <n v="4781.60363426"/>
    <m/>
    <x v="1"/>
  </r>
  <r>
    <x v="314"/>
    <x v="0"/>
    <x v="0"/>
    <x v="11"/>
    <x v="0"/>
    <x v="279"/>
    <x v="19"/>
    <x v="1"/>
    <x v="0"/>
    <x v="0"/>
    <x v="2"/>
    <x v="251"/>
    <x v="5"/>
    <n v="762.97299999999996"/>
    <n v="762.97299999999996"/>
    <n v="762.97299999999996"/>
    <n v="0"/>
    <s v="NULL"/>
    <s v="Winterstorm NY TX MA NJ PA"/>
    <n v="4781.60363426"/>
    <m/>
    <x v="0"/>
  </r>
  <r>
    <x v="315"/>
    <x v="0"/>
    <x v="0"/>
    <x v="61"/>
    <x v="0"/>
    <x v="280"/>
    <x v="65"/>
    <x v="19"/>
    <x v="0"/>
    <x v="0"/>
    <x v="118"/>
    <x v="252"/>
    <x v="12"/>
    <n v="11775.433000000001"/>
    <n v="11775.433000000001"/>
    <n v="11775.433000000001"/>
    <n v="0"/>
    <s v="NULL"/>
    <s v="Winterstorm NY TX MA NJ PA"/>
    <n v="4781.60363426"/>
    <m/>
    <x v="0"/>
  </r>
  <r>
    <x v="316"/>
    <x v="0"/>
    <x v="0"/>
    <x v="150"/>
    <x v="0"/>
    <x v="281"/>
    <x v="39"/>
    <x v="39"/>
    <x v="0"/>
    <x v="0"/>
    <x v="132"/>
    <x v="253"/>
    <x v="23"/>
    <n v="23129.647499999999"/>
    <n v="23129.647499999999"/>
    <n v="23129.647499999999"/>
    <n v="0"/>
    <s v="NULL"/>
    <s v="Winterstorm NY TX MA NJ PA"/>
    <n v="4781.60363426"/>
    <m/>
    <x v="0"/>
  </r>
  <r>
    <x v="172"/>
    <x v="0"/>
    <x v="3"/>
    <x v="81"/>
    <x v="0"/>
    <x v="151"/>
    <x v="63"/>
    <x v="19"/>
    <x v="0"/>
    <x v="0"/>
    <x v="79"/>
    <x v="141"/>
    <x v="5"/>
    <n v="6185.8355000000001"/>
    <n v="6185.8355000000001"/>
    <n v="6185.8355000000001"/>
    <n v="0"/>
    <s v="NULL"/>
    <s v="Winterstorm NY TX MA NJ PA"/>
    <n v="4781.60363426"/>
    <m/>
    <x v="2"/>
  </r>
  <r>
    <x v="173"/>
    <x v="0"/>
    <x v="0"/>
    <x v="46"/>
    <x v="0"/>
    <x v="152"/>
    <x v="40"/>
    <x v="19"/>
    <x v="0"/>
    <x v="0"/>
    <x v="80"/>
    <x v="70"/>
    <x v="28"/>
    <n v="50561.939400000003"/>
    <n v="50561.939400000003"/>
    <n v="50561.939400000003"/>
    <n v="0"/>
    <s v="NULL"/>
    <s v="Winterstorm NY TX MA NJ PA"/>
    <n v="4781.60363426"/>
    <m/>
    <x v="0"/>
  </r>
  <r>
    <x v="194"/>
    <x v="0"/>
    <x v="3"/>
    <x v="147"/>
    <x v="1"/>
    <x v="172"/>
    <x v="155"/>
    <x v="105"/>
    <x v="0"/>
    <x v="0"/>
    <x v="90"/>
    <x v="158"/>
    <x v="43"/>
    <n v="19667.10285191"/>
    <n v="19667.10285191"/>
    <n v="19667.10285191"/>
    <n v="0"/>
    <s v="NULL"/>
    <s v="Winterstorm NY TX MA NJ PA"/>
    <n v="4781.60363426"/>
    <m/>
    <x v="2"/>
  </r>
  <r>
    <x v="112"/>
    <x v="0"/>
    <x v="2"/>
    <x v="91"/>
    <x v="0"/>
    <x v="102"/>
    <x v="51"/>
    <x v="9"/>
    <x v="0"/>
    <x v="0"/>
    <x v="55"/>
    <x v="93"/>
    <x v="13"/>
    <n v="33.457999999999998"/>
    <n v="33.457999999999998"/>
    <n v="33.457999999999998"/>
    <n v="0"/>
    <s v="NULL"/>
    <s v="Winterstorm NY TX MA NJ PA"/>
    <n v="4781.60363426"/>
    <m/>
    <x v="1"/>
  </r>
  <r>
    <x v="99"/>
    <x v="0"/>
    <x v="0"/>
    <x v="79"/>
    <x v="0"/>
    <x v="90"/>
    <x v="51"/>
    <x v="63"/>
    <x v="0"/>
    <x v="0"/>
    <x v="3"/>
    <x v="83"/>
    <x v="5"/>
    <n v="7.6924999999999999"/>
    <n v="7.6924999999999999"/>
    <n v="7.6924999999999999"/>
    <n v="0"/>
    <s v="NULL"/>
    <s v="Winterstorm NY TX MA NJ PA"/>
    <n v="4781.60363426"/>
    <m/>
    <x v="0"/>
  </r>
  <r>
    <x v="214"/>
    <x v="0"/>
    <x v="13"/>
    <x v="160"/>
    <x v="1"/>
    <x v="191"/>
    <x v="168"/>
    <x v="46"/>
    <x v="0"/>
    <x v="0"/>
    <x v="3"/>
    <x v="175"/>
    <x v="12"/>
    <n v="90591.134000000005"/>
    <n v="90591.134000000005"/>
    <n v="90591.134000000005"/>
    <n v="0"/>
    <s v="NULL"/>
    <s v="Winterstorm NY TX MA NJ PA"/>
    <n v="4781.60363426"/>
    <m/>
    <x v="8"/>
  </r>
  <r>
    <x v="127"/>
    <x v="0"/>
    <x v="0"/>
    <x v="103"/>
    <x v="1"/>
    <x v="116"/>
    <x v="108"/>
    <x v="79"/>
    <x v="0"/>
    <x v="0"/>
    <x v="3"/>
    <x v="107"/>
    <x v="39"/>
    <n v="897697.35900000005"/>
    <n v="897697.35900000005"/>
    <n v="897697.35900000005"/>
    <n v="0"/>
    <s v="NULL"/>
    <s v="Winterstorm NY TX MA NJ PA"/>
    <n v="4781.60363426"/>
    <m/>
    <x v="0"/>
  </r>
  <r>
    <x v="183"/>
    <x v="0"/>
    <x v="0"/>
    <x v="138"/>
    <x v="1"/>
    <x v="162"/>
    <x v="146"/>
    <x v="99"/>
    <x v="0"/>
    <x v="0"/>
    <x v="3"/>
    <x v="150"/>
    <x v="41"/>
    <n v="86469.166800000006"/>
    <n v="86469.166800000006"/>
    <n v="86469.166800000006"/>
    <n v="0"/>
    <s v="NULL"/>
    <s v="Winterstorm NY TX MA NJ PA"/>
    <n v="4781.60363426"/>
    <m/>
    <x v="0"/>
  </r>
  <r>
    <x v="319"/>
    <x v="0"/>
    <x v="0"/>
    <x v="183"/>
    <x v="0"/>
    <x v="284"/>
    <x v="219"/>
    <x v="31"/>
    <x v="0"/>
    <x v="0"/>
    <x v="3"/>
    <x v="256"/>
    <x v="48"/>
    <n v="3.4646499999999998"/>
    <n v="3.4646499999999998"/>
    <n v="3.4646499999999998"/>
    <n v="0"/>
    <s v="NULL"/>
    <s v="Winterstorm NY TX MA NJ PA"/>
    <n v="4781.60363426"/>
    <m/>
    <x v="0"/>
  </r>
  <r>
    <x v="184"/>
    <x v="0"/>
    <x v="0"/>
    <x v="139"/>
    <x v="1"/>
    <x v="163"/>
    <x v="147"/>
    <x v="100"/>
    <x v="0"/>
    <x v="0"/>
    <x v="86"/>
    <x v="151"/>
    <x v="10"/>
    <n v="1246002.4454999999"/>
    <n v="1246002.4454999999"/>
    <n v="1246002.4454999999"/>
    <n v="0"/>
    <s v="NULL"/>
    <s v="Winterstorm NY TX MA NJ PA"/>
    <n v="4781.60363426"/>
    <m/>
    <x v="0"/>
  </r>
  <r>
    <x v="185"/>
    <x v="0"/>
    <x v="2"/>
    <x v="140"/>
    <x v="0"/>
    <x v="164"/>
    <x v="58"/>
    <x v="31"/>
    <x v="0"/>
    <x v="0"/>
    <x v="87"/>
    <x v="152"/>
    <x v="12"/>
    <n v="35.832999999999998"/>
    <n v="35.832999999999998"/>
    <n v="35.832999999999998"/>
    <n v="6.2318472900000002"/>
    <s v="NULL"/>
    <s v="Winterstorm NY TX MA NJ PA"/>
    <n v="4781.60363426"/>
    <m/>
    <x v="1"/>
  </r>
  <r>
    <x v="186"/>
    <x v="0"/>
    <x v="0"/>
    <x v="141"/>
    <x v="0"/>
    <x v="165"/>
    <x v="148"/>
    <x v="101"/>
    <x v="0"/>
    <x v="0"/>
    <x v="3"/>
    <x v="153"/>
    <x v="11"/>
    <n v="91.167199999999994"/>
    <n v="91.167199999999994"/>
    <n v="91.167199999999994"/>
    <n v="0"/>
    <s v="NULL"/>
    <s v="Winterstorm NY TX MA NJ PA"/>
    <n v="4781.60363426"/>
    <m/>
    <x v="0"/>
  </r>
  <r>
    <x v="320"/>
    <x v="0"/>
    <x v="0"/>
    <x v="222"/>
    <x v="0"/>
    <x v="285"/>
    <x v="220"/>
    <x v="145"/>
    <x v="0"/>
    <x v="0"/>
    <x v="3"/>
    <x v="257"/>
    <x v="24"/>
    <n v="855.3664"/>
    <n v="855.3664"/>
    <n v="855.3664"/>
    <n v="0"/>
    <s v="NULL"/>
    <s v="Winterstorm NY TX MA NJ PA"/>
    <n v="4781.60363426"/>
    <m/>
    <x v="0"/>
  </r>
  <r>
    <x v="187"/>
    <x v="0"/>
    <x v="0"/>
    <x v="142"/>
    <x v="3"/>
    <x v="166"/>
    <x v="149"/>
    <x v="26"/>
    <x v="0"/>
    <x v="0"/>
    <x v="88"/>
    <x v="154"/>
    <x v="2"/>
    <n v="1255.5558000000001"/>
    <n v="1255.5558000000001"/>
    <n v="1255.5558000000001"/>
    <n v="0"/>
    <s v="NULL"/>
    <s v="Winterstorm NY TX MA NJ PA"/>
    <n v="4781.60363426"/>
    <m/>
    <x v="0"/>
  </r>
  <r>
    <x v="302"/>
    <x v="0"/>
    <x v="3"/>
    <x v="211"/>
    <x v="1"/>
    <x v="267"/>
    <x v="169"/>
    <x v="45"/>
    <x v="0"/>
    <x v="0"/>
    <x v="3"/>
    <x v="240"/>
    <x v="5"/>
    <n v="36508.058499999999"/>
    <n v="36508.058499999999"/>
    <n v="36508.058499999999"/>
    <n v="0"/>
    <s v="NULL"/>
    <s v="Winterstorm NY TX MA NJ PA"/>
    <n v="4781.60363426"/>
    <m/>
    <x v="2"/>
  </r>
  <r>
    <x v="303"/>
    <x v="0"/>
    <x v="0"/>
    <x v="212"/>
    <x v="0"/>
    <x v="268"/>
    <x v="57"/>
    <x v="80"/>
    <x v="0"/>
    <x v="0"/>
    <x v="3"/>
    <x v="241"/>
    <x v="23"/>
    <n v="6.6137499999999996"/>
    <n v="6.6137499999999996"/>
    <n v="6.6137499999999996"/>
    <n v="0"/>
    <s v="NULL"/>
    <s v="Winterstorm NY TX MA NJ PA"/>
    <n v="4781.60363426"/>
    <m/>
    <x v="0"/>
  </r>
  <r>
    <x v="304"/>
    <x v="0"/>
    <x v="0"/>
    <x v="213"/>
    <x v="1"/>
    <x v="269"/>
    <x v="212"/>
    <x v="142"/>
    <x v="0"/>
    <x v="0"/>
    <x v="3"/>
    <x v="242"/>
    <x v="4"/>
    <n v="132199.34969999999"/>
    <n v="132199.34969999999"/>
    <n v="132199.34969999999"/>
    <n v="0"/>
    <s v="NULL"/>
    <s v="Winterstorm NY TX MA NJ PA"/>
    <n v="4781.60363426"/>
    <m/>
    <x v="0"/>
  </r>
  <r>
    <x v="305"/>
    <x v="0"/>
    <x v="3"/>
    <x v="214"/>
    <x v="1"/>
    <x v="270"/>
    <x v="213"/>
    <x v="100"/>
    <x v="0"/>
    <x v="0"/>
    <x v="86"/>
    <x v="151"/>
    <x v="4"/>
    <n v="249204.19500000001"/>
    <n v="249204.19500000001"/>
    <n v="249204.19500000001"/>
    <n v="0"/>
    <s v="NULL"/>
    <s v="Winterstorm NY TX MA NJ PA"/>
    <n v="4781.60363426"/>
    <m/>
    <x v="2"/>
  </r>
  <r>
    <x v="30"/>
    <x v="0"/>
    <x v="1"/>
    <x v="5"/>
    <x v="0"/>
    <x v="5"/>
    <x v="27"/>
    <x v="3"/>
    <x v="0"/>
    <x v="0"/>
    <x v="4"/>
    <x v="5"/>
    <x v="3"/>
    <n v="5255.4737800000003"/>
    <n v="5255.4737800000003"/>
    <n v="5255.4737800000003"/>
    <n v="0"/>
    <s v="NULL"/>
    <s v="Winterstorm NY TX MA NJ PA"/>
    <n v="4781.60363426"/>
    <m/>
    <x v="1"/>
  </r>
  <r>
    <x v="57"/>
    <x v="0"/>
    <x v="4"/>
    <x v="12"/>
    <x v="0"/>
    <x v="12"/>
    <x v="52"/>
    <x v="3"/>
    <x v="0"/>
    <x v="0"/>
    <x v="4"/>
    <x v="5"/>
    <x v="3"/>
    <n v="4561.2846440000003"/>
    <n v="4561.2846440000003"/>
    <n v="4561.2846440000003"/>
    <n v="0"/>
    <s v="NULL"/>
    <s v="Winterstorm NY TX MA NJ PA"/>
    <n v="4781.60363426"/>
    <m/>
    <x v="1"/>
  </r>
  <r>
    <x v="321"/>
    <x v="0"/>
    <x v="4"/>
    <x v="12"/>
    <x v="0"/>
    <x v="12"/>
    <x v="221"/>
    <x v="3"/>
    <x v="0"/>
    <x v="0"/>
    <x v="4"/>
    <x v="5"/>
    <x v="3"/>
    <n v="181.516458"/>
    <n v="181.516458"/>
    <n v="181.516458"/>
    <n v="0"/>
    <s v="NULL"/>
    <s v="Winterstorm NY TX MA NJ PA"/>
    <n v="4781.60363426"/>
    <m/>
    <x v="1"/>
  </r>
  <r>
    <x v="58"/>
    <x v="0"/>
    <x v="2"/>
    <x v="27"/>
    <x v="0"/>
    <x v="27"/>
    <x v="53"/>
    <x v="3"/>
    <x v="0"/>
    <x v="0"/>
    <x v="4"/>
    <x v="5"/>
    <x v="3"/>
    <n v="17861.751349999999"/>
    <n v="17861.751349999999"/>
    <n v="17861.751349999999"/>
    <n v="0"/>
    <s v="NULL"/>
    <s v="Winterstorm NY TX MA NJ PA"/>
    <n v="4781.60363426"/>
    <m/>
    <x v="1"/>
  </r>
  <r>
    <x v="39"/>
    <x v="0"/>
    <x v="6"/>
    <x v="34"/>
    <x v="1"/>
    <x v="34"/>
    <x v="35"/>
    <x v="27"/>
    <x v="0"/>
    <x v="0"/>
    <x v="5"/>
    <x v="30"/>
    <x v="3"/>
    <n v="90.12"/>
    <n v="90.12"/>
    <n v="90.12"/>
    <n v="0"/>
    <s v="NULL"/>
    <s v="Winterstorm NY TX MA NJ PA"/>
    <n v="4781.60363426"/>
    <m/>
    <x v="4"/>
  </r>
  <r>
    <x v="322"/>
    <x v="0"/>
    <x v="2"/>
    <x v="223"/>
    <x v="0"/>
    <x v="286"/>
    <x v="222"/>
    <x v="39"/>
    <x v="0"/>
    <x v="0"/>
    <x v="134"/>
    <x v="258"/>
    <x v="54"/>
    <n v="149.5357454"/>
    <n v="149.5357454"/>
    <n v="149.5357454"/>
    <n v="0"/>
    <s v="NULL"/>
    <s v="Winterstorm NY TX MA NJ PA"/>
    <n v="4781.60363426"/>
    <m/>
    <x v="1"/>
  </r>
  <r>
    <x v="37"/>
    <x v="0"/>
    <x v="0"/>
    <x v="32"/>
    <x v="0"/>
    <x v="32"/>
    <x v="33"/>
    <x v="25"/>
    <x v="0"/>
    <x v="0"/>
    <x v="16"/>
    <x v="28"/>
    <x v="2"/>
    <n v="5087.3739999999998"/>
    <n v="5087.3739999999998"/>
    <n v="5087.3739999999998"/>
    <n v="0"/>
    <s v="NULL"/>
    <s v="Winterstorm NY TX MA NJ PA"/>
    <n v="4781.60363426"/>
    <m/>
    <x v="0"/>
  </r>
  <r>
    <x v="342"/>
    <x v="0"/>
    <x v="3"/>
    <x v="234"/>
    <x v="1"/>
    <x v="306"/>
    <x v="234"/>
    <x v="155"/>
    <x v="0"/>
    <x v="0"/>
    <x v="143"/>
    <x v="272"/>
    <x v="5"/>
    <n v="829417.86300000001"/>
    <n v="829417.86300000001"/>
    <n v="829417.86300000001"/>
    <n v="0"/>
    <s v="NULL"/>
    <s v="Winterstorm NY TX MA NJ PA"/>
    <n v="4781.60363426"/>
    <m/>
    <x v="2"/>
  </r>
  <r>
    <x v="266"/>
    <x v="0"/>
    <x v="2"/>
    <x v="189"/>
    <x v="0"/>
    <x v="235"/>
    <x v="141"/>
    <x v="56"/>
    <x v="0"/>
    <x v="0"/>
    <x v="116"/>
    <x v="212"/>
    <x v="4"/>
    <n v="2263.674"/>
    <n v="2263.674"/>
    <n v="2263.674"/>
    <n v="0"/>
    <s v="NULL"/>
    <s v="Winterstorm NY TX MA NJ PA"/>
    <n v="4781.60363426"/>
    <m/>
    <x v="1"/>
  </r>
  <r>
    <x v="343"/>
    <x v="0"/>
    <x v="0"/>
    <x v="87"/>
    <x v="0"/>
    <x v="307"/>
    <x v="235"/>
    <x v="156"/>
    <x v="0"/>
    <x v="0"/>
    <x v="144"/>
    <x v="273"/>
    <x v="5"/>
    <n v="2543.2235000000001"/>
    <n v="2543.2235000000001"/>
    <n v="2543.2235000000001"/>
    <n v="0"/>
    <s v="NULL"/>
    <s v="Winterstorm NY TX MA NJ PA"/>
    <n v="4781.60363426"/>
    <m/>
    <x v="0"/>
  </r>
  <r>
    <x v="267"/>
    <x v="0"/>
    <x v="0"/>
    <x v="77"/>
    <x v="0"/>
    <x v="236"/>
    <x v="47"/>
    <x v="9"/>
    <x v="0"/>
    <x v="0"/>
    <x v="117"/>
    <x v="64"/>
    <x v="10"/>
    <n v="2744.3760000000002"/>
    <n v="2744.3760000000002"/>
    <n v="2744.3760000000002"/>
    <n v="0"/>
    <s v="NULL"/>
    <s v="Winterstorm NY TX MA NJ PA"/>
    <n v="4781.60363426"/>
    <m/>
    <x v="0"/>
  </r>
  <r>
    <x v="268"/>
    <x v="0"/>
    <x v="2"/>
    <x v="190"/>
    <x v="0"/>
    <x v="237"/>
    <x v="65"/>
    <x v="19"/>
    <x v="0"/>
    <x v="0"/>
    <x v="118"/>
    <x v="213"/>
    <x v="12"/>
    <n v="9124.8379999999997"/>
    <n v="9124.8379999999997"/>
    <n v="9124.8379999999997"/>
    <n v="0"/>
    <s v="NULL"/>
    <s v="Winterstorm NY TX MA NJ PA"/>
    <n v="4781.60363426"/>
    <m/>
    <x v="1"/>
  </r>
  <r>
    <x v="269"/>
    <x v="0"/>
    <x v="0"/>
    <x v="191"/>
    <x v="0"/>
    <x v="238"/>
    <x v="117"/>
    <x v="29"/>
    <x v="0"/>
    <x v="0"/>
    <x v="20"/>
    <x v="133"/>
    <x v="5"/>
    <n v="17.236000000000001"/>
    <n v="17.236000000000001"/>
    <n v="17.236000000000001"/>
    <n v="0"/>
    <s v="NULL"/>
    <s v="Winterstorm NY TX MA NJ PA"/>
    <n v="4781.60363426"/>
    <m/>
    <x v="0"/>
  </r>
  <r>
    <x v="271"/>
    <x v="0"/>
    <x v="2"/>
    <x v="123"/>
    <x v="1"/>
    <x v="240"/>
    <x v="196"/>
    <x v="132"/>
    <x v="0"/>
    <x v="0"/>
    <x v="5"/>
    <x v="215"/>
    <x v="27"/>
    <n v="16461.2075"/>
    <n v="16461.2075"/>
    <n v="16461.2075"/>
    <n v="0"/>
    <s v="NULL"/>
    <s v="Winterstorm NY TX MA NJ PA"/>
    <n v="4781.60363426"/>
    <m/>
    <x v="1"/>
  </r>
  <r>
    <x v="273"/>
    <x v="0"/>
    <x v="0"/>
    <x v="192"/>
    <x v="1"/>
    <x v="242"/>
    <x v="198"/>
    <x v="71"/>
    <x v="0"/>
    <x v="0"/>
    <x v="120"/>
    <x v="217"/>
    <x v="23"/>
    <n v="391341.1875"/>
    <n v="391341.1875"/>
    <n v="391341.1875"/>
    <n v="0"/>
    <s v="NULL"/>
    <s v="Winterstorm NY TX MA NJ PA"/>
    <n v="4781.60363426"/>
    <m/>
    <x v="0"/>
  </r>
  <r>
    <x v="274"/>
    <x v="0"/>
    <x v="0"/>
    <x v="193"/>
    <x v="0"/>
    <x v="243"/>
    <x v="165"/>
    <x v="29"/>
    <x v="0"/>
    <x v="0"/>
    <x v="121"/>
    <x v="218"/>
    <x v="4"/>
    <n v="346.49130000000002"/>
    <n v="346.49130000000002"/>
    <n v="346.49130000000002"/>
    <n v="0"/>
    <s v="NULL"/>
    <s v="Winterstorm NY TX MA NJ PA"/>
    <n v="4781.60363426"/>
    <m/>
    <x v="0"/>
  </r>
  <r>
    <x v="275"/>
    <x v="0"/>
    <x v="0"/>
    <x v="194"/>
    <x v="1"/>
    <x v="244"/>
    <x v="199"/>
    <x v="134"/>
    <x v="0"/>
    <x v="0"/>
    <x v="122"/>
    <x v="219"/>
    <x v="33"/>
    <n v="622464.44744999998"/>
    <n v="622464.44744999998"/>
    <n v="622464.44744999998"/>
    <n v="0"/>
    <s v="NULL"/>
    <s v="Winterstorm NY TX MA NJ PA"/>
    <n v="4781.60363426"/>
    <m/>
    <x v="0"/>
  </r>
  <r>
    <x v="344"/>
    <x v="0"/>
    <x v="0"/>
    <x v="41"/>
    <x v="0"/>
    <x v="308"/>
    <x v="236"/>
    <x v="49"/>
    <x v="0"/>
    <x v="0"/>
    <x v="3"/>
    <x v="274"/>
    <x v="57"/>
    <n v="1084.9780249999999"/>
    <n v="1084.9780249999999"/>
    <n v="1084.9780249999999"/>
    <n v="0"/>
    <s v="NULL"/>
    <s v="Winterstorm NY TX MA NJ PA"/>
    <n v="4781.60363426"/>
    <m/>
    <x v="0"/>
  </r>
  <r>
    <x v="276"/>
    <x v="0"/>
    <x v="0"/>
    <x v="195"/>
    <x v="1"/>
    <x v="245"/>
    <x v="200"/>
    <x v="101"/>
    <x v="0"/>
    <x v="0"/>
    <x v="3"/>
    <x v="220"/>
    <x v="4"/>
    <n v="35770.916100000002"/>
    <n v="35770.916100000002"/>
    <n v="35770.916100000002"/>
    <n v="0"/>
    <s v="NULL"/>
    <s v="Winterstorm NY TX MA NJ PA"/>
    <n v="4781.60363426"/>
    <m/>
    <x v="0"/>
  </r>
  <r>
    <x v="277"/>
    <x v="0"/>
    <x v="0"/>
    <x v="196"/>
    <x v="0"/>
    <x v="246"/>
    <x v="47"/>
    <x v="9"/>
    <x v="0"/>
    <x v="0"/>
    <x v="3"/>
    <x v="221"/>
    <x v="10"/>
    <n v="2450.7539999999999"/>
    <n v="2450.7539999999999"/>
    <n v="2450.7539999999999"/>
    <n v="0"/>
    <s v="NULL"/>
    <s v="Winterstorm NY TX MA NJ PA"/>
    <n v="4781.60363426"/>
    <m/>
    <x v="0"/>
  </r>
  <r>
    <x v="278"/>
    <x v="0"/>
    <x v="0"/>
    <x v="127"/>
    <x v="0"/>
    <x v="247"/>
    <x v="169"/>
    <x v="1"/>
    <x v="0"/>
    <x v="0"/>
    <x v="3"/>
    <x v="222"/>
    <x v="12"/>
    <n v="3350.0590000000002"/>
    <n v="3350.0590000000002"/>
    <n v="3350.0590000000002"/>
    <n v="0"/>
    <s v="NULL"/>
    <s v="Winterstorm NY TX MA NJ PA"/>
    <n v="4781.60363426"/>
    <m/>
    <x v="0"/>
  </r>
  <r>
    <x v="345"/>
    <x v="0"/>
    <x v="0"/>
    <x v="235"/>
    <x v="1"/>
    <x v="309"/>
    <x v="237"/>
    <x v="30"/>
    <x v="0"/>
    <x v="0"/>
    <x v="21"/>
    <x v="275"/>
    <x v="58"/>
    <n v="869155.73895000003"/>
    <n v="869155.73895000003"/>
    <n v="869155.73895000003"/>
    <n v="0"/>
    <s v="NULL"/>
    <s v="Winterstorm NY TX MA NJ PA"/>
    <n v="4781.60363426"/>
    <m/>
    <x v="0"/>
  </r>
  <r>
    <x v="76"/>
    <x v="0"/>
    <x v="3"/>
    <x v="65"/>
    <x v="1"/>
    <x v="68"/>
    <x v="70"/>
    <x v="50"/>
    <x v="0"/>
    <x v="0"/>
    <x v="38"/>
    <x v="62"/>
    <x v="12"/>
    <n v="12556.343000000001"/>
    <n v="12556.343000000001"/>
    <n v="12556.343000000001"/>
    <n v="0"/>
    <s v="NULL"/>
    <s v="Winterstorm NY TX MA NJ PA"/>
    <n v="4781.60363426"/>
    <m/>
    <x v="2"/>
  </r>
  <r>
    <x v="56"/>
    <x v="0"/>
    <x v="0"/>
    <x v="50"/>
    <x v="2"/>
    <x v="50"/>
    <x v="51"/>
    <x v="1"/>
    <x v="1"/>
    <x v="0"/>
    <x v="26"/>
    <x v="46"/>
    <x v="24"/>
    <n v="910599.48320000002"/>
    <n v="599365.44432952697"/>
    <n v="599365.44432952697"/>
    <n v="119872.63033067599"/>
    <s v="NULL"/>
    <s v="Winterstorm NY TX MA NJ PA"/>
    <n v="4781.60363426"/>
    <m/>
    <x v="0"/>
  </r>
  <r>
    <x v="66"/>
    <x v="0"/>
    <x v="0"/>
    <x v="56"/>
    <x v="0"/>
    <x v="58"/>
    <x v="61"/>
    <x v="43"/>
    <x v="0"/>
    <x v="0"/>
    <x v="32"/>
    <x v="53"/>
    <x v="4"/>
    <n v="129.39269999999999"/>
    <n v="129.39269999999999"/>
    <n v="129.39269999999999"/>
    <n v="0"/>
    <s v="NULL"/>
    <s v="Winterstorm NY TX MA NJ PA"/>
    <n v="4781.60363426"/>
    <m/>
    <x v="0"/>
  </r>
  <r>
    <x v="49"/>
    <x v="0"/>
    <x v="0"/>
    <x v="44"/>
    <x v="0"/>
    <x v="44"/>
    <x v="45"/>
    <x v="34"/>
    <x v="0"/>
    <x v="0"/>
    <x v="3"/>
    <x v="40"/>
    <x v="23"/>
    <n v="95.133499999999998"/>
    <n v="95.133499999999998"/>
    <n v="95.133499999999998"/>
    <n v="0"/>
    <s v="NULL"/>
    <s v="Winterstorm NY TX MA NJ PA"/>
    <n v="4781.60363426"/>
    <m/>
    <x v="0"/>
  </r>
  <r>
    <x v="324"/>
    <x v="0"/>
    <x v="3"/>
    <x v="114"/>
    <x v="0"/>
    <x v="288"/>
    <x v="41"/>
    <x v="31"/>
    <x v="0"/>
    <x v="0"/>
    <x v="87"/>
    <x v="259"/>
    <x v="16"/>
    <n v="2170.5187500000002"/>
    <n v="2170.5187500000002"/>
    <n v="2170.5187500000002"/>
    <n v="0"/>
    <s v="NULL"/>
    <s v="Winterstorm NY TX MA NJ PA"/>
    <n v="4781.60363426"/>
    <m/>
    <x v="2"/>
  </r>
  <r>
    <x v="85"/>
    <x v="0"/>
    <x v="0"/>
    <x v="46"/>
    <x v="0"/>
    <x v="77"/>
    <x v="77"/>
    <x v="56"/>
    <x v="0"/>
    <x v="0"/>
    <x v="43"/>
    <x v="57"/>
    <x v="15"/>
    <n v="29354.962"/>
    <n v="29354.962"/>
    <n v="29354.962"/>
    <n v="0"/>
    <s v="NULL"/>
    <s v="Winterstorm NY TX MA NJ PA"/>
    <n v="4781.60363426"/>
    <m/>
    <x v="0"/>
  </r>
  <r>
    <x v="325"/>
    <x v="0"/>
    <x v="0"/>
    <x v="224"/>
    <x v="1"/>
    <x v="289"/>
    <x v="223"/>
    <x v="146"/>
    <x v="0"/>
    <x v="0"/>
    <x v="136"/>
    <x v="260"/>
    <x v="55"/>
    <n v="281376.19068"/>
    <n v="281376.19068"/>
    <n v="281376.19068"/>
    <n v="0"/>
    <s v="NULL"/>
    <s v="Winterstorm NY TX MA NJ PA"/>
    <n v="4781.60363426"/>
    <m/>
    <x v="0"/>
  </r>
  <r>
    <x v="9"/>
    <x v="0"/>
    <x v="4"/>
    <x v="9"/>
    <x v="0"/>
    <x v="9"/>
    <x v="7"/>
    <x v="7"/>
    <x v="0"/>
    <x v="0"/>
    <x v="6"/>
    <x v="9"/>
    <x v="5"/>
    <n v="233.42422227"/>
    <n v="233.42422227"/>
    <n v="233.42422227"/>
    <n v="0"/>
    <s v="NULL"/>
    <s v="Winterstorm NY TX MA NJ PA"/>
    <n v="4781.60363426"/>
    <m/>
    <x v="1"/>
  </r>
  <r>
    <x v="326"/>
    <x v="0"/>
    <x v="2"/>
    <x v="225"/>
    <x v="1"/>
    <x v="290"/>
    <x v="39"/>
    <x v="8"/>
    <x v="0"/>
    <x v="0"/>
    <x v="53"/>
    <x v="261"/>
    <x v="10"/>
    <n v="18528.21"/>
    <n v="18528.21"/>
    <n v="18528.21"/>
    <n v="0"/>
    <s v="NULL"/>
    <s v="Winterstorm NY TX MA NJ PA"/>
    <n v="4781.60363426"/>
    <m/>
    <x v="1"/>
  </r>
  <r>
    <x v="59"/>
    <x v="0"/>
    <x v="7"/>
    <x v="51"/>
    <x v="1"/>
    <x v="51"/>
    <x v="54"/>
    <x v="38"/>
    <x v="0"/>
    <x v="0"/>
    <x v="27"/>
    <x v="47"/>
    <x v="25"/>
    <n v="363.98435532000002"/>
    <n v="363.98435532000002"/>
    <n v="363.98435532000002"/>
    <n v="0"/>
    <s v="NULL"/>
    <s v="Winterstorm NY TX MA NJ PA"/>
    <n v="4781.60363426"/>
    <m/>
    <x v="5"/>
  </r>
  <r>
    <x v="84"/>
    <x v="0"/>
    <x v="0"/>
    <x v="72"/>
    <x v="0"/>
    <x v="76"/>
    <x v="2"/>
    <x v="29"/>
    <x v="0"/>
    <x v="0"/>
    <x v="42"/>
    <x v="70"/>
    <x v="28"/>
    <n v="11.2782"/>
    <n v="11.2782"/>
    <n v="11.2782"/>
    <n v="0"/>
    <s v="NULL"/>
    <s v="Winterstorm NY TX MA NJ PA"/>
    <n v="4781.60363426"/>
    <m/>
    <x v="0"/>
  </r>
  <r>
    <x v="350"/>
    <x v="0"/>
    <x v="0"/>
    <x v="239"/>
    <x v="2"/>
    <x v="314"/>
    <x v="144"/>
    <x v="8"/>
    <x v="7"/>
    <x v="0"/>
    <x v="146"/>
    <x v="279"/>
    <x v="4"/>
    <n v="66454.628700000001"/>
    <n v="40809.099288241203"/>
    <n v="40809.099288241203"/>
    <n v="8875.9452570414996"/>
    <s v="NULL"/>
    <s v="Winterstorm NY TX MA NJ PA"/>
    <n v="4781.60363426"/>
    <m/>
    <x v="0"/>
  </r>
  <r>
    <x v="346"/>
    <x v="0"/>
    <x v="7"/>
    <x v="236"/>
    <x v="1"/>
    <x v="310"/>
    <x v="238"/>
    <x v="157"/>
    <x v="0"/>
    <x v="0"/>
    <x v="110"/>
    <x v="276"/>
    <x v="5"/>
    <n v="26911.418663650002"/>
    <n v="26911.418663650002"/>
    <n v="26911.418663650002"/>
    <n v="0"/>
    <s v="NULL"/>
    <s v="Winterstorm NY TX MA NJ PA"/>
    <n v="4781.60363426"/>
    <m/>
    <x v="5"/>
  </r>
  <r>
    <x v="283"/>
    <x v="0"/>
    <x v="13"/>
    <x v="201"/>
    <x v="1"/>
    <x v="252"/>
    <x v="202"/>
    <x v="135"/>
    <x v="0"/>
    <x v="0"/>
    <x v="3"/>
    <x v="227"/>
    <x v="51"/>
    <n v="21822.113523619999"/>
    <n v="21822.113523619999"/>
    <n v="21822.113523619999"/>
    <n v="0"/>
    <s v="NULL"/>
    <s v="Winterstorm NY TX MA NJ PA"/>
    <n v="4781.60363426"/>
    <m/>
    <x v="8"/>
  </r>
  <r>
    <x v="351"/>
    <x v="0"/>
    <x v="0"/>
    <x v="175"/>
    <x v="0"/>
    <x v="315"/>
    <x v="117"/>
    <x v="29"/>
    <x v="0"/>
    <x v="0"/>
    <x v="3"/>
    <x v="280"/>
    <x v="5"/>
    <n v="25.945"/>
    <n v="25.945"/>
    <n v="25.945"/>
    <n v="0"/>
    <s v="NULL"/>
    <s v="Winterstorm NY TX MA NJ PA"/>
    <n v="4781.60363426"/>
    <m/>
    <x v="0"/>
  </r>
  <r>
    <x v="347"/>
    <x v="0"/>
    <x v="0"/>
    <x v="237"/>
    <x v="0"/>
    <x v="311"/>
    <x v="239"/>
    <x v="158"/>
    <x v="0"/>
    <x v="0"/>
    <x v="3"/>
    <x v="277"/>
    <x v="29"/>
    <n v="27.03125"/>
    <n v="27.03125"/>
    <n v="27.03125"/>
    <n v="0"/>
    <s v="NULL"/>
    <s v="Winterstorm NY TX MA NJ PA"/>
    <n v="4781.60363426"/>
    <m/>
    <x v="0"/>
  </r>
  <r>
    <x v="352"/>
    <x v="0"/>
    <x v="0"/>
    <x v="4"/>
    <x v="0"/>
    <x v="316"/>
    <x v="58"/>
    <x v="49"/>
    <x v="0"/>
    <x v="0"/>
    <x v="3"/>
    <x v="281"/>
    <x v="2"/>
    <n v="1.7996000000000001"/>
    <n v="1.7996000000000001"/>
    <n v="1.7996000000000001"/>
    <n v="0"/>
    <s v="NULL"/>
    <s v="Winterstorm NY TX MA NJ PA"/>
    <n v="4781.60363426"/>
    <m/>
    <x v="0"/>
  </r>
  <r>
    <x v="328"/>
    <x v="0"/>
    <x v="7"/>
    <x v="227"/>
    <x v="1"/>
    <x v="292"/>
    <x v="224"/>
    <x v="56"/>
    <x v="0"/>
    <x v="0"/>
    <x v="138"/>
    <x v="263"/>
    <x v="32"/>
    <n v="60377.405700000003"/>
    <n v="60377.405700000003"/>
    <n v="60377.405700000003"/>
    <n v="0"/>
    <s v="NULL"/>
    <s v="Winterstorm NY TX MA NJ PA"/>
    <n v="4781.60363426"/>
    <m/>
    <x v="5"/>
  </r>
  <r>
    <x v="104"/>
    <x v="0"/>
    <x v="7"/>
    <x v="84"/>
    <x v="1"/>
    <x v="95"/>
    <x v="93"/>
    <x v="68"/>
    <x v="0"/>
    <x v="0"/>
    <x v="52"/>
    <x v="87"/>
    <x v="35"/>
    <n v="202533.9472"/>
    <n v="202533.9472"/>
    <n v="202533.9472"/>
    <n v="0"/>
    <s v="NULL"/>
    <s v="Winterstorm NY TX MA NJ PA"/>
    <n v="4781.60363426"/>
    <m/>
    <x v="5"/>
  </r>
  <r>
    <x v="353"/>
    <x v="0"/>
    <x v="0"/>
    <x v="230"/>
    <x v="0"/>
    <x v="317"/>
    <x v="241"/>
    <x v="159"/>
    <x v="0"/>
    <x v="0"/>
    <x v="3"/>
    <x v="282"/>
    <x v="10"/>
    <n v="3.8805000000000001"/>
    <n v="3.8805000000000001"/>
    <n v="3.8805000000000001"/>
    <n v="0"/>
    <s v="NULL"/>
    <s v="Winterstorm NY TX MA NJ PA"/>
    <n v="4781.60363426"/>
    <m/>
    <x v="0"/>
  </r>
  <r>
    <x v="354"/>
    <x v="0"/>
    <x v="2"/>
    <x v="240"/>
    <x v="0"/>
    <x v="318"/>
    <x v="38"/>
    <x v="29"/>
    <x v="0"/>
    <x v="0"/>
    <x v="72"/>
    <x v="283"/>
    <x v="41"/>
    <n v="2.6520000000000001"/>
    <n v="2.6520000000000001"/>
    <n v="2.6520000000000001"/>
    <n v="0.22475999999999999"/>
    <s v="NULL"/>
    <s v="Winterstorm NY TX MA NJ PA"/>
    <n v="4781.60363426"/>
    <m/>
    <x v="1"/>
  </r>
  <r>
    <x v="25"/>
    <x v="0"/>
    <x v="0"/>
    <x v="23"/>
    <x v="0"/>
    <x v="23"/>
    <x v="22"/>
    <x v="19"/>
    <x v="0"/>
    <x v="0"/>
    <x v="3"/>
    <x v="20"/>
    <x v="11"/>
    <n v="20196.985199999999"/>
    <n v="20196.985199999999"/>
    <n v="20196.985199999999"/>
    <n v="0"/>
    <s v="NULL"/>
    <s v="Winterstorm NY TX MA NJ PA"/>
    <n v="4781.60363426"/>
    <m/>
    <x v="0"/>
  </r>
  <r>
    <x v="53"/>
    <x v="0"/>
    <x v="0"/>
    <x v="47"/>
    <x v="1"/>
    <x v="47"/>
    <x v="39"/>
    <x v="9"/>
    <x v="0"/>
    <x v="0"/>
    <x v="3"/>
    <x v="43"/>
    <x v="16"/>
    <n v="2615.2860000000001"/>
    <n v="2615.2860000000001"/>
    <n v="2615.2860000000001"/>
    <n v="0"/>
    <s v="NULL"/>
    <s v="Winterstorm NY TX MA NJ PA"/>
    <n v="4781.60363426"/>
    <m/>
    <x v="0"/>
  </r>
  <r>
    <x v="329"/>
    <x v="0"/>
    <x v="3"/>
    <x v="228"/>
    <x v="1"/>
    <x v="293"/>
    <x v="225"/>
    <x v="147"/>
    <x v="0"/>
    <x v="0"/>
    <x v="3"/>
    <x v="264"/>
    <x v="56"/>
    <n v="443540.18691360002"/>
    <n v="443540.18691360002"/>
    <n v="443540.18691360002"/>
    <n v="0"/>
    <s v="NULL"/>
    <s v="Winterstorm NY TX MA NJ PA"/>
    <n v="4781.60363426"/>
    <m/>
    <x v="2"/>
  </r>
  <r>
    <x v="330"/>
    <x v="0"/>
    <x v="0"/>
    <x v="144"/>
    <x v="0"/>
    <x v="294"/>
    <x v="226"/>
    <x v="148"/>
    <x v="0"/>
    <x v="0"/>
    <x v="3"/>
    <x v="141"/>
    <x v="5"/>
    <n v="12.589"/>
    <n v="12.589"/>
    <n v="12.589"/>
    <n v="0"/>
    <s v="NULL"/>
    <s v="Winterstorm NY TX MA NJ PA"/>
    <n v="4781.60363426"/>
    <m/>
    <x v="0"/>
  </r>
  <r>
    <x v="290"/>
    <x v="2"/>
    <x v="1"/>
    <x v="5"/>
    <x v="0"/>
    <x v="5"/>
    <x v="204"/>
    <x v="3"/>
    <x v="0"/>
    <x v="0"/>
    <x v="4"/>
    <x v="5"/>
    <x v="3"/>
    <n v="1251.0961689999999"/>
    <n v="1251.0961689999999"/>
    <n v="1251.0961689999999"/>
    <n v="0"/>
    <s v="NULL"/>
    <s v="Winterstorm NY MA TX PA SC"/>
    <n v="3949.1976460300002"/>
    <m/>
    <x v="1"/>
  </r>
  <r>
    <x v="291"/>
    <x v="2"/>
    <x v="11"/>
    <x v="59"/>
    <x v="0"/>
    <x v="61"/>
    <x v="205"/>
    <x v="3"/>
    <x v="0"/>
    <x v="0"/>
    <x v="4"/>
    <x v="5"/>
    <x v="3"/>
    <n v="1095.0186289999999"/>
    <n v="1095.0186289999999"/>
    <n v="1095.0186289999999"/>
    <n v="0"/>
    <s v="NULL"/>
    <s v="Winterstorm NY MA TX PA SC"/>
    <n v="3949.1976460300002"/>
    <m/>
    <x v="1"/>
  </r>
  <r>
    <x v="292"/>
    <x v="2"/>
    <x v="4"/>
    <x v="12"/>
    <x v="0"/>
    <x v="12"/>
    <x v="206"/>
    <x v="3"/>
    <x v="0"/>
    <x v="0"/>
    <x v="4"/>
    <x v="5"/>
    <x v="3"/>
    <n v="1146.8658720000001"/>
    <n v="1146.8658720000001"/>
    <n v="1146.8658720000001"/>
    <n v="0"/>
    <s v="NULL"/>
    <s v="Winterstorm NY MA TX PA SC"/>
    <n v="3949.1976460300002"/>
    <m/>
    <x v="1"/>
  </r>
  <r>
    <x v="321"/>
    <x v="2"/>
    <x v="4"/>
    <x v="12"/>
    <x v="0"/>
    <x v="12"/>
    <x v="221"/>
    <x v="3"/>
    <x v="0"/>
    <x v="0"/>
    <x v="4"/>
    <x v="5"/>
    <x v="3"/>
    <n v="76.675561000000002"/>
    <n v="76.675561000000002"/>
    <n v="76.675561000000002"/>
    <n v="0"/>
    <s v="NULL"/>
    <s v="Winterstorm NY MA TX PA SC"/>
    <n v="3949.1976460300002"/>
    <m/>
    <x v="1"/>
  </r>
  <r>
    <x v="293"/>
    <x v="2"/>
    <x v="2"/>
    <x v="27"/>
    <x v="0"/>
    <x v="27"/>
    <x v="207"/>
    <x v="3"/>
    <x v="0"/>
    <x v="0"/>
    <x v="4"/>
    <x v="5"/>
    <x v="3"/>
    <n v="993.83358799999996"/>
    <n v="993.83358799999996"/>
    <n v="993.83358799999996"/>
    <n v="0"/>
    <s v="NULL"/>
    <s v="Winterstorm NY MA TX PA SC"/>
    <n v="3949.1976460300002"/>
    <m/>
    <x v="1"/>
  </r>
  <r>
    <x v="294"/>
    <x v="2"/>
    <x v="9"/>
    <x v="204"/>
    <x v="1"/>
    <x v="259"/>
    <x v="208"/>
    <x v="138"/>
    <x v="0"/>
    <x v="0"/>
    <x v="5"/>
    <x v="233"/>
    <x v="3"/>
    <n v="3370.91"/>
    <n v="3370.91"/>
    <n v="3370.91"/>
    <n v="0"/>
    <s v="NULL"/>
    <s v="Winterstorm NY MA TX PA SC"/>
    <n v="3949.1976460300002"/>
    <m/>
    <x v="4"/>
  </r>
  <r>
    <x v="295"/>
    <x v="2"/>
    <x v="12"/>
    <x v="205"/>
    <x v="1"/>
    <x v="260"/>
    <x v="209"/>
    <x v="139"/>
    <x v="0"/>
    <x v="0"/>
    <x v="5"/>
    <x v="234"/>
    <x v="3"/>
    <n v="164517.15"/>
    <n v="164517.15"/>
    <n v="164517.15"/>
    <n v="0"/>
    <s v="NULL"/>
    <s v="Winterstorm NY MA TX PA SC"/>
    <n v="3949.1976460300002"/>
    <m/>
    <x v="4"/>
  </r>
  <r>
    <x v="296"/>
    <x v="2"/>
    <x v="14"/>
    <x v="206"/>
    <x v="1"/>
    <x v="261"/>
    <x v="210"/>
    <x v="140"/>
    <x v="0"/>
    <x v="0"/>
    <x v="5"/>
    <x v="235"/>
    <x v="3"/>
    <n v="66673.440000000002"/>
    <n v="66673.440000000002"/>
    <n v="66673.440000000002"/>
    <n v="0"/>
    <s v="NULL"/>
    <s v="Winterstorm NY MA TX PA SC"/>
    <n v="3949.1976460300002"/>
    <m/>
    <x v="4"/>
  </r>
  <r>
    <x v="297"/>
    <x v="2"/>
    <x v="5"/>
    <x v="207"/>
    <x v="0"/>
    <x v="262"/>
    <x v="211"/>
    <x v="141"/>
    <x v="0"/>
    <x v="0"/>
    <x v="96"/>
    <x v="5"/>
    <x v="3"/>
    <n v="0"/>
    <n v="0"/>
    <n v="-2189.62"/>
    <n v="0"/>
    <s v="NULL"/>
    <s v="Winterstorm NY MA TX PA SC"/>
    <n v="3949.1976460300002"/>
    <m/>
    <x v="3"/>
  </r>
  <r>
    <x v="298"/>
    <x v="2"/>
    <x v="2"/>
    <x v="208"/>
    <x v="1"/>
    <x v="263"/>
    <x v="112"/>
    <x v="32"/>
    <x v="0"/>
    <x v="0"/>
    <x v="5"/>
    <x v="236"/>
    <x v="10"/>
    <n v="712.74900000000002"/>
    <n v="712.74900000000002"/>
    <n v="712.74900000000002"/>
    <n v="0"/>
    <s v="NULL"/>
    <s v="Winterstorm NY MA TX PA SC"/>
    <n v="3949.1976460300002"/>
    <m/>
    <x v="1"/>
  </r>
  <r>
    <x v="299"/>
    <x v="2"/>
    <x v="0"/>
    <x v="209"/>
    <x v="0"/>
    <x v="264"/>
    <x v="38"/>
    <x v="9"/>
    <x v="0"/>
    <x v="0"/>
    <x v="101"/>
    <x v="237"/>
    <x v="36"/>
    <n v="1222.5879"/>
    <n v="1222.5879"/>
    <n v="1222.5879"/>
    <n v="0"/>
    <s v="NULL"/>
    <s v="Winterstorm NY MA TX PA SC"/>
    <n v="3949.1976460300002"/>
    <m/>
    <x v="0"/>
  </r>
  <r>
    <x v="322"/>
    <x v="2"/>
    <x v="2"/>
    <x v="223"/>
    <x v="0"/>
    <x v="286"/>
    <x v="222"/>
    <x v="39"/>
    <x v="0"/>
    <x v="0"/>
    <x v="134"/>
    <x v="258"/>
    <x v="54"/>
    <n v="600.24464820000003"/>
    <n v="600.24464820000003"/>
    <n v="600.24464820000003"/>
    <n v="0"/>
    <s v="NULL"/>
    <s v="Winterstorm NY MA TX PA SC"/>
    <n v="3949.1976460300002"/>
    <m/>
    <x v="1"/>
  </r>
  <r>
    <x v="342"/>
    <x v="2"/>
    <x v="3"/>
    <x v="234"/>
    <x v="1"/>
    <x v="306"/>
    <x v="234"/>
    <x v="155"/>
    <x v="0"/>
    <x v="0"/>
    <x v="143"/>
    <x v="272"/>
    <x v="5"/>
    <n v="652430.17649999994"/>
    <n v="652430.17649999994"/>
    <n v="652430.17649999994"/>
    <n v="0"/>
    <s v="NULL"/>
    <s v="Winterstorm NY MA TX PA SC"/>
    <n v="3949.1976460300002"/>
    <m/>
    <x v="2"/>
  </r>
  <r>
    <x v="28"/>
    <x v="2"/>
    <x v="0"/>
    <x v="26"/>
    <x v="0"/>
    <x v="26"/>
    <x v="25"/>
    <x v="8"/>
    <x v="0"/>
    <x v="0"/>
    <x v="12"/>
    <x v="23"/>
    <x v="14"/>
    <n v="73348.708125000005"/>
    <n v="73348.708125000005"/>
    <n v="73348.708125000005"/>
    <n v="0"/>
    <s v="NULL"/>
    <s v="Winterstorm NY MA TX PA SC"/>
    <n v="3949.1976460300002"/>
    <m/>
    <x v="0"/>
  </r>
  <r>
    <x v="68"/>
    <x v="2"/>
    <x v="10"/>
    <x v="58"/>
    <x v="1"/>
    <x v="60"/>
    <x v="63"/>
    <x v="45"/>
    <x v="0"/>
    <x v="0"/>
    <x v="27"/>
    <x v="55"/>
    <x v="12"/>
    <n v="2226.3409999999999"/>
    <n v="2226.3409999999999"/>
    <n v="2226.3409999999999"/>
    <n v="0"/>
    <s v="NULL"/>
    <s v="Winterstorm NY MA TX PA SC"/>
    <n v="3949.1976460300002"/>
    <m/>
    <x v="7"/>
  </r>
  <r>
    <x v="343"/>
    <x v="2"/>
    <x v="0"/>
    <x v="87"/>
    <x v="0"/>
    <x v="307"/>
    <x v="235"/>
    <x v="156"/>
    <x v="0"/>
    <x v="0"/>
    <x v="144"/>
    <x v="273"/>
    <x v="5"/>
    <n v="1520.7929999999999"/>
    <n v="1520.7929999999999"/>
    <n v="1520.7929999999999"/>
    <n v="0"/>
    <s v="NULL"/>
    <s v="Winterstorm NY MA TX PA SC"/>
    <n v="3949.1976460300002"/>
    <m/>
    <x v="0"/>
  </r>
  <r>
    <x v="77"/>
    <x v="2"/>
    <x v="2"/>
    <x v="66"/>
    <x v="0"/>
    <x v="69"/>
    <x v="71"/>
    <x v="51"/>
    <x v="0"/>
    <x v="0"/>
    <x v="39"/>
    <x v="63"/>
    <x v="18"/>
    <n v="22972.620599999998"/>
    <n v="22972.620599999998"/>
    <n v="22972.620599999998"/>
    <n v="0"/>
    <s v="NULL"/>
    <s v="Winterstorm NY MA TX PA SC"/>
    <n v="3949.1976460300002"/>
    <m/>
    <x v="1"/>
  </r>
  <r>
    <x v="31"/>
    <x v="2"/>
    <x v="0"/>
    <x v="28"/>
    <x v="1"/>
    <x v="28"/>
    <x v="28"/>
    <x v="22"/>
    <x v="0"/>
    <x v="0"/>
    <x v="13"/>
    <x v="24"/>
    <x v="15"/>
    <n v="550247.49569999997"/>
    <n v="550247.49569999997"/>
    <n v="550247.49569999997"/>
    <n v="0"/>
    <s v="NULL"/>
    <s v="Winterstorm NY MA TX PA SC"/>
    <n v="3949.1976460300002"/>
    <m/>
    <x v="0"/>
  </r>
  <r>
    <x v="103"/>
    <x v="2"/>
    <x v="0"/>
    <x v="83"/>
    <x v="1"/>
    <x v="94"/>
    <x v="92"/>
    <x v="67"/>
    <x v="0"/>
    <x v="0"/>
    <x v="51"/>
    <x v="44"/>
    <x v="34"/>
    <n v="4399.4222250000003"/>
    <n v="4399.4222250000003"/>
    <n v="4399.4222250000003"/>
    <n v="0"/>
    <s v="NULL"/>
    <s v="Winterstorm NY MA TX PA SC"/>
    <n v="3949.1976460300002"/>
    <m/>
    <x v="0"/>
  </r>
  <r>
    <x v="122"/>
    <x v="2"/>
    <x v="0"/>
    <x v="99"/>
    <x v="0"/>
    <x v="111"/>
    <x v="19"/>
    <x v="49"/>
    <x v="0"/>
    <x v="0"/>
    <x v="37"/>
    <x v="103"/>
    <x v="12"/>
    <n v="66.069999999999993"/>
    <n v="66.069999999999993"/>
    <n v="66.069999999999993"/>
    <n v="0"/>
    <s v="NULL"/>
    <s v="Winterstorm NY MA TX PA SC"/>
    <n v="3949.1976460300002"/>
    <m/>
    <x v="0"/>
  </r>
  <r>
    <x v="344"/>
    <x v="2"/>
    <x v="0"/>
    <x v="41"/>
    <x v="0"/>
    <x v="308"/>
    <x v="236"/>
    <x v="49"/>
    <x v="0"/>
    <x v="0"/>
    <x v="3"/>
    <x v="274"/>
    <x v="57"/>
    <n v="696.93872499999998"/>
    <n v="696.93872499999998"/>
    <n v="696.93872499999998"/>
    <n v="0"/>
    <s v="NULL"/>
    <s v="Winterstorm NY MA TX PA SC"/>
    <n v="3949.1976460300002"/>
    <m/>
    <x v="0"/>
  </r>
  <r>
    <x v="345"/>
    <x v="2"/>
    <x v="0"/>
    <x v="235"/>
    <x v="1"/>
    <x v="309"/>
    <x v="237"/>
    <x v="30"/>
    <x v="0"/>
    <x v="0"/>
    <x v="21"/>
    <x v="275"/>
    <x v="58"/>
    <n v="629035.67949999997"/>
    <n v="629035.67949999997"/>
    <n v="629035.67949999997"/>
    <n v="0"/>
    <s v="NULL"/>
    <s v="Winterstorm NY MA TX PA SC"/>
    <n v="3949.1976460300002"/>
    <m/>
    <x v="0"/>
  </r>
  <r>
    <x v="285"/>
    <x v="2"/>
    <x v="0"/>
    <x v="146"/>
    <x v="0"/>
    <x v="254"/>
    <x v="41"/>
    <x v="32"/>
    <x v="0"/>
    <x v="0"/>
    <x v="3"/>
    <x v="78"/>
    <x v="42"/>
    <n v="299.89812499999999"/>
    <n v="299.89812499999999"/>
    <n v="299.89812499999999"/>
    <n v="0"/>
    <s v="NULL"/>
    <s v="Winterstorm NY MA TX PA SC"/>
    <n v="3949.1976460300002"/>
    <m/>
    <x v="0"/>
  </r>
  <r>
    <x v="286"/>
    <x v="2"/>
    <x v="0"/>
    <x v="11"/>
    <x v="0"/>
    <x v="255"/>
    <x v="3"/>
    <x v="9"/>
    <x v="0"/>
    <x v="0"/>
    <x v="125"/>
    <x v="229"/>
    <x v="5"/>
    <n v="817.06200000000001"/>
    <n v="817.06200000000001"/>
    <n v="817.06200000000001"/>
    <n v="0"/>
    <s v="NULL"/>
    <s v="Winterstorm NY MA TX PA SC"/>
    <n v="3949.1976460300002"/>
    <m/>
    <x v="0"/>
  </r>
  <r>
    <x v="324"/>
    <x v="2"/>
    <x v="3"/>
    <x v="114"/>
    <x v="0"/>
    <x v="288"/>
    <x v="41"/>
    <x v="31"/>
    <x v="0"/>
    <x v="0"/>
    <x v="87"/>
    <x v="259"/>
    <x v="16"/>
    <n v="1443.7995000000001"/>
    <n v="1443.7995000000001"/>
    <n v="1443.7995000000001"/>
    <n v="0"/>
    <s v="NULL"/>
    <s v="Winterstorm NY MA TX PA SC"/>
    <n v="3949.1976460300002"/>
    <m/>
    <x v="2"/>
  </r>
  <r>
    <x v="287"/>
    <x v="2"/>
    <x v="3"/>
    <x v="81"/>
    <x v="0"/>
    <x v="256"/>
    <x v="48"/>
    <x v="34"/>
    <x v="0"/>
    <x v="0"/>
    <x v="126"/>
    <x v="230"/>
    <x v="5"/>
    <n v="5960.1094999999996"/>
    <n v="5960.1094999999996"/>
    <n v="5960.1094999999996"/>
    <n v="0"/>
    <s v="NULL"/>
    <s v="Winterstorm NY MA TX PA SC"/>
    <n v="3949.1976460300002"/>
    <m/>
    <x v="2"/>
  </r>
  <r>
    <x v="325"/>
    <x v="2"/>
    <x v="0"/>
    <x v="224"/>
    <x v="1"/>
    <x v="289"/>
    <x v="223"/>
    <x v="146"/>
    <x v="0"/>
    <x v="0"/>
    <x v="136"/>
    <x v="260"/>
    <x v="55"/>
    <n v="193663.66084"/>
    <n v="193663.66084"/>
    <n v="193663.66084"/>
    <n v="0"/>
    <s v="NULL"/>
    <s v="Winterstorm NY MA TX PA SC"/>
    <n v="3949.1976460300002"/>
    <m/>
    <x v="0"/>
  </r>
  <r>
    <x v="326"/>
    <x v="2"/>
    <x v="2"/>
    <x v="225"/>
    <x v="1"/>
    <x v="290"/>
    <x v="39"/>
    <x v="8"/>
    <x v="0"/>
    <x v="0"/>
    <x v="53"/>
    <x v="261"/>
    <x v="10"/>
    <n v="13350.263999999999"/>
    <n v="13350.263999999999"/>
    <n v="13350.263999999999"/>
    <n v="0"/>
    <s v="NULL"/>
    <s v="Winterstorm NY MA TX PA SC"/>
    <n v="3949.1976460300002"/>
    <m/>
    <x v="1"/>
  </r>
  <r>
    <x v="288"/>
    <x v="2"/>
    <x v="2"/>
    <x v="202"/>
    <x v="0"/>
    <x v="257"/>
    <x v="184"/>
    <x v="136"/>
    <x v="0"/>
    <x v="0"/>
    <x v="127"/>
    <x v="231"/>
    <x v="10"/>
    <n v="49215.39"/>
    <n v="49215.39"/>
    <n v="49215.39"/>
    <n v="0"/>
    <s v="NULL"/>
    <s v="Winterstorm NY MA TX PA SC"/>
    <n v="3949.1976460300002"/>
    <m/>
    <x v="1"/>
  </r>
  <r>
    <x v="35"/>
    <x v="2"/>
    <x v="0"/>
    <x v="31"/>
    <x v="1"/>
    <x v="31"/>
    <x v="31"/>
    <x v="24"/>
    <x v="0"/>
    <x v="0"/>
    <x v="15"/>
    <x v="27"/>
    <x v="16"/>
    <n v="49700.690999999999"/>
    <n v="49700.690999999999"/>
    <n v="49700.690999999999"/>
    <n v="0"/>
    <s v="NULL"/>
    <s v="Winterstorm NY MA TX PA SC"/>
    <n v="3949.1976460300002"/>
    <m/>
    <x v="0"/>
  </r>
  <r>
    <x v="346"/>
    <x v="2"/>
    <x v="7"/>
    <x v="236"/>
    <x v="1"/>
    <x v="310"/>
    <x v="238"/>
    <x v="157"/>
    <x v="0"/>
    <x v="0"/>
    <x v="110"/>
    <x v="276"/>
    <x v="5"/>
    <n v="17879.548345359999"/>
    <n v="17879.548345359999"/>
    <n v="17879.548345359999"/>
    <n v="0"/>
    <s v="NULL"/>
    <s v="Winterstorm NY MA TX PA SC"/>
    <n v="3949.1976460300002"/>
    <m/>
    <x v="5"/>
  </r>
  <r>
    <x v="26"/>
    <x v="2"/>
    <x v="7"/>
    <x v="24"/>
    <x v="1"/>
    <x v="24"/>
    <x v="23"/>
    <x v="20"/>
    <x v="0"/>
    <x v="0"/>
    <x v="11"/>
    <x v="21"/>
    <x v="12"/>
    <n v="5378.7830000000004"/>
    <n v="5378.7830000000004"/>
    <n v="5378.7830000000004"/>
    <n v="0"/>
    <s v="NULL"/>
    <s v="Winterstorm NY MA TX PA SC"/>
    <n v="3949.1976460300002"/>
    <m/>
    <x v="5"/>
  </r>
  <r>
    <x v="351"/>
    <x v="2"/>
    <x v="0"/>
    <x v="175"/>
    <x v="0"/>
    <x v="315"/>
    <x v="117"/>
    <x v="29"/>
    <x v="0"/>
    <x v="0"/>
    <x v="3"/>
    <x v="280"/>
    <x v="5"/>
    <n v="12.724500000000001"/>
    <n v="12.724500000000001"/>
    <n v="12.724500000000001"/>
    <n v="0"/>
    <s v="NULL"/>
    <s v="Winterstorm NY MA TX PA SC"/>
    <n v="3949.1976460300002"/>
    <m/>
    <x v="0"/>
  </r>
  <r>
    <x v="347"/>
    <x v="2"/>
    <x v="0"/>
    <x v="237"/>
    <x v="0"/>
    <x v="311"/>
    <x v="239"/>
    <x v="158"/>
    <x v="0"/>
    <x v="0"/>
    <x v="3"/>
    <x v="277"/>
    <x v="29"/>
    <n v="20.73"/>
    <n v="20.73"/>
    <n v="20.73"/>
    <n v="0"/>
    <s v="NULL"/>
    <s v="Winterstorm NY MA TX PA SC"/>
    <n v="3949.1976460300002"/>
    <m/>
    <x v="0"/>
  </r>
  <r>
    <x v="61"/>
    <x v="2"/>
    <x v="2"/>
    <x v="53"/>
    <x v="1"/>
    <x v="53"/>
    <x v="56"/>
    <x v="39"/>
    <x v="0"/>
    <x v="0"/>
    <x v="29"/>
    <x v="49"/>
    <x v="10"/>
    <n v="105.8445"/>
    <n v="105.8445"/>
    <n v="105.8445"/>
    <n v="0"/>
    <s v="NULL"/>
    <s v="Winterstorm NY MA TX PA SC"/>
    <n v="3949.1976460300002"/>
    <m/>
    <x v="1"/>
  </r>
  <r>
    <x v="4"/>
    <x v="2"/>
    <x v="0"/>
    <x v="4"/>
    <x v="0"/>
    <x v="4"/>
    <x v="3"/>
    <x v="1"/>
    <x v="0"/>
    <x v="0"/>
    <x v="3"/>
    <x v="4"/>
    <x v="2"/>
    <n v="13.214"/>
    <n v="13.214"/>
    <n v="13.214"/>
    <n v="0"/>
    <s v="NULL"/>
    <s v="Winterstorm NY MA TX PA SC"/>
    <n v="3949.1976460300002"/>
    <m/>
    <x v="0"/>
  </r>
  <r>
    <x v="256"/>
    <x v="2"/>
    <x v="0"/>
    <x v="183"/>
    <x v="0"/>
    <x v="226"/>
    <x v="189"/>
    <x v="124"/>
    <x v="0"/>
    <x v="0"/>
    <x v="3"/>
    <x v="206"/>
    <x v="48"/>
    <n v="50.654975"/>
    <n v="50.654975"/>
    <n v="50.654975"/>
    <n v="0"/>
    <s v="NULL"/>
    <s v="Winterstorm NY MA TX PA SC"/>
    <n v="3949.1976460300002"/>
    <m/>
    <x v="0"/>
  </r>
  <r>
    <x v="328"/>
    <x v="2"/>
    <x v="7"/>
    <x v="227"/>
    <x v="1"/>
    <x v="292"/>
    <x v="224"/>
    <x v="56"/>
    <x v="0"/>
    <x v="0"/>
    <x v="138"/>
    <x v="263"/>
    <x v="32"/>
    <n v="43453.847049999997"/>
    <n v="43453.847049999997"/>
    <n v="43453.847049999997"/>
    <n v="0"/>
    <s v="NULL"/>
    <s v="Winterstorm NY MA TX PA SC"/>
    <n v="3949.1976460300002"/>
    <m/>
    <x v="5"/>
  </r>
  <r>
    <x v="257"/>
    <x v="2"/>
    <x v="3"/>
    <x v="184"/>
    <x v="1"/>
    <x v="227"/>
    <x v="190"/>
    <x v="128"/>
    <x v="0"/>
    <x v="0"/>
    <x v="3"/>
    <x v="207"/>
    <x v="0"/>
    <n v="393097.22934999998"/>
    <n v="393097.22934999998"/>
    <n v="393097.22934999998"/>
    <n v="0"/>
    <s v="NULL"/>
    <s v="Winterstorm NY MA TX PA SC"/>
    <n v="3949.1976460300002"/>
    <m/>
    <x v="2"/>
  </r>
  <r>
    <x v="259"/>
    <x v="2"/>
    <x v="0"/>
    <x v="185"/>
    <x v="2"/>
    <x v="229"/>
    <x v="143"/>
    <x v="32"/>
    <x v="4"/>
    <x v="0"/>
    <x v="114"/>
    <x v="209"/>
    <x v="0"/>
    <n v="266564.55209999997"/>
    <n v="163694.53093301901"/>
    <n v="163694.53093301901"/>
    <n v="39286.687114423403"/>
    <s v="NULL"/>
    <s v="Winterstorm NY MA TX PA SC"/>
    <n v="3949.1976460300002"/>
    <m/>
    <x v="0"/>
  </r>
  <r>
    <x v="260"/>
    <x v="2"/>
    <x v="0"/>
    <x v="186"/>
    <x v="1"/>
    <x v="230"/>
    <x v="191"/>
    <x v="129"/>
    <x v="0"/>
    <x v="0"/>
    <x v="3"/>
    <x v="44"/>
    <x v="49"/>
    <n v="142388.00813999999"/>
    <n v="142388.00813999999"/>
    <n v="142388.00813999999"/>
    <n v="0"/>
    <s v="NULL"/>
    <s v="Winterstorm NY MA TX PA SC"/>
    <n v="3949.1976460300002"/>
    <m/>
    <x v="0"/>
  </r>
  <r>
    <x v="302"/>
    <x v="2"/>
    <x v="3"/>
    <x v="211"/>
    <x v="1"/>
    <x v="267"/>
    <x v="169"/>
    <x v="45"/>
    <x v="0"/>
    <x v="0"/>
    <x v="3"/>
    <x v="240"/>
    <x v="5"/>
    <n v="22049.049500000001"/>
    <n v="22049.049500000001"/>
    <n v="22049.049500000001"/>
    <n v="0"/>
    <s v="NULL"/>
    <s v="Winterstorm NY MA TX PA SC"/>
    <n v="3949.1976460300002"/>
    <m/>
    <x v="2"/>
  </r>
  <r>
    <x v="329"/>
    <x v="2"/>
    <x v="3"/>
    <x v="228"/>
    <x v="1"/>
    <x v="293"/>
    <x v="225"/>
    <x v="147"/>
    <x v="0"/>
    <x v="0"/>
    <x v="3"/>
    <x v="264"/>
    <x v="56"/>
    <n v="349171.39720080001"/>
    <n v="349171.39720080001"/>
    <n v="349171.39720080001"/>
    <n v="0"/>
    <s v="NULL"/>
    <s v="Winterstorm NY MA TX PA SC"/>
    <n v="3949.1976460300002"/>
    <m/>
    <x v="2"/>
  </r>
  <r>
    <x v="330"/>
    <x v="2"/>
    <x v="0"/>
    <x v="144"/>
    <x v="0"/>
    <x v="294"/>
    <x v="226"/>
    <x v="148"/>
    <x v="0"/>
    <x v="0"/>
    <x v="3"/>
    <x v="141"/>
    <x v="5"/>
    <n v="9.4354999999999993"/>
    <n v="9.4354999999999993"/>
    <n v="9.4354999999999993"/>
    <n v="0"/>
    <s v="NULL"/>
    <s v="Winterstorm NY MA TX PA SC"/>
    <n v="3949.1976460300002"/>
    <m/>
    <x v="0"/>
  </r>
  <r>
    <x v="355"/>
    <x v="2"/>
    <x v="0"/>
    <x v="241"/>
    <x v="3"/>
    <x v="319"/>
    <x v="72"/>
    <x v="56"/>
    <x v="0"/>
    <x v="0"/>
    <x v="147"/>
    <x v="222"/>
    <x v="23"/>
    <n v="1187286.6187499999"/>
    <n v="729100.41717182705"/>
    <n v="729100.41717182705"/>
    <n v="0"/>
    <s v="NULL"/>
    <s v="Winterstorm NY MA TX PA SC"/>
    <n v="3949.1976460300002"/>
    <m/>
    <x v="0"/>
  </r>
  <r>
    <x v="304"/>
    <x v="2"/>
    <x v="0"/>
    <x v="213"/>
    <x v="1"/>
    <x v="269"/>
    <x v="212"/>
    <x v="142"/>
    <x v="0"/>
    <x v="0"/>
    <x v="3"/>
    <x v="242"/>
    <x v="4"/>
    <n v="81936.390299999999"/>
    <n v="81936.390299999999"/>
    <n v="81936.390299999999"/>
    <n v="0"/>
    <s v="NULL"/>
    <s v="Winterstorm NY MA TX PA SC"/>
    <n v="3949.1976460300002"/>
    <m/>
    <x v="0"/>
  </r>
  <r>
    <x v="305"/>
    <x v="2"/>
    <x v="3"/>
    <x v="214"/>
    <x v="1"/>
    <x v="270"/>
    <x v="213"/>
    <x v="100"/>
    <x v="0"/>
    <x v="0"/>
    <x v="86"/>
    <x v="151"/>
    <x v="4"/>
    <n v="223774.9566"/>
    <n v="223774.9566"/>
    <n v="223774.9566"/>
    <n v="0"/>
    <s v="NULL"/>
    <s v="Winterstorm NY MA TX PA SC"/>
    <n v="3949.1976460300002"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3732CF-ED9B-4605-8786-E4DCA42CC4A9}" name="PivotTable6" cacheId="50" applyNumberFormats="0" applyBorderFormats="0" applyFontFormats="0" applyPatternFormats="0" applyAlignmentFormats="0" applyWidthHeightFormats="1" dataCaption="Values" updatedVersion="8" minRefreshableVersion="3" useAutoFormatting="1" subtotalHiddenItems="1" rowGrandTotals="0" colGrandTotals="0" itemPrintTitles="1" createdVersion="8" indent="0" outline="1" outlineData="1" multipleFieldFilters="0" rowHeaderCaption="Event ID">
  <location ref="B5:H8" firstHeaderRow="0" firstDataRow="1" firstDataCol="1"/>
  <pivotFields count="7">
    <pivotField axis="axisRow" allDrilled="1" subtotalTop="0" showAll="0" sortType="a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3">
    <i>
      <x v="2"/>
    </i>
    <i>
      <x v="1"/>
    </i>
    <i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fld="1" subtotal="count" baseField="0" baseItem="0"/>
    <dataField name="Industry Loss (USDm)" fld="2" subtotal="max" baseField="0" baseItem="0"/>
    <dataField name="Everest Gross" fld="3" baseField="0" baseItem="0"/>
    <dataField fld="5" subtotal="count" baseField="0" baseItem="0"/>
    <dataField name="Everest Net*" fld="4" subtotal="count" baseField="0" baseItem="0"/>
    <dataField fld="6" subtotal="count" baseField="0" baseItem="0"/>
  </dataFields>
  <formats count="7">
    <format dxfId="135">
      <pivotArea dataOnly="0" outline="0" fieldPosition="0">
        <references count="1">
          <reference field="4294967294" count="1">
            <x v="1"/>
          </reference>
        </references>
      </pivotArea>
    </format>
    <format dxfId="134">
      <pivotArea dataOnly="0" outline="0" fieldPosition="0">
        <references count="1">
          <reference field="4294967294" count="1">
            <x v="2"/>
          </reference>
        </references>
      </pivotArea>
    </format>
    <format dxfId="133">
      <pivotArea dataOnly="0" outline="0" fieldPosition="0">
        <references count="1">
          <reference field="4294967294" count="1">
            <x v="4"/>
          </reference>
        </references>
      </pivotArea>
    </format>
    <format dxfId="132">
      <pivotArea field="0" type="button" dataOnly="0" labelOnly="1" outline="0" axis="axisRow" fieldPosition="0"/>
    </format>
    <format dxfId="13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30">
      <pivotArea outline="0" collapsedLevelsAreSubtotals="1" fieldPosition="0"/>
    </format>
    <format dxfId="129">
      <pivotArea dataOnly="0" labelOnly="1" fieldPosition="0">
        <references count="1">
          <reference field="0" count="0"/>
        </references>
      </pivotArea>
    </format>
  </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Everest Net*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Everest Gross"/>
    <pivotHierarchy dragToData="1"/>
    <pivotHierarchy dragToData="1"/>
    <pivotHierarchy dragToData="1" caption="Industry Loss (USDm)"/>
  </pivotHierarchies>
  <pivotTableStyleInfo name="PivotStyleLight1" showRowHeaders="1" showColHeaders="1" showRowStripes="1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Net Waterfall Exhibit - Template Work.xlsx!EverestLoss">
        <x15:activeTabTopLevelEntity name="[EverestLos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DDEBFD-2A49-4F21-9FCF-0E3DB8AEDDE6}" name="PivotTable1" cacheId="94" applyNumberFormats="0" applyBorderFormats="0" applyFontFormats="0" applyPatternFormats="0" applyAlignmentFormats="0" applyWidthHeightFormats="1" dataCaption="Values" updatedVersion="8" minRefreshableVersion="3" showDrill="0" showDataTips="0" useAutoFormatting="1" colGrandTotals="0" itemPrintTitles="1" createdVersion="8" indent="0" outline="1" outlineData="1" multipleFieldFilters="0" rowHeaderCaption="Department" colHeaderCaption="Event ID" fieldListSortAscending="1">
  <location ref="C17:F49" firstHeaderRow="1" firstDataRow="2" firstDataCol="1"/>
  <pivotFields count="24">
    <pivotField showAll="0"/>
    <pivotField axis="axisCol" showAll="0" sortType="ascending">
      <items count="49">
        <item m="1" x="44"/>
        <item m="1" x="47"/>
        <item m="1" x="42"/>
        <item m="1" x="46"/>
        <item m="1" x="45"/>
        <item m="1" x="43"/>
        <item m="1" x="39"/>
        <item m="1" x="40"/>
        <item m="1" x="41"/>
        <item m="1" x="38"/>
        <item m="1" x="27"/>
        <item m="1" x="37"/>
        <item m="1" x="36"/>
        <item m="1" x="35"/>
        <item m="1" x="34"/>
        <item m="1" x="23"/>
        <item m="1" x="31"/>
        <item m="1" x="29"/>
        <item m="1" x="32"/>
        <item m="1" x="33"/>
        <item m="1" x="25"/>
        <item m="1" x="30"/>
        <item m="1" x="28"/>
        <item m="1" x="26"/>
        <item m="1" x="24"/>
        <item m="1" x="20"/>
        <item m="1" x="22"/>
        <item m="1" x="15"/>
        <item m="1" x="17"/>
        <item m="1" x="18"/>
        <item m="1" x="21"/>
        <item m="1" x="16"/>
        <item m="1" x="19"/>
        <item m="1" x="10"/>
        <item m="1" x="11"/>
        <item m="1" x="12"/>
        <item m="1" x="7"/>
        <item m="1" x="8"/>
        <item m="1" x="13"/>
        <item m="1" x="14"/>
        <item m="1" x="9"/>
        <item m="1" x="4"/>
        <item m="1" x="5"/>
        <item m="1" x="6"/>
        <item x="0"/>
        <item x="1"/>
        <item m="1" x="3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3">
        <item x="3"/>
        <item x="8"/>
        <item x="1"/>
        <item x="12"/>
        <item x="5"/>
        <item m="1" x="29"/>
        <item m="1" x="28"/>
        <item m="1" x="30"/>
        <item m="1" x="31"/>
        <item m="1" x="22"/>
        <item x="11"/>
        <item x="7"/>
        <item x="4"/>
        <item m="1" x="23"/>
        <item x="10"/>
        <item m="1" x="25"/>
        <item x="0"/>
        <item x="2"/>
        <item m="1" x="26"/>
        <item x="13"/>
        <item m="1" x="24"/>
        <item x="6"/>
        <item x="14"/>
        <item x="16"/>
        <item m="1" x="27"/>
        <item x="15"/>
        <item x="9"/>
        <item m="1" x="19"/>
        <item x="17"/>
        <item m="1" x="21"/>
        <item m="1" x="18"/>
        <item m="1" x="20"/>
        <item t="default"/>
      </items>
    </pivotField>
    <pivotField showAll="0"/>
    <pivotField axis="axisRow" showAll="0">
      <items count="9">
        <item x="3"/>
        <item x="2"/>
        <item m="1" x="5"/>
        <item m="1" x="7"/>
        <item x="1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axis="axisRow" showAll="0">
      <items count="17">
        <item x="2"/>
        <item x="6"/>
        <item x="8"/>
        <item x="3"/>
        <item x="1"/>
        <item x="4"/>
        <item x="5"/>
        <item m="1" x="13"/>
        <item x="7"/>
        <item m="1" x="12"/>
        <item m="1" x="15"/>
        <item x="0"/>
        <item x="10"/>
        <item x="9"/>
        <item m="1" x="11"/>
        <item h="1" m="1" x="14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2">
    <field x="21"/>
    <field x="4"/>
  </rowFields>
  <rowItems count="31">
    <i>
      <x/>
    </i>
    <i r="1">
      <x v="4"/>
    </i>
    <i r="1">
      <x v="6"/>
    </i>
    <i>
      <x v="1"/>
    </i>
    <i r="1">
      <x v="4"/>
    </i>
    <i r="1">
      <x v="6"/>
    </i>
    <i>
      <x v="2"/>
    </i>
    <i r="1">
      <x v="4"/>
    </i>
    <i>
      <x v="3"/>
    </i>
    <i r="1">
      <x v="4"/>
    </i>
    <i r="1">
      <x v="6"/>
    </i>
    <i>
      <x v="4"/>
    </i>
    <i r="1">
      <x v="4"/>
    </i>
    <i r="1">
      <x v="6"/>
    </i>
    <i>
      <x v="5"/>
    </i>
    <i r="1">
      <x v="4"/>
    </i>
    <i r="1">
      <x v="6"/>
    </i>
    <i>
      <x v="6"/>
    </i>
    <i r="1">
      <x v="4"/>
    </i>
    <i>
      <x v="8"/>
    </i>
    <i r="1">
      <x v="4"/>
    </i>
    <i>
      <x v="11"/>
    </i>
    <i r="1">
      <x/>
    </i>
    <i r="1">
      <x v="1"/>
    </i>
    <i r="1">
      <x v="4"/>
    </i>
    <i r="1">
      <x v="6"/>
    </i>
    <i>
      <x v="12"/>
    </i>
    <i r="1">
      <x v="6"/>
    </i>
    <i>
      <x v="13"/>
    </i>
    <i r="1">
      <x v="4"/>
    </i>
    <i t="grand">
      <x/>
    </i>
  </rowItems>
  <colFields count="1">
    <field x="1"/>
  </colFields>
  <colItems count="3">
    <i>
      <x v="45"/>
    </i>
    <i>
      <x v="47"/>
    </i>
    <i>
      <x v="44"/>
    </i>
  </colItems>
  <dataFields count="1">
    <dataField name="Gross Loss by" fld="13" baseField="0" baseItem="0" numFmtId="170"/>
  </dataFields>
  <formats count="23">
    <format dxfId="157">
      <pivotArea outline="0" collapsedLevelsAreSubtotals="1" fieldPosition="0"/>
    </format>
    <format dxfId="156">
      <pivotArea type="origin" dataOnly="0" labelOnly="1" outline="0" fieldPosition="0"/>
    </format>
    <format dxfId="155">
      <pivotArea type="origin" dataOnly="0" labelOnly="1" outline="0" fieldPosition="0"/>
    </format>
    <format dxfId="154">
      <pivotArea field="1" type="button" dataOnly="0" labelOnly="1" outline="0" axis="axisCol" fieldPosition="0"/>
    </format>
    <format dxfId="153">
      <pivotArea type="topRight" dataOnly="0" labelOnly="1" outline="0" fieldPosition="0"/>
    </format>
    <format dxfId="152">
      <pivotArea field="2" type="button" dataOnly="0" labelOnly="1" outline="0"/>
    </format>
    <format dxfId="151">
      <pivotArea dataOnly="0" labelOnly="1" fieldPosition="0">
        <references count="1">
          <reference field="1" count="0"/>
        </references>
      </pivotArea>
    </format>
    <format dxfId="150">
      <pivotArea type="origin" dataOnly="0" labelOnly="1" outline="0" fieldPosition="0"/>
    </format>
    <format dxfId="149">
      <pivotArea field="1" type="button" dataOnly="0" labelOnly="1" outline="0" axis="axisCol" fieldPosition="0"/>
    </format>
    <format dxfId="148">
      <pivotArea type="topRight" dataOnly="0" labelOnly="1" outline="0" fieldPosition="0"/>
    </format>
    <format dxfId="147">
      <pivotArea field="2" type="button" dataOnly="0" labelOnly="1" outline="0"/>
    </format>
    <format dxfId="146">
      <pivotArea dataOnly="0" labelOnly="1" fieldPosition="0">
        <references count="1">
          <reference field="1" count="0"/>
        </references>
      </pivotArea>
    </format>
    <format dxfId="145">
      <pivotArea type="origin" dataOnly="0" labelOnly="1" outline="0" fieldPosition="0"/>
    </format>
    <format dxfId="144">
      <pivotArea field="1" type="button" dataOnly="0" labelOnly="1" outline="0" axis="axisCol" fieldPosition="0"/>
    </format>
    <format dxfId="143">
      <pivotArea type="topRight" dataOnly="0" labelOnly="1" outline="0" fieldPosition="0"/>
    </format>
    <format dxfId="142">
      <pivotArea field="2" type="button" dataOnly="0" labelOnly="1" outline="0"/>
    </format>
    <format dxfId="141">
      <pivotArea dataOnly="0" labelOnly="1" fieldPosition="0">
        <references count="1">
          <reference field="1" count="0"/>
        </references>
      </pivotArea>
    </format>
    <format dxfId="140">
      <pivotArea grandRow="1" outline="0" collapsedLevelsAreSubtotals="1" fieldPosition="0"/>
    </format>
    <format dxfId="139">
      <pivotArea dataOnly="0" labelOnly="1" grandRow="1" outline="0" fieldPosition="0"/>
    </format>
    <format dxfId="138">
      <pivotArea type="origin" dataOnly="0" labelOnly="1" outline="0" fieldPosition="0"/>
    </format>
    <format dxfId="137">
      <pivotArea type="all" dataOnly="0" outline="0" fieldPosition="0"/>
    </format>
    <format dxfId="136">
      <pivotArea type="all" dataOnly="0" outline="0" fieldPosition="0"/>
    </format>
    <format dxfId="51">
      <pivotArea dataOnly="0" labelOnly="1" fieldPosition="0">
        <references count="1">
          <reference field="1" count="0"/>
        </references>
      </pivotArea>
    </format>
  </formats>
  <pivotTableStyleInfo name="PivotStyleLight1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51E57-3D91-40D0-9C95-E1856661CB58}" name="PivotTable4" cacheId="94" applyNumberFormats="0" applyBorderFormats="0" applyFontFormats="0" applyPatternFormats="0" applyAlignmentFormats="0" applyWidthHeightFormats="1" dataCaption="Values" updatedVersion="8" minRefreshableVersion="3" showDrill="0" useAutoFormatting="1" colGrandTotals="0" itemPrintTitles="1" createdVersion="8" indent="0" compact="0" compactData="0" multipleFieldFilters="0">
  <location ref="B5:P363" firstHeaderRow="1" firstDataRow="2" firstDataCol="12"/>
  <pivotFields count="24">
    <pivotField axis="axisRow" compact="0" outline="0" subtotalTop="0" showAll="0" sortType="descending" defaultSubtotal="0">
      <items count="1068">
        <item m="1" x="937"/>
        <item m="1" x="936"/>
        <item m="1" x="951"/>
        <item m="1" x="953"/>
        <item m="1" x="938"/>
        <item m="1" x="940"/>
        <item m="1" x="952"/>
        <item m="1" x="939"/>
        <item m="1" x="943"/>
        <item m="1" x="945"/>
        <item m="1" x="954"/>
        <item m="1" x="944"/>
        <item m="1" x="942"/>
        <item m="1" x="946"/>
        <item m="1" x="947"/>
        <item m="1" x="948"/>
        <item m="1" x="433"/>
        <item m="1" x="949"/>
        <item x="12"/>
        <item x="30"/>
        <item x="151"/>
        <item x="290"/>
        <item x="83"/>
        <item m="1" x="677"/>
        <item x="125"/>
        <item x="295"/>
        <item m="1" x="676"/>
        <item x="116"/>
        <item x="133"/>
        <item x="195"/>
        <item x="80"/>
        <item x="154"/>
        <item m="1" x="553"/>
        <item m="1" x="434"/>
        <item x="118"/>
        <item x="264"/>
        <item x="228"/>
        <item x="197"/>
        <item x="55"/>
        <item x="155"/>
        <item x="208"/>
        <item x="156"/>
        <item x="204"/>
        <item m="1" x="955"/>
        <item x="18"/>
        <item m="1" x="956"/>
        <item m="1" x="1049"/>
        <item m="1" x="950"/>
        <item m="1" x="656"/>
        <item m="1" x="637"/>
        <item m="1" x="577"/>
        <item m="1" x="658"/>
        <item m="1" x="862"/>
        <item m="1" x="576"/>
        <item m="1" x="969"/>
        <item m="1" x="578"/>
        <item m="1" x="661"/>
        <item m="1" x="688"/>
        <item m="1" x="604"/>
        <item m="1" x="687"/>
        <item m="1" x="1058"/>
        <item m="1" x="690"/>
        <item m="1" x="692"/>
        <item m="1" x="861"/>
        <item m="1" x="581"/>
        <item m="1" x="865"/>
        <item m="1" x="869"/>
        <item m="1" x="1057"/>
        <item m="1" x="582"/>
        <item m="1" x="662"/>
        <item m="1" x="863"/>
        <item m="1" x="864"/>
        <item m="1" x="984"/>
        <item m="1" x="860"/>
        <item m="1" x="970"/>
        <item m="1" x="660"/>
        <item m="1" x="868"/>
        <item m="1" x="866"/>
        <item m="1" x="867"/>
        <item m="1" x="870"/>
        <item m="1" x="1003"/>
        <item m="1" x="579"/>
        <item m="1" x="873"/>
        <item m="1" x="872"/>
        <item m="1" x="580"/>
        <item m="1" x="583"/>
        <item m="1" x="694"/>
        <item m="1" x="695"/>
        <item m="1" x="689"/>
        <item m="1" x="691"/>
        <item m="1" x="693"/>
        <item m="1" x="664"/>
        <item m="1" x="663"/>
        <item m="1" x="696"/>
        <item m="1" x="697"/>
        <item m="1" x="665"/>
        <item m="1" x="958"/>
        <item m="1" x="1026"/>
        <item m="1" x="698"/>
        <item m="1" x="699"/>
        <item m="1" x="701"/>
        <item m="1" x="702"/>
        <item m="1" x="706"/>
        <item m="1" x="1064"/>
        <item m="1" x="1065"/>
        <item m="1" x="878"/>
        <item m="1" x="607"/>
        <item m="1" x="1034"/>
        <item m="1" x="874"/>
        <item m="1" x="667"/>
        <item m="1" x="961"/>
        <item m="1" x="957"/>
        <item m="1" x="966"/>
        <item m="1" x="700"/>
        <item m="1" x="1014"/>
        <item m="1" x="606"/>
        <item m="1" x="703"/>
        <item m="1" x="707"/>
        <item m="1" x="704"/>
        <item m="1" x="1044"/>
        <item m="1" x="967"/>
        <item m="1" x="612"/>
        <item m="1" x="585"/>
        <item m="1" x="586"/>
        <item m="1" x="584"/>
        <item m="1" x="608"/>
        <item m="1" x="871"/>
        <item m="1" x="666"/>
        <item m="1" x="682"/>
        <item m="1" x="684"/>
        <item m="1" x="683"/>
        <item m="1" x="964"/>
        <item m="1" x="605"/>
        <item m="1" x="993"/>
        <item m="1" x="880"/>
        <item m="1" x="600"/>
        <item m="1" x="708"/>
        <item m="1" x="680"/>
        <item m="1" x="875"/>
        <item m="1" x="977"/>
        <item m="1" x="978"/>
        <item m="1" x="883"/>
        <item m="1" x="876"/>
        <item m="1" x="678"/>
        <item m="1" x="877"/>
        <item m="1" x="1027"/>
        <item m="1" x="974"/>
        <item m="1" x="959"/>
        <item m="1" x="981"/>
        <item m="1" x="710"/>
        <item m="1" x="859"/>
        <item m="1" x="669"/>
        <item m="1" x="1005"/>
        <item m="1" x="987"/>
        <item m="1" x="986"/>
        <item m="1" x="1006"/>
        <item m="1" x="587"/>
        <item m="1" x="989"/>
        <item m="1" x="884"/>
        <item m="1" x="991"/>
        <item m="1" x="1013"/>
        <item m="1" x="670"/>
        <item m="1" x="881"/>
        <item m="1" x="879"/>
        <item m="1" x="681"/>
        <item m="1" x="713"/>
        <item m="1" x="715"/>
        <item m="1" x="716"/>
        <item m="1" x="589"/>
        <item m="1" x="705"/>
        <item m="1" x="1067"/>
        <item m="1" x="721"/>
        <item m="1" x="932"/>
        <item m="1" x="935"/>
        <item m="1" x="709"/>
        <item m="1" x="891"/>
        <item m="1" x="668"/>
        <item m="1" x="887"/>
        <item m="1" x="613"/>
        <item m="1" x="590"/>
        <item m="1" x="893"/>
        <item m="1" x="1051"/>
        <item m="1" x="712"/>
        <item m="1" x="1010"/>
        <item m="1" x="1009"/>
        <item m="1" x="885"/>
        <item m="1" x="889"/>
        <item m="1" x="972"/>
        <item m="1" x="975"/>
        <item m="1" x="611"/>
        <item m="1" x="1063"/>
        <item m="1" x="711"/>
        <item m="1" x="638"/>
        <item m="1" x="727"/>
        <item m="1" x="1042"/>
        <item m="1" x="882"/>
        <item m="1" x="719"/>
        <item m="1" x="731"/>
        <item m="1" x="962"/>
        <item m="1" x="639"/>
        <item m="1" x="1032"/>
        <item m="1" x="1030"/>
        <item m="1" x="997"/>
        <item m="1" x="609"/>
        <item m="1" x="895"/>
        <item m="1" x="1022"/>
        <item m="1" x="888"/>
        <item m="1" x="886"/>
        <item m="1" x="588"/>
        <item m="1" x="714"/>
        <item m="1" x="854"/>
        <item m="1" x="894"/>
        <item m="1" x="718"/>
        <item m="1" x="899"/>
        <item m="1" x="717"/>
        <item m="1" x="857"/>
        <item m="1" x="640"/>
        <item m="1" x="720"/>
        <item m="1" x="722"/>
        <item m="1" x="858"/>
        <item m="1" x="998"/>
        <item m="1" x="641"/>
        <item m="1" x="723"/>
        <item m="1" x="897"/>
        <item m="1" x="724"/>
        <item m="1" x="735"/>
        <item m="1" x="890"/>
        <item m="1" x="726"/>
        <item m="1" x="853"/>
        <item m="1" x="730"/>
        <item m="1" x="852"/>
        <item m="1" x="992"/>
        <item m="1" x="856"/>
        <item m="1" x="892"/>
        <item m="1" x="1028"/>
        <item m="1" x="1002"/>
        <item m="1" x="1001"/>
        <item m="1" x="1039"/>
        <item m="1" x="685"/>
        <item m="1" x="675"/>
        <item m="1" x="1024"/>
        <item m="1" x="728"/>
        <item m="1" x="734"/>
        <item m="1" x="741"/>
        <item m="1" x="738"/>
        <item m="1" x="610"/>
        <item m="1" x="1019"/>
        <item m="1" x="902"/>
        <item m="1" x="744"/>
        <item m="1" x="903"/>
        <item m="1" x="686"/>
        <item m="1" x="971"/>
        <item m="1" x="926"/>
        <item m="1" x="982"/>
        <item m="1" x="990"/>
        <item m="1" x="906"/>
        <item m="1" x="725"/>
        <item m="1" x="729"/>
        <item m="1" x="896"/>
        <item m="1" x="1020"/>
        <item m="1" x="751"/>
        <item m="1" x="976"/>
        <item m="1" x="592"/>
        <item m="1" x="591"/>
        <item m="1" x="960"/>
        <item m="1" x="905"/>
        <item m="1" x="1052"/>
        <item m="1" x="898"/>
        <item m="1" x="602"/>
        <item m="1" x="900"/>
        <item m="1" x="748"/>
        <item m="1" x="749"/>
        <item m="1" x="753"/>
        <item m="1" x="679"/>
        <item m="1" x="732"/>
        <item m="1" x="855"/>
        <item m="1" x="736"/>
        <item m="1" x="739"/>
        <item m="1" x="757"/>
        <item m="1" x="904"/>
        <item m="1" x="761"/>
        <item m="1" x="754"/>
        <item m="1" x="763"/>
        <item m="1" x="850"/>
        <item m="1" x="767"/>
        <item m="1" x="758"/>
        <item m="1" x="742"/>
        <item m="1" x="745"/>
        <item m="1" x="1055"/>
        <item m="1" x="1016"/>
        <item m="1" x="644"/>
        <item m="1" x="764"/>
        <item m="1" x="771"/>
        <item m="1" x="642"/>
        <item m="1" x="849"/>
        <item m="1" x="1012"/>
        <item m="1" x="1054"/>
        <item m="1" x="768"/>
        <item m="1" x="908"/>
        <item m="1" x="1056"/>
        <item m="1" x="733"/>
        <item m="1" x="846"/>
        <item m="1" x="774"/>
        <item m="1" x="772"/>
        <item m="1" x="778"/>
        <item m="1" x="775"/>
        <item m="1" x="782"/>
        <item m="1" x="847"/>
        <item m="1" x="901"/>
        <item m="1" x="737"/>
        <item m="1" x="740"/>
        <item m="1" x="743"/>
        <item m="1" x="1021"/>
        <item m="1" x="911"/>
        <item m="1" x="601"/>
        <item m="1" x="779"/>
        <item m="1" x="793"/>
        <item m="1" x="746"/>
        <item m="1" x="848"/>
        <item m="1" x="913"/>
        <item x="157"/>
        <item m="1" x="907"/>
        <item m="1" x="909"/>
        <item m="1" x="789"/>
        <item m="1" x="851"/>
        <item m="1" x="1045"/>
        <item m="1" x="747"/>
        <item x="297"/>
        <item x="15"/>
        <item m="1" x="783"/>
        <item m="1" x="1004"/>
        <item m="1" x="842"/>
        <item m="1" x="999"/>
        <item m="1" x="750"/>
        <item m="1" x="1061"/>
        <item m="1" x="800"/>
        <item m="1" x="786"/>
        <item m="1" x="803"/>
        <item m="1" x="844"/>
        <item m="1" x="1018"/>
        <item m="1" x="752"/>
        <item m="1" x="756"/>
        <item m="1" x="760"/>
        <item m="1" x="1040"/>
        <item m="1" x="985"/>
        <item m="1" x="980"/>
        <item m="1" x="941"/>
        <item m="1" x="790"/>
        <item m="1" x="996"/>
        <item m="1" x="646"/>
        <item m="1" x="1048"/>
        <item m="1" x="910"/>
        <item m="1" x="1059"/>
        <item m="1" x="1060"/>
        <item m="1" x="794"/>
        <item m="1" x="781"/>
        <item m="1" x="994"/>
        <item m="1" x="806"/>
        <item m="1" x="797"/>
        <item m="1" x="643"/>
        <item m="1" x="1011"/>
        <item m="1" x="645"/>
        <item m="1" x="988"/>
        <item m="1" x="766"/>
        <item m="1" x="770"/>
        <item m="1" x="845"/>
        <item m="1" x="1017"/>
        <item m="1" x="672"/>
        <item m="1" x="671"/>
        <item m="1" x="965"/>
        <item m="1" x="1047"/>
        <item m="1" x="777"/>
        <item m="1" x="843"/>
        <item m="1" x="1050"/>
        <item m="1" x="807"/>
        <item m="1" x="811"/>
        <item m="1" x="841"/>
        <item m="1" x="1007"/>
        <item m="1" x="963"/>
        <item m="1" x="840"/>
        <item m="1" x="1041"/>
        <item m="1" x="755"/>
        <item m="1" x="804"/>
        <item m="1" x="1015"/>
        <item m="1" x="785"/>
        <item m="1" x="915"/>
        <item m="1" x="919"/>
        <item m="1" x="792"/>
        <item m="1" x="788"/>
        <item m="1" x="813"/>
        <item m="1" x="809"/>
        <item m="1" x="1038"/>
        <item m="1" x="1046"/>
        <item m="1" x="1031"/>
        <item m="1" x="1066"/>
        <item m="1" x="914"/>
        <item m="1" x="759"/>
        <item m="1" x="762"/>
        <item m="1" x="916"/>
        <item m="1" x="812"/>
        <item m="1" x="814"/>
        <item m="1" x="815"/>
        <item m="1" x="817"/>
        <item m="1" x="920"/>
        <item m="1" x="765"/>
        <item m="1" x="796"/>
        <item m="1" x="917"/>
        <item m="1" x="820"/>
        <item m="1" x="839"/>
        <item m="1" x="818"/>
        <item m="1" x="821"/>
        <item m="1" x="822"/>
        <item m="1" x="824"/>
        <item m="1" x="825"/>
        <item m="1" x="826"/>
        <item m="1" x="923"/>
        <item m="1" x="1025"/>
        <item m="1" x="769"/>
        <item m="1" x="773"/>
        <item m="1" x="776"/>
        <item m="1" x="1000"/>
        <item m="1" x="1037"/>
        <item m="1" x="652"/>
        <item m="1" x="1023"/>
        <item m="1" x="983"/>
        <item m="1" x="918"/>
        <item m="1" x="780"/>
        <item m="1" x="784"/>
        <item m="1" x="787"/>
        <item m="1" x="827"/>
        <item m="1" x="828"/>
        <item m="1" x="829"/>
        <item m="1" x="830"/>
        <item m="1" x="831"/>
        <item m="1" x="791"/>
        <item m="1" x="795"/>
        <item m="1" x="924"/>
        <item m="1" x="1036"/>
        <item m="1" x="1043"/>
        <item m="1" x="979"/>
        <item m="1" x="995"/>
        <item m="1" x="912"/>
        <item m="1" x="922"/>
        <item m="1" x="973"/>
        <item m="1" x="833"/>
        <item m="1" x="928"/>
        <item m="1" x="799"/>
        <item m="1" x="802"/>
        <item m="1" x="801"/>
        <item m="1" x="805"/>
        <item m="1" x="808"/>
        <item m="1" x="925"/>
        <item m="1" x="798"/>
        <item m="1" x="834"/>
        <item m="1" x="838"/>
        <item m="1" x="593"/>
        <item m="1" x="594"/>
        <item m="1" x="595"/>
        <item m="1" x="597"/>
        <item m="1" x="1008"/>
        <item m="1" x="650"/>
        <item m="1" x="614"/>
        <item m="1" x="816"/>
        <item m="1" x="819"/>
        <item m="1" x="832"/>
        <item m="1" x="835"/>
        <item m="1" x="823"/>
        <item m="1" x="810"/>
        <item m="1" x="1029"/>
        <item m="1" x="1053"/>
        <item m="1" x="837"/>
        <item m="1" x="1062"/>
        <item m="1" x="596"/>
        <item m="1" x="968"/>
        <item m="1" x="598"/>
        <item m="1" x="648"/>
        <item m="1" x="651"/>
        <item m="1" x="1035"/>
        <item m="1" x="1033"/>
        <item m="1" x="615"/>
        <item m="1" x="624"/>
        <item m="1" x="617"/>
        <item m="1" x="618"/>
        <item m="1" x="619"/>
        <item m="1" x="627"/>
        <item m="1" x="621"/>
        <item m="1" x="622"/>
        <item m="1" x="623"/>
        <item m="1" x="630"/>
        <item m="1" x="628"/>
        <item m="1" x="626"/>
        <item m="1" x="633"/>
        <item m="1" x="625"/>
        <item m="1" x="629"/>
        <item m="1" x="635"/>
        <item m="1" x="631"/>
        <item m="1" x="632"/>
        <item m="1" x="636"/>
        <item m="1" x="634"/>
        <item m="1" x="616"/>
        <item m="1" x="620"/>
        <item m="1" x="647"/>
        <item m="1" x="649"/>
        <item m="1" x="673"/>
        <item m="1" x="674"/>
        <item m="1" x="836"/>
        <item m="1" x="927"/>
        <item m="1" x="929"/>
        <item m="1" x="930"/>
        <item m="1" x="653"/>
        <item m="1" x="654"/>
        <item m="1" x="931"/>
        <item m="1" x="933"/>
        <item m="1" x="934"/>
        <item m="1" x="603"/>
        <item m="1" x="655"/>
        <item m="1" x="657"/>
        <item m="1" x="659"/>
        <item m="1" x="921"/>
        <item m="1" x="599"/>
        <item x="222"/>
        <item x="124"/>
        <item x="291"/>
        <item x="87"/>
        <item x="216"/>
        <item x="263"/>
        <item x="69"/>
        <item x="136"/>
        <item x="223"/>
        <item m="1" x="528"/>
        <item x="294"/>
        <item m="1" x="436"/>
        <item x="152"/>
        <item m="1" x="439"/>
        <item m="1" x="437"/>
        <item x="296"/>
        <item m="1" x="440"/>
        <item m="1" x="445"/>
        <item x="90"/>
        <item m="1" x="443"/>
        <item m="1" x="438"/>
        <item x="34"/>
        <item m="1" x="467"/>
        <item m="1" x="454"/>
        <item m="1" x="463"/>
        <item m="1" x="447"/>
        <item m="1" x="466"/>
        <item m="1" x="461"/>
        <item m="1" x="441"/>
        <item m="1" x="455"/>
        <item m="1" x="470"/>
        <item m="1" x="465"/>
        <item m="1" x="451"/>
        <item m="1" x="448"/>
        <item m="1" x="477"/>
        <item m="1" x="458"/>
        <item m="1" x="517"/>
        <item m="1" x="456"/>
        <item x="159"/>
        <item m="1" x="462"/>
        <item m="1" x="460"/>
        <item m="1" x="464"/>
        <item x="199"/>
        <item m="1" x="469"/>
        <item m="1" x="459"/>
        <item m="1" x="472"/>
        <item m="1" x="493"/>
        <item m="1" x="473"/>
        <item m="1" x="468"/>
        <item m="1" x="479"/>
        <item m="1" x="492"/>
        <item m="1" x="482"/>
        <item m="1" x="475"/>
        <item m="1" x="483"/>
        <item m="1" x="505"/>
        <item m="1" x="478"/>
        <item m="1" x="480"/>
        <item m="1" x="494"/>
        <item m="1" x="490"/>
        <item m="1" x="481"/>
        <item m="1" x="491"/>
        <item m="1" x="487"/>
        <item m="1" x="531"/>
        <item x="230"/>
        <item m="1" x="506"/>
        <item m="1" x="497"/>
        <item m="1" x="509"/>
        <item x="82"/>
        <item m="1" x="503"/>
        <item x="76"/>
        <item x="1"/>
        <item m="1" x="498"/>
        <item x="135"/>
        <item x="325"/>
        <item m="1" x="501"/>
        <item m="1" x="507"/>
        <item x="16"/>
        <item m="1" x="512"/>
        <item m="1" x="526"/>
        <item m="1" x="530"/>
        <item m="1" x="510"/>
        <item m="1" x="527"/>
        <item m="1" x="508"/>
        <item m="1" x="525"/>
        <item m="1" x="523"/>
        <item m="1" x="511"/>
        <item m="1" x="488"/>
        <item m="1" x="504"/>
        <item m="1" x="539"/>
        <item m="1" x="489"/>
        <item m="1" x="500"/>
        <item x="265"/>
        <item m="1" x="496"/>
        <item m="1" x="495"/>
        <item m="1" x="522"/>
        <item m="1" x="450"/>
        <item m="1" x="514"/>
        <item m="1" x="446"/>
        <item m="1" x="515"/>
        <item m="1" x="529"/>
        <item m="1" x="444"/>
        <item m="1" x="442"/>
        <item x="29"/>
        <item m="1" x="435"/>
        <item m="1" x="536"/>
        <item m="1" x="534"/>
        <item m="1" x="476"/>
        <item m="1" x="572"/>
        <item m="1" x="541"/>
        <item m="1" x="559"/>
        <item m="1" x="486"/>
        <item m="1" x="573"/>
        <item m="1" x="537"/>
        <item m="1" x="474"/>
        <item m="1" x="484"/>
        <item m="1" x="554"/>
        <item m="1" x="549"/>
        <item m="1" x="543"/>
        <item m="1" x="485"/>
        <item m="1" x="521"/>
        <item m="1" x="524"/>
        <item m="1" x="544"/>
        <item m="1" x="538"/>
        <item m="1" x="574"/>
        <item m="1" x="552"/>
        <item m="1" x="545"/>
        <item m="1" x="575"/>
        <item x="278"/>
        <item m="1" x="513"/>
        <item x="307"/>
        <item m="1" x="533"/>
        <item m="1" x="519"/>
        <item m="1" x="516"/>
        <item m="1" x="547"/>
        <item x="166"/>
        <item m="1" x="535"/>
        <item x="105"/>
        <item m="1" x="499"/>
        <item m="1" x="518"/>
        <item m="1" x="571"/>
        <item m="1" x="520"/>
        <item m="1" x="570"/>
        <item m="1" x="449"/>
        <item m="1" x="453"/>
        <item m="1" x="457"/>
        <item m="1" x="452"/>
        <item m="1" x="471"/>
        <item m="1" x="502"/>
        <item m="1" x="546"/>
        <item m="1" x="550"/>
        <item m="1" x="551"/>
        <item m="1" x="548"/>
        <item m="1" x="568"/>
        <item m="1" x="566"/>
        <item m="1" x="567"/>
        <item x="213"/>
        <item m="1" x="565"/>
        <item m="1" x="556"/>
        <item m="1" x="557"/>
        <item x="24"/>
        <item m="1" x="563"/>
        <item x="132"/>
        <item x="98"/>
        <item m="1" x="555"/>
        <item m="1" x="561"/>
        <item m="1" x="558"/>
        <item m="1" x="564"/>
        <item m="1" x="560"/>
        <item m="1" x="562"/>
        <item m="1" x="569"/>
        <item m="1" x="542"/>
        <item m="1" x="540"/>
        <item m="1" x="532"/>
        <item x="130"/>
        <item x="221"/>
        <item x="225"/>
        <item x="5"/>
        <item x="11"/>
        <item x="191"/>
        <item x="57"/>
        <item x="224"/>
        <item x="153"/>
        <item x="129"/>
        <item x="292"/>
        <item x="110"/>
        <item x="33"/>
        <item x="50"/>
        <item x="134"/>
        <item x="14"/>
        <item x="58"/>
        <item x="321"/>
        <item x="36"/>
        <item x="293"/>
        <item x="338"/>
        <item x="227"/>
        <item x="158"/>
        <item x="229"/>
        <item x="121"/>
        <item x="109"/>
        <item x="205"/>
        <item x="95"/>
        <item x="342"/>
        <item x="77"/>
        <item x="306"/>
        <item x="43"/>
        <item x="60"/>
        <item x="348"/>
        <item x="31"/>
        <item x="299"/>
        <item x="161"/>
        <item x="269"/>
        <item x="322"/>
        <item x="149"/>
        <item x="323"/>
        <item x="266"/>
        <item x="196"/>
        <item x="232"/>
        <item x="271"/>
        <item x="160"/>
        <item x="273"/>
        <item x="162"/>
        <item x="28"/>
        <item x="298"/>
        <item x="274"/>
        <item x="311"/>
        <item x="39"/>
        <item x="103"/>
        <item x="68"/>
        <item x="54"/>
        <item x="344"/>
        <item x="164"/>
        <item x="107"/>
        <item x="37"/>
        <item x="217"/>
        <item x="277"/>
        <item x="343"/>
        <item x="267"/>
        <item x="70"/>
        <item x="73"/>
        <item x="108"/>
        <item x="268"/>
        <item x="215"/>
        <item x="270"/>
        <item x="272"/>
        <item x="281"/>
        <item x="312"/>
        <item x="231"/>
        <item x="96"/>
        <item x="193"/>
        <item x="32"/>
        <item x="275"/>
        <item x="313"/>
        <item x="131"/>
        <item x="92"/>
        <item x="165"/>
        <item x="170"/>
        <item x="44"/>
        <item x="163"/>
        <item x="46"/>
        <item x="235"/>
        <item x="113"/>
        <item x="72"/>
        <item x="233"/>
        <item x="202"/>
        <item x="66"/>
        <item x="119"/>
        <item x="139"/>
        <item x="2"/>
        <item x="63"/>
        <item x="276"/>
        <item x="210"/>
        <item x="93"/>
        <item x="234"/>
        <item x="285"/>
        <item x="316"/>
        <item x="128"/>
        <item x="38"/>
        <item x="220"/>
        <item x="236"/>
        <item x="279"/>
        <item x="144"/>
        <item x="282"/>
        <item x="13"/>
        <item m="1" x="362"/>
        <item x="324"/>
        <item x="286"/>
        <item x="280"/>
        <item x="126"/>
        <item x="42"/>
        <item x="314"/>
        <item x="65"/>
        <item x="331"/>
        <item x="239"/>
        <item x="201"/>
        <item x="167"/>
        <item x="146"/>
        <item x="40"/>
        <item x="21"/>
        <item x="168"/>
        <item x="315"/>
        <item x="0"/>
        <item x="64"/>
        <item m="1" x="432"/>
        <item x="71"/>
        <item x="287"/>
        <item x="238"/>
        <item x="198"/>
        <item x="242"/>
        <item x="240"/>
        <item x="171"/>
        <item x="114"/>
        <item x="200"/>
        <item x="91"/>
        <item x="237"/>
        <item x="211"/>
        <item x="143"/>
        <item x="52"/>
        <item x="97"/>
        <item x="101"/>
        <item x="47"/>
        <item x="332"/>
        <item x="241"/>
        <item x="172"/>
        <item x="175"/>
        <item x="85"/>
        <item x="326"/>
        <item x="140"/>
        <item x="78"/>
        <item x="173"/>
        <item x="288"/>
        <item x="9"/>
        <item x="99"/>
        <item x="59"/>
        <item x="174"/>
        <item x="26"/>
        <item x="100"/>
        <item x="142"/>
        <item x="3"/>
        <item x="245"/>
        <item x="84"/>
        <item x="327"/>
        <item x="243"/>
        <item x="41"/>
        <item m="1" x="357"/>
        <item x="346"/>
        <item x="244"/>
        <item x="179"/>
        <item x="45"/>
        <item x="81"/>
        <item x="35"/>
        <item x="319"/>
        <item x="112"/>
        <item x="255"/>
        <item x="194"/>
        <item x="248"/>
        <item x="176"/>
        <item x="61"/>
        <item x="22"/>
        <item x="141"/>
        <item x="8"/>
        <item x="181"/>
        <item m="1" x="431"/>
        <item x="111"/>
        <item x="317"/>
        <item x="182"/>
        <item x="284"/>
        <item x="102"/>
        <item x="283"/>
        <item x="256"/>
        <item x="178"/>
        <item x="89"/>
        <item x="214"/>
        <item x="247"/>
        <item x="333"/>
        <item x="67"/>
        <item x="127"/>
        <item x="207"/>
        <item x="308"/>
        <item x="249"/>
        <item x="4"/>
        <item x="334"/>
        <item x="23"/>
        <item x="261"/>
        <item x="74"/>
        <item x="104"/>
        <item x="7"/>
        <item x="251"/>
        <item x="203"/>
        <item x="257"/>
        <item x="180"/>
        <item x="25"/>
        <item x="328"/>
        <item x="184"/>
        <item x="183"/>
        <item x="123"/>
        <item x="106"/>
        <item x="309"/>
        <item x="246"/>
        <item x="10"/>
        <item x="250"/>
        <item x="20"/>
        <item x="48"/>
        <item x="310"/>
        <item x="260"/>
        <item x="51"/>
        <item x="79"/>
        <item x="254"/>
        <item m="1" x="429"/>
        <item x="302"/>
        <item x="186"/>
        <item x="17"/>
        <item x="252"/>
        <item x="75"/>
        <item x="120"/>
        <item x="304"/>
        <item x="209"/>
        <item x="19"/>
        <item x="94"/>
        <item x="148"/>
        <item x="262"/>
        <item x="53"/>
        <item x="86"/>
        <item x="329"/>
        <item x="335"/>
        <item x="192"/>
        <item x="253"/>
        <item x="305"/>
        <item x="226"/>
        <item x="300"/>
        <item x="62"/>
        <item m="1" x="361"/>
        <item x="349"/>
        <item x="122"/>
        <item x="49"/>
        <item x="147"/>
        <item m="1" x="364"/>
        <item x="88"/>
        <item m="1" x="363"/>
        <item x="145"/>
        <item m="1" x="365"/>
        <item x="177"/>
        <item x="318"/>
        <item x="185"/>
        <item m="1" x="360"/>
        <item x="258"/>
        <item x="206"/>
        <item x="219"/>
        <item x="218"/>
        <item x="187"/>
        <item x="137"/>
        <item x="320"/>
        <item x="189"/>
        <item m="1" x="373"/>
        <item m="1" x="374"/>
        <item x="345"/>
        <item m="1" x="375"/>
        <item m="1" x="358"/>
        <item x="336"/>
        <item x="212"/>
        <item x="188"/>
        <item x="150"/>
        <item m="1" x="403"/>
        <item m="1" x="377"/>
        <item m="1" x="417"/>
        <item m="1" x="416"/>
        <item x="289"/>
        <item x="341"/>
        <item x="352"/>
        <item x="27"/>
        <item m="1" x="380"/>
        <item m="1" x="398"/>
        <item m="1" x="399"/>
        <item m="1" x="400"/>
        <item m="1" x="401"/>
        <item m="1" x="402"/>
        <item m="1" x="406"/>
        <item m="1" x="405"/>
        <item x="303"/>
        <item x="351"/>
        <item m="1" x="407"/>
        <item m="1" x="370"/>
        <item m="1" x="408"/>
        <item x="354"/>
        <item x="330"/>
        <item x="190"/>
        <item x="337"/>
        <item x="353"/>
        <item m="1" x="372"/>
        <item m="1" x="371"/>
        <item x="340"/>
        <item m="1" x="396"/>
        <item m="1" x="397"/>
        <item x="117"/>
        <item x="56"/>
        <item x="169"/>
        <item x="339"/>
        <item m="1" x="376"/>
        <item x="350"/>
        <item x="6"/>
        <item m="1" x="379"/>
        <item m="1" x="359"/>
        <item m="1" x="378"/>
        <item x="355"/>
        <item x="138"/>
        <item m="1" x="404"/>
        <item m="1" x="409"/>
        <item m="1" x="410"/>
        <item m="1" x="411"/>
        <item m="1" x="412"/>
        <item m="1" x="413"/>
        <item m="1" x="414"/>
        <item m="1" x="415"/>
        <item m="1" x="368"/>
        <item m="1" x="369"/>
        <item m="1" x="418"/>
        <item m="1" x="419"/>
        <item m="1" x="420"/>
        <item m="1" x="421"/>
        <item m="1" x="422"/>
        <item x="347"/>
        <item m="1" x="423"/>
        <item m="1" x="424"/>
        <item m="1" x="356"/>
        <item m="1" x="425"/>
        <item m="1" x="426"/>
        <item m="1" x="427"/>
        <item m="1" x="428"/>
        <item m="1" x="430"/>
        <item m="1" x="381"/>
        <item m="1" x="382"/>
        <item m="1" x="383"/>
        <item m="1" x="384"/>
        <item m="1" x="367"/>
        <item m="1" x="385"/>
        <item m="1" x="386"/>
        <item m="1" x="387"/>
        <item m="1" x="366"/>
        <item m="1" x="388"/>
        <item m="1" x="389"/>
        <item m="1" x="390"/>
        <item m="1" x="391"/>
        <item x="115"/>
        <item x="259"/>
        <item m="1" x="392"/>
        <item m="1" x="393"/>
        <item m="1" x="394"/>
        <item m="1" x="395"/>
        <item x="30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compact="0" outline="0" showAll="0" sortType="ascending" defaultSubtotal="0">
      <items count="48">
        <item m="1" x="44"/>
        <item m="1" x="47"/>
        <item m="1" x="42"/>
        <item m="1" x="46"/>
        <item m="1" x="45"/>
        <item m="1" x="43"/>
        <item m="1" x="39"/>
        <item m="1" x="40"/>
        <item m="1" x="41"/>
        <item m="1" x="38"/>
        <item m="1" x="27"/>
        <item m="1" x="37"/>
        <item m="1" x="36"/>
        <item m="1" x="35"/>
        <item m="1" x="34"/>
        <item m="1" x="23"/>
        <item m="1" x="31"/>
        <item m="1" x="29"/>
        <item m="1" x="32"/>
        <item m="1" x="33"/>
        <item m="1" x="25"/>
        <item m="1" x="30"/>
        <item m="1" x="28"/>
        <item m="1" x="26"/>
        <item m="1" x="24"/>
        <item m="1" x="20"/>
        <item m="1" x="22"/>
        <item m="1" x="15"/>
        <item m="1" x="17"/>
        <item m="1" x="18"/>
        <item m="1" x="21"/>
        <item m="1" x="16"/>
        <item m="1" x="19"/>
        <item m="1" x="10"/>
        <item m="1" x="11"/>
        <item m="1" x="12"/>
        <item m="1" x="7"/>
        <item m="1" x="8"/>
        <item m="1" x="13"/>
        <item m="1" x="14"/>
        <item m="1" x="9"/>
        <item m="1" x="4"/>
        <item m="1" x="5"/>
        <item m="1" x="6"/>
        <item x="0"/>
        <item x="1"/>
        <item m="1" x="3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sortType="ascending" defaultSubtotal="0">
      <items count="32">
        <item x="3"/>
        <item m="1" x="21"/>
        <item x="8"/>
        <item x="1"/>
        <item m="1" x="27"/>
        <item x="15"/>
        <item x="12"/>
        <item m="1" x="20"/>
        <item x="9"/>
        <item m="1" x="18"/>
        <item x="6"/>
        <item x="5"/>
        <item x="16"/>
        <item x="14"/>
        <item m="1" x="29"/>
        <item m="1" x="28"/>
        <item m="1" x="30"/>
        <item m="1" x="31"/>
        <item m="1" x="22"/>
        <item x="11"/>
        <item x="7"/>
        <item x="4"/>
        <item m="1" x="23"/>
        <item x="10"/>
        <item m="1" x="19"/>
        <item m="1" x="25"/>
        <item x="17"/>
        <item x="0"/>
        <item x="2"/>
        <item m="1" x="26"/>
        <item x="13"/>
        <item m="1" x="24"/>
      </items>
    </pivotField>
    <pivotField axis="axisRow" compact="0" outline="0" showAll="0" defaultSubtotal="0">
      <items count="671">
        <item m="1" x="604"/>
        <item m="1" x="442"/>
        <item m="1" x="434"/>
        <item m="1" x="429"/>
        <item m="1" x="427"/>
        <item m="1" x="428"/>
        <item m="1" x="438"/>
        <item m="1" x="426"/>
        <item m="1" x="433"/>
        <item m="1" x="425"/>
        <item m="1" x="430"/>
        <item m="1" x="436"/>
        <item m="1" x="624"/>
        <item m="1" x="397"/>
        <item m="1" x="399"/>
        <item m="1" x="396"/>
        <item m="1" x="410"/>
        <item m="1" x="392"/>
        <item m="1" x="398"/>
        <item m="1" x="400"/>
        <item m="1" x="622"/>
        <item m="1" x="412"/>
        <item m="1" x="620"/>
        <item m="1" x="401"/>
        <item m="1" x="413"/>
        <item m="1" x="406"/>
        <item m="1" x="656"/>
        <item m="1" x="391"/>
        <item m="1" x="404"/>
        <item m="1" x="393"/>
        <item m="1" x="617"/>
        <item m="1" x="405"/>
        <item m="1" x="621"/>
        <item m="1" x="394"/>
        <item m="1" x="402"/>
        <item m="1" x="395"/>
        <item m="1" x="403"/>
        <item m="1" x="616"/>
        <item m="1" x="619"/>
        <item m="1" x="618"/>
        <item m="1" x="409"/>
        <item m="1" x="407"/>
        <item m="1" x="615"/>
        <item m="1" x="614"/>
        <item m="1" x="411"/>
        <item m="1" x="408"/>
        <item m="1" x="414"/>
        <item m="1" x="416"/>
        <item m="1" x="623"/>
        <item m="1" x="415"/>
        <item m="1" x="580"/>
        <item m="1" x="418"/>
        <item m="1" x="421"/>
        <item m="1" x="612"/>
        <item m="1" x="440"/>
        <item m="1" x="420"/>
        <item m="1" x="419"/>
        <item m="1" x="423"/>
        <item m="1" x="417"/>
        <item m="1" x="422"/>
        <item m="1" x="424"/>
        <item m="1" x="641"/>
        <item m="1" x="591"/>
        <item m="1" x="657"/>
        <item m="1" x="561"/>
        <item m="1" x="659"/>
        <item m="1" x="464"/>
        <item m="1" x="463"/>
        <item m="1" x="432"/>
        <item m="1" x="458"/>
        <item m="1" x="459"/>
        <item m="1" x="460"/>
        <item m="1" x="461"/>
        <item m="1" x="462"/>
        <item m="1" x="595"/>
        <item x="5"/>
        <item x="148"/>
        <item x="69"/>
        <item x="119"/>
        <item x="207"/>
        <item x="205"/>
        <item x="93"/>
        <item x="116"/>
        <item x="187"/>
        <item x="13"/>
        <item x="166"/>
        <item x="102"/>
        <item x="157"/>
        <item x="105"/>
        <item x="71"/>
        <item m="1" x="607"/>
        <item m="1" x="606"/>
        <item m="1" x="605"/>
        <item m="1" x="603"/>
        <item m="1" x="602"/>
        <item m="1" x="608"/>
        <item m="1" x="609"/>
        <item m="1" x="610"/>
        <item x="59"/>
        <item x="12"/>
        <item m="1" x="375"/>
        <item x="27"/>
        <item m="1" x="468"/>
        <item m="1" x="465"/>
        <item m="1" x="613"/>
        <item m="1" x="530"/>
        <item m="1" x="554"/>
        <item m="1" x="574"/>
        <item m="1" x="660"/>
        <item m="1" x="583"/>
        <item m="1" x="489"/>
        <item m="1" x="487"/>
        <item m="1" x="521"/>
        <item m="1" x="519"/>
        <item m="1" x="504"/>
        <item m="1" x="528"/>
        <item m="1" x="469"/>
        <item m="1" x="555"/>
        <item m="1" x="647"/>
        <item m="1" x="538"/>
        <item m="1" x="482"/>
        <item m="1" x="662"/>
        <item m="1" x="649"/>
        <item m="1" x="471"/>
        <item m="1" x="472"/>
        <item m="1" x="663"/>
        <item m="1" x="477"/>
        <item m="1" x="475"/>
        <item m="1" x="578"/>
        <item m="1" x="470"/>
        <item m="1" x="640"/>
        <item m="1" x="498"/>
        <item m="1" x="550"/>
        <item m="1" x="576"/>
        <item m="1" x="586"/>
        <item m="1" x="564"/>
        <item m="1" x="636"/>
        <item m="1" x="571"/>
        <item m="1" x="630"/>
        <item m="1" x="491"/>
        <item m="1" x="579"/>
        <item m="1" x="569"/>
        <item m="1" x="543"/>
        <item m="1" x="531"/>
        <item m="1" x="485"/>
        <item m="1" x="499"/>
        <item m="1" x="476"/>
        <item m="1" x="559"/>
        <item m="1" x="658"/>
        <item m="1" x="551"/>
        <item m="1" x="473"/>
        <item m="1" x="560"/>
        <item m="1" x="558"/>
        <item m="1" x="577"/>
        <item m="1" x="523"/>
        <item m="1" x="553"/>
        <item m="1" x="507"/>
        <item m="1" x="542"/>
        <item m="1" x="520"/>
        <item m="1" x="518"/>
        <item m="1" x="556"/>
        <item m="1" x="539"/>
        <item m="1" x="557"/>
        <item m="1" x="488"/>
        <item m="1" x="581"/>
        <item m="1" x="566"/>
        <item m="1" x="669"/>
        <item m="1" x="650"/>
        <item m="1" x="651"/>
        <item m="1" x="529"/>
        <item m="1" x="570"/>
        <item m="1" x="546"/>
        <item m="1" x="536"/>
        <item m="1" x="517"/>
        <item m="1" x="527"/>
        <item m="1" x="480"/>
        <item m="1" x="632"/>
        <item m="1" x="513"/>
        <item m="1" x="549"/>
        <item m="1" x="572"/>
        <item m="1" x="670"/>
        <item m="1" x="661"/>
        <item m="1" x="666"/>
        <item m="1" x="582"/>
        <item m="1" x="484"/>
        <item m="1" x="514"/>
        <item m="1" x="512"/>
        <item m="1" x="483"/>
        <item m="1" x="575"/>
        <item m="1" x="506"/>
        <item m="1" x="509"/>
        <item m="1" x="508"/>
        <item m="1" x="654"/>
        <item m="1" x="503"/>
        <item m="1" x="522"/>
        <item m="1" x="639"/>
        <item m="1" x="587"/>
        <item m="1" x="665"/>
        <item m="1" x="502"/>
        <item m="1" x="474"/>
        <item m="1" x="493"/>
        <item m="1" x="544"/>
        <item m="1" x="592"/>
        <item m="1" x="540"/>
        <item m="1" x="510"/>
        <item m="1" x="492"/>
        <item m="1" x="505"/>
        <item m="1" x="511"/>
        <item m="1" x="563"/>
        <item m="1" x="497"/>
        <item m="1" x="467"/>
        <item m="1" x="589"/>
        <item m="1" x="495"/>
        <item m="1" x="638"/>
        <item m="1" x="533"/>
        <item m="1" x="515"/>
        <item m="1" x="490"/>
        <item m="1" x="486"/>
        <item m="1" x="526"/>
        <item m="1" x="644"/>
        <item m="1" x="532"/>
        <item m="1" x="568"/>
        <item m="1" x="584"/>
        <item m="1" x="548"/>
        <item m="1" x="629"/>
        <item m="1" x="479"/>
        <item m="1" x="655"/>
        <item m="1" x="478"/>
        <item m="1" x="501"/>
        <item m="1" x="525"/>
        <item m="1" x="537"/>
        <item m="1" x="667"/>
        <item m="1" x="653"/>
        <item m="1" x="545"/>
        <item m="1" x="552"/>
        <item m="1" x="598"/>
        <item m="1" x="601"/>
        <item m="1" x="534"/>
        <item m="1" x="481"/>
        <item m="1" x="541"/>
        <item m="1" x="496"/>
        <item m="1" x="668"/>
        <item m="1" x="516"/>
        <item m="1" x="494"/>
        <item m="1" x="664"/>
        <item m="1" x="652"/>
        <item m="1" x="524"/>
        <item m="1" x="535"/>
        <item m="1" x="500"/>
        <item m="1" x="567"/>
        <item m="1" x="466"/>
        <item m="1" x="642"/>
        <item m="1" x="565"/>
        <item m="1" x="637"/>
        <item m="1" x="633"/>
        <item m="1" x="573"/>
        <item m="1" x="645"/>
        <item m="1" x="585"/>
        <item m="1" x="646"/>
        <item m="1" x="648"/>
        <item m="1" x="631"/>
        <item m="1" x="562"/>
        <item m="1" x="588"/>
        <item m="1" x="634"/>
        <item m="1" x="635"/>
        <item m="1" x="643"/>
        <item m="1" x="445"/>
        <item m="1" x="611"/>
        <item m="1" x="447"/>
        <item m="1" x="627"/>
        <item m="1" x="453"/>
        <item m="1" x="446"/>
        <item m="1" x="450"/>
        <item m="1" x="625"/>
        <item m="1" x="451"/>
        <item m="1" x="444"/>
        <item m="1" x="454"/>
        <item m="1" x="628"/>
        <item m="1" x="457"/>
        <item m="1" x="455"/>
        <item m="1" x="448"/>
        <item m="1" x="449"/>
        <item m="1" x="452"/>
        <item m="1" x="626"/>
        <item m="1" x="441"/>
        <item m="1" x="439"/>
        <item m="1" x="431"/>
        <item m="1" x="593"/>
        <item m="1" x="386"/>
        <item x="16"/>
        <item x="117"/>
        <item m="1" x="435"/>
        <item m="1" x="437"/>
        <item m="1" x="291"/>
        <item x="95"/>
        <item x="49"/>
        <item x="118"/>
        <item x="149"/>
        <item x="154"/>
        <item m="1" x="456"/>
        <item m="1" x="547"/>
        <item m="1" x="594"/>
        <item m="1" x="596"/>
        <item m="1" x="597"/>
        <item m="1" x="599"/>
        <item m="1" x="600"/>
        <item m="1" x="443"/>
        <item m="1" x="590"/>
        <item x="101"/>
        <item x="204"/>
        <item m="1" x="293"/>
        <item m="1" x="296"/>
        <item m="1" x="294"/>
        <item x="206"/>
        <item m="1" x="295"/>
        <item m="1" x="301"/>
        <item x="75"/>
        <item m="1" x="299"/>
        <item x="30"/>
        <item m="1" x="318"/>
        <item m="1" x="308"/>
        <item m="1" x="300"/>
        <item m="1" x="303"/>
        <item m="1" x="317"/>
        <item m="1" x="314"/>
        <item m="1" x="297"/>
        <item m="1" x="309"/>
        <item m="1" x="321"/>
        <item m="1" x="316"/>
        <item m="1" x="306"/>
        <item m="1" x="304"/>
        <item m="1" x="327"/>
        <item m="1" x="311"/>
        <item m="1" x="353"/>
        <item m="1" x="310"/>
        <item x="121"/>
        <item m="1" x="315"/>
        <item m="1" x="313"/>
        <item x="151"/>
        <item m="1" x="320"/>
        <item m="1" x="312"/>
        <item m="1" x="322"/>
        <item m="1" x="339"/>
        <item m="1" x="323"/>
        <item m="1" x="319"/>
        <item m="1" x="329"/>
        <item m="1" x="331"/>
        <item m="1" x="325"/>
        <item m="1" x="332"/>
        <item m="1" x="348"/>
        <item m="1" x="328"/>
        <item m="1" x="330"/>
        <item m="1" x="337"/>
        <item m="1" x="338"/>
        <item m="1" x="335"/>
        <item m="1" x="361"/>
        <item x="167"/>
        <item m="1" x="349"/>
        <item m="1" x="342"/>
        <item x="41"/>
        <item m="1" x="346"/>
        <item x="65"/>
        <item x="1"/>
        <item m="1" x="343"/>
        <item x="106"/>
        <item x="224"/>
        <item m="1" x="344"/>
        <item x="14"/>
        <item m="1" x="352"/>
        <item m="1" x="247"/>
        <item m="1" x="350"/>
        <item m="1" x="359"/>
        <item m="1" x="347"/>
        <item m="1" x="351"/>
        <item m="1" x="336"/>
        <item m="1" x="340"/>
        <item x="188"/>
        <item m="1" x="341"/>
        <item m="1" x="302"/>
        <item m="1" x="360"/>
        <item m="1" x="298"/>
        <item m="1" x="292"/>
        <item m="1" x="364"/>
        <item m="1" x="326"/>
        <item m="1" x="389"/>
        <item m="1" x="367"/>
        <item m="1" x="379"/>
        <item m="1" x="333"/>
        <item m="1" x="324"/>
        <item m="1" x="376"/>
        <item m="1" x="334"/>
        <item m="1" x="357"/>
        <item m="1" x="358"/>
        <item m="1" x="368"/>
        <item m="1" x="366"/>
        <item m="1" x="374"/>
        <item m="1" x="369"/>
        <item m="1" x="390"/>
        <item x="127"/>
        <item x="215"/>
        <item m="1" x="363"/>
        <item m="1" x="355"/>
        <item m="1" x="371"/>
        <item m="1" x="365"/>
        <item x="85"/>
        <item m="1" x="354"/>
        <item m="1" x="388"/>
        <item m="1" x="356"/>
        <item m="1" x="387"/>
        <item m="1" x="305"/>
        <item m="1" x="307"/>
        <item m="1" x="345"/>
        <item m="1" x="370"/>
        <item m="1" x="373"/>
        <item m="1" x="372"/>
        <item m="1" x="385"/>
        <item x="108"/>
        <item m="1" x="384"/>
        <item m="1" x="377"/>
        <item x="22"/>
        <item m="1" x="381"/>
        <item m="1" x="378"/>
        <item m="1" x="383"/>
        <item m="1" x="380"/>
        <item m="1" x="382"/>
        <item m="1" x="362"/>
        <item x="165"/>
        <item x="231"/>
        <item x="120"/>
        <item x="98"/>
        <item x="89"/>
        <item x="155"/>
        <item x="77"/>
        <item x="234"/>
        <item x="66"/>
        <item x="87"/>
        <item x="38"/>
        <item x="52"/>
        <item x="28"/>
        <item x="209"/>
        <item x="191"/>
        <item x="223"/>
        <item x="189"/>
        <item x="169"/>
        <item x="123"/>
        <item x="122"/>
        <item x="192"/>
        <item x="26"/>
        <item x="208"/>
        <item x="193"/>
        <item x="34"/>
        <item x="83"/>
        <item x="58"/>
        <item x="48"/>
        <item x="125"/>
        <item x="32"/>
        <item x="161"/>
        <item x="196"/>
        <item x="60"/>
        <item x="62"/>
        <item x="88"/>
        <item x="190"/>
        <item x="168"/>
        <item x="199"/>
        <item x="219"/>
        <item x="78"/>
        <item x="146"/>
        <item x="29"/>
        <item x="194"/>
        <item x="104"/>
        <item x="126"/>
        <item x="0"/>
        <item x="39"/>
        <item x="124"/>
        <item x="171"/>
        <item x="92"/>
        <item x="56"/>
        <item x="170"/>
        <item x="96"/>
        <item x="2"/>
        <item x="54"/>
        <item x="195"/>
        <item x="158"/>
        <item x="61"/>
        <item x="150"/>
        <item x="33"/>
        <item x="164"/>
        <item x="172"/>
        <item x="197"/>
        <item x="113"/>
        <item x="200"/>
        <item x="11"/>
        <item x="114"/>
        <item x="198"/>
        <item x="37"/>
        <item x="55"/>
        <item x="35"/>
        <item x="19"/>
        <item x="128"/>
        <item x="129"/>
        <item m="1" x="289"/>
        <item x="81"/>
        <item x="173"/>
        <item x="130"/>
        <item x="152"/>
        <item x="44"/>
        <item x="112"/>
        <item x="46"/>
        <item x="42"/>
        <item x="132"/>
        <item x="225"/>
        <item x="109"/>
        <item x="67"/>
        <item x="202"/>
        <item x="9"/>
        <item x="79"/>
        <item x="51"/>
        <item x="131"/>
        <item x="24"/>
        <item x="80"/>
        <item x="111"/>
        <item x="3"/>
        <item x="175"/>
        <item x="72"/>
        <item x="226"/>
        <item x="36"/>
        <item m="1" x="243"/>
        <item x="236"/>
        <item x="174"/>
        <item x="47"/>
        <item x="40"/>
        <item x="70"/>
        <item x="31"/>
        <item x="183"/>
        <item x="91"/>
        <item x="182"/>
        <item x="147"/>
        <item x="177"/>
        <item x="133"/>
        <item x="53"/>
        <item x="20"/>
        <item x="110"/>
        <item x="8"/>
        <item x="136"/>
        <item m="1" x="288"/>
        <item x="90"/>
        <item x="220"/>
        <item x="137"/>
        <item x="82"/>
        <item x="201"/>
        <item x="74"/>
        <item x="160"/>
        <item x="6"/>
        <item x="57"/>
        <item x="103"/>
        <item x="216"/>
        <item x="162"/>
        <item x="4"/>
        <item x="229"/>
        <item x="21"/>
        <item x="140"/>
        <item x="63"/>
        <item x="84"/>
        <item x="7"/>
        <item x="179"/>
        <item x="153"/>
        <item x="184"/>
        <item x="135"/>
        <item x="23"/>
        <item x="227"/>
        <item x="139"/>
        <item x="138"/>
        <item x="100"/>
        <item x="86"/>
        <item x="217"/>
        <item x="176"/>
        <item x="10"/>
        <item x="178"/>
        <item x="18"/>
        <item x="43"/>
        <item x="218"/>
        <item x="186"/>
        <item x="45"/>
        <item x="68"/>
        <item x="181"/>
        <item m="1" x="287"/>
        <item x="211"/>
        <item x="141"/>
        <item x="15"/>
        <item x="64"/>
        <item x="97"/>
        <item x="213"/>
        <item x="17"/>
        <item x="76"/>
        <item x="228"/>
        <item x="145"/>
        <item x="180"/>
        <item x="214"/>
        <item x="238"/>
        <item x="99"/>
        <item m="1" x="246"/>
        <item x="73"/>
        <item x="134"/>
        <item x="221"/>
        <item x="156"/>
        <item x="163"/>
        <item x="142"/>
        <item x="107"/>
        <item x="222"/>
        <item x="143"/>
        <item m="1" x="252"/>
        <item m="1" x="253"/>
        <item x="235"/>
        <item m="1" x="254"/>
        <item m="1" x="244"/>
        <item x="159"/>
        <item x="25"/>
        <item x="115"/>
        <item m="1" x="267"/>
        <item m="1" x="290"/>
        <item m="1" x="278"/>
        <item m="1" x="277"/>
        <item x="203"/>
        <item x="230"/>
        <item m="1" x="264"/>
        <item m="1" x="265"/>
        <item m="1" x="266"/>
        <item m="1" x="269"/>
        <item m="1" x="262"/>
        <item x="212"/>
        <item m="1" x="270"/>
        <item m="1" x="271"/>
        <item x="240"/>
        <item x="144"/>
        <item m="1" x="251"/>
        <item m="1" x="250"/>
        <item x="233"/>
        <item m="1" x="259"/>
        <item x="94"/>
        <item x="50"/>
        <item x="232"/>
        <item m="1" x="255"/>
        <item x="239"/>
        <item m="1" x="245"/>
        <item x="241"/>
        <item m="1" x="268"/>
        <item m="1" x="272"/>
        <item m="1" x="273"/>
        <item m="1" x="274"/>
        <item m="1" x="275"/>
        <item m="1" x="276"/>
        <item m="1" x="249"/>
        <item m="1" x="279"/>
        <item m="1" x="280"/>
        <item m="1" x="281"/>
        <item m="1" x="282"/>
        <item x="237"/>
        <item m="1" x="283"/>
        <item m="1" x="284"/>
        <item m="1" x="242"/>
        <item m="1" x="285"/>
        <item m="1" x="286"/>
        <item m="1" x="256"/>
        <item m="1" x="257"/>
        <item m="1" x="258"/>
        <item m="1" x="248"/>
        <item m="1" x="260"/>
        <item x="210"/>
        <item m="1" x="261"/>
        <item x="185"/>
        <item m="1" x="263"/>
      </items>
    </pivotField>
    <pivotField axis="axisRow" compact="0" outline="0" subtotalTop="0" showAll="0" defaultSubtotal="0">
      <items count="8">
        <item x="3"/>
        <item x="2"/>
        <item m="1" x="5"/>
        <item m="1" x="7"/>
        <item x="1"/>
        <item m="1" x="4"/>
        <item x="0"/>
        <item m="1" x="6"/>
      </items>
    </pivotField>
    <pivotField axis="axisRow" compact="0" outline="0" subtotalTop="0" showAll="0" defaultSubtotal="0">
      <items count="988">
        <item m="1" x="579"/>
        <item m="1" x="585"/>
        <item m="1" x="595"/>
        <item m="1" x="584"/>
        <item m="1" x="580"/>
        <item m="1" x="581"/>
        <item m="1" x="871"/>
        <item m="1" x="586"/>
        <item m="1" x="594"/>
        <item m="1" x="578"/>
        <item m="1" x="582"/>
        <item m="1" x="583"/>
        <item m="1" x="591"/>
        <item m="1" x="587"/>
        <item m="1" x="592"/>
        <item m="1" x="589"/>
        <item x="75"/>
        <item x="198"/>
        <item x="233"/>
        <item x="72"/>
        <item x="136"/>
        <item x="16"/>
        <item x="17"/>
        <item x="49"/>
        <item x="181"/>
        <item x="260"/>
        <item x="13"/>
        <item x="262"/>
        <item x="185"/>
        <item x="114"/>
        <item x="134"/>
        <item m="1" x="577"/>
        <item m="1" x="575"/>
        <item m="1" x="570"/>
        <item m="1" x="861"/>
        <item m="1" x="891"/>
        <item m="1" x="572"/>
        <item m="1" x="571"/>
        <item m="1" x="576"/>
        <item m="1" x="574"/>
        <item m="1" x="573"/>
        <item m="1" x="870"/>
        <item m="1" x="876"/>
        <item m="1" x="593"/>
        <item m="1" x="515"/>
        <item x="174"/>
        <item x="107"/>
        <item x="135"/>
        <item m="1" x="627"/>
        <item m="1" x="645"/>
        <item m="1" x="751"/>
        <item m="1" x="854"/>
        <item m="1" x="707"/>
        <item m="1" x="688"/>
        <item m="1" x="697"/>
        <item m="1" x="695"/>
        <item m="1" x="759"/>
        <item m="1" x="760"/>
        <item m="1" x="758"/>
        <item m="1" x="724"/>
        <item m="1" x="916"/>
        <item m="1" x="556"/>
        <item m="1" x="557"/>
        <item m="1" x="558"/>
        <item m="1" x="982"/>
        <item m="1" x="761"/>
        <item m="1" x="714"/>
        <item m="1" x="750"/>
        <item m="1" x="872"/>
        <item m="1" x="895"/>
        <item m="1" x="599"/>
        <item m="1" x="894"/>
        <item m="1" x="603"/>
        <item m="1" x="604"/>
        <item m="1" x="790"/>
        <item m="1" x="710"/>
        <item m="1" x="782"/>
        <item m="1" x="826"/>
        <item m="1" x="718"/>
        <item m="1" x="721"/>
        <item m="1" x="827"/>
        <item m="1" x="971"/>
        <item m="1" x="746"/>
        <item m="1" x="784"/>
        <item m="1" x="930"/>
        <item m="1" x="830"/>
        <item m="1" x="940"/>
        <item m="1" x="808"/>
        <item m="1" x="819"/>
        <item m="1" x="715"/>
        <item m="1" x="914"/>
        <item m="1" x="768"/>
        <item m="1" x="800"/>
        <item m="1" x="801"/>
        <item m="1" x="804"/>
        <item m="1" x="643"/>
        <item m="1" x="623"/>
        <item m="1" x="625"/>
        <item m="1" x="812"/>
        <item m="1" x="620"/>
        <item m="1" x="948"/>
        <item m="1" x="957"/>
        <item m="1" x="875"/>
        <item m="1" x="736"/>
        <item m="1" x="771"/>
        <item m="1" x="673"/>
        <item m="1" x="912"/>
        <item m="1" x="825"/>
        <item m="1" x="907"/>
        <item m="1" x="906"/>
        <item m="1" x="642"/>
        <item m="1" x="985"/>
        <item m="1" x="944"/>
        <item m="1" x="701"/>
        <item m="1" x="981"/>
        <item m="1" x="670"/>
        <item m="1" x="753"/>
        <item m="1" x="841"/>
        <item m="1" x="843"/>
        <item m="1" x="644"/>
        <item m="1" x="615"/>
        <item m="1" x="640"/>
        <item m="1" x="984"/>
        <item m="1" x="682"/>
        <item m="1" x="683"/>
        <item m="1" x="687"/>
        <item m="1" x="740"/>
        <item m="1" x="731"/>
        <item m="1" x="723"/>
        <item m="1" x="785"/>
        <item m="1" x="965"/>
        <item m="1" x="668"/>
        <item m="1" x="675"/>
        <item m="1" x="672"/>
        <item m="1" x="845"/>
        <item m="1" x="713"/>
        <item m="1" x="680"/>
        <item m="1" x="928"/>
        <item m="1" x="567"/>
        <item m="1" x="946"/>
        <item m="1" x="901"/>
        <item m="1" x="699"/>
        <item m="1" x="896"/>
        <item m="1" x="709"/>
        <item m="1" x="986"/>
        <item m="1" x="756"/>
        <item m="1" x="951"/>
        <item m="1" x="755"/>
        <item m="1" x="859"/>
        <item m="1" x="727"/>
        <item m="1" x="614"/>
        <item m="1" x="926"/>
        <item m="1" x="904"/>
        <item m="1" x="692"/>
        <item m="1" x="847"/>
        <item m="1" x="732"/>
        <item m="1" x="897"/>
        <item m="1" x="539"/>
        <item m="1" x="882"/>
        <item m="1" x="878"/>
        <item m="1" x="560"/>
        <item m="1" x="563"/>
        <item m="1" x="547"/>
        <item m="1" x="885"/>
        <item m="1" x="554"/>
        <item m="1" x="564"/>
        <item m="1" x="902"/>
        <item m="1" x="910"/>
        <item m="1" x="832"/>
        <item m="1" x="913"/>
        <item m="1" x="793"/>
        <item m="1" x="659"/>
        <item m="1" x="663"/>
        <item m="1" x="794"/>
        <item m="1" x="814"/>
        <item m="1" x="631"/>
        <item m="1" x="553"/>
        <item m="1" x="655"/>
        <item m="1" x="815"/>
        <item m="1" x="813"/>
        <item m="1" x="839"/>
        <item m="1" x="972"/>
        <item m="1" x="924"/>
        <item m="1" x="717"/>
        <item m="1" x="667"/>
        <item m="1" x="744"/>
        <item m="1" x="949"/>
        <item m="1" x="968"/>
        <item m="1" x="647"/>
        <item m="1" x="950"/>
        <item m="1" x="559"/>
        <item m="1" x="889"/>
        <item m="1" x="628"/>
        <item m="1" x="629"/>
        <item m="1" x="544"/>
        <item m="1" x="634"/>
        <item m="1" x="612"/>
        <item m="1" x="650"/>
        <item m="1" x="836"/>
        <item m="1" x="936"/>
        <item m="1" x="550"/>
        <item m="1" x="541"/>
        <item m="1" x="767"/>
        <item m="1" x="890"/>
        <item m="1" x="887"/>
        <item m="1" x="807"/>
        <item m="1" x="806"/>
        <item m="1" x="929"/>
        <item m="1" x="641"/>
        <item m="1" x="868"/>
        <item m="1" x="637"/>
        <item m="1" x="661"/>
        <item m="1" x="798"/>
        <item m="1" x="797"/>
        <item m="1" x="568"/>
        <item m="1" x="543"/>
        <item m="1" x="805"/>
        <item m="1" x="810"/>
        <item m="1" x="652"/>
        <item m="1" x="833"/>
        <item m="1" x="954"/>
        <item m="1" x="908"/>
        <item m="1" x="884"/>
        <item m="1" x="838"/>
        <item m="1" x="817"/>
        <item m="1" x="769"/>
        <item m="1" x="766"/>
        <item m="1" x="613"/>
        <item m="1" x="621"/>
        <item m="1" x="552"/>
        <item m="1" x="540"/>
        <item m="1" x="542"/>
        <item m="1" x="923"/>
        <item m="1" x="649"/>
        <item m="1" x="865"/>
        <item m="1" x="873"/>
        <item m="1" x="630"/>
        <item m="1" x="880"/>
        <item m="1" x="823"/>
        <item m="1" x="983"/>
        <item m="1" x="600"/>
        <item m="1" x="602"/>
        <item m="1" x="606"/>
        <item m="1" x="831"/>
        <item m="1" x="935"/>
        <item m="1" x="834"/>
        <item m="1" x="967"/>
        <item m="1" x="685"/>
        <item m="1" x="691"/>
        <item m="1" x="555"/>
        <item m="1" x="773"/>
        <item m="1" x="738"/>
        <item m="1" x="874"/>
        <item m="1" x="616"/>
        <item m="1" x="617"/>
        <item m="1" x="618"/>
        <item m="1" x="978"/>
        <item m="1" x="607"/>
        <item m="1" x="705"/>
        <item m="1" x="638"/>
        <item m="1" x="772"/>
        <item m="1" x="925"/>
        <item m="1" x="728"/>
        <item m="1" x="698"/>
        <item m="1" x="922"/>
        <item m="1" x="787"/>
        <item m="1" x="669"/>
        <item m="1" x="824"/>
        <item m="1" x="658"/>
        <item m="1" x="959"/>
        <item m="1" x="681"/>
        <item m="1" x="654"/>
        <item m="1" x="656"/>
        <item m="1" x="792"/>
        <item m="1" x="918"/>
        <item m="1" x="703"/>
        <item m="1" x="905"/>
        <item m="1" x="900"/>
        <item m="1" x="846"/>
        <item m="1" x="671"/>
        <item m="1" x="674"/>
        <item m="1" x="677"/>
        <item m="1" x="941"/>
        <item m="1" x="716"/>
        <item m="1" x="781"/>
        <item m="1" x="835"/>
        <item m="1" x="765"/>
        <item m="1" x="725"/>
        <item m="1" x="762"/>
        <item m="1" x="763"/>
        <item m="1" x="764"/>
        <item m="1" x="938"/>
        <item m="1" x="778"/>
        <item m="1" x="730"/>
        <item m="1" x="851"/>
        <item m="1" x="858"/>
        <item m="1" x="956"/>
        <item m="1" x="700"/>
        <item m="1" x="704"/>
        <item m="1" x="779"/>
        <item m="1" x="937"/>
        <item m="1" x="720"/>
        <item m="1" x="737"/>
        <item m="1" x="734"/>
        <item m="1" x="966"/>
        <item m="1" x="799"/>
        <item m="1" x="803"/>
        <item m="1" x="977"/>
        <item m="1" x="624"/>
        <item m="1" x="622"/>
        <item m="1" x="964"/>
        <item m="1" x="548"/>
        <item m="1" x="545"/>
        <item m="1" x="569"/>
        <item m="1" x="934"/>
        <item m="1" x="898"/>
        <item m="1" x="899"/>
        <item m="1" x="601"/>
        <item m="1" x="665"/>
        <item m="1" x="653"/>
        <item m="1" x="888"/>
        <item m="1" x="802"/>
        <item m="1" x="821"/>
        <item m="1" x="840"/>
        <item m="1" x="657"/>
        <item m="1" x="619"/>
        <item m="1" x="892"/>
        <item m="1" x="686"/>
        <item m="1" x="690"/>
        <item m="1" x="694"/>
        <item m="1" x="960"/>
        <item m="1" x="719"/>
        <item m="1" x="849"/>
        <item m="1" x="565"/>
        <item m="1" x="733"/>
        <item m="1" x="711"/>
        <item m="1" x="777"/>
        <item m="1" x="970"/>
        <item m="1" x="678"/>
        <item m="1" x="837"/>
        <item m="1" x="609"/>
        <item m="1" x="608"/>
        <item m="1" x="809"/>
        <item m="1" x="980"/>
        <item m="1" x="597"/>
        <item m="1" x="920"/>
        <item m="1" x="844"/>
        <item m="1" x="979"/>
        <item m="1" x="853"/>
        <item m="1" x="848"/>
        <item m="1" x="921"/>
        <item m="1" x="561"/>
        <item m="1" x="856"/>
        <item m="1" x="963"/>
        <item m="1" x="729"/>
        <item m="1" x="943"/>
        <item m="1" x="961"/>
        <item m="1" x="903"/>
        <item m="1" x="877"/>
        <item m="1" x="969"/>
        <item m="1" x="741"/>
        <item m="1" x="546"/>
        <item m="1" x="796"/>
        <item m="1" x="626"/>
        <item m="1" x="795"/>
        <item m="1" x="911"/>
        <item m="1" x="933"/>
        <item m="1" x="879"/>
        <item m="1" x="883"/>
        <item m="1" x="632"/>
        <item m="1" x="633"/>
        <item m="1" x="635"/>
        <item m="1" x="636"/>
        <item m="1" x="549"/>
        <item m="1" x="909"/>
        <item m="1" x="818"/>
        <item m="1" x="952"/>
        <item m="1" x="646"/>
        <item m="1" x="811"/>
        <item m="1" x="947"/>
        <item m="1" x="917"/>
        <item m="1" x="639"/>
        <item m="1" x="987"/>
        <item m="1" x="962"/>
        <item m="1" x="816"/>
        <item m="1" x="893"/>
        <item m="1" x="660"/>
        <item m="1" x="820"/>
        <item m="1" x="829"/>
        <item m="1" x="942"/>
        <item m="1" x="822"/>
        <item m="1" x="664"/>
        <item m="1" x="786"/>
        <item m="1" x="662"/>
        <item m="1" x="869"/>
        <item m="1" x="648"/>
        <item m="1" x="788"/>
        <item m="1" x="828"/>
        <item m="1" x="611"/>
        <item m="1" x="939"/>
        <item m="1" x="651"/>
        <item m="1" x="791"/>
        <item m="1" x="881"/>
        <item m="1" x="666"/>
        <item m="1" x="789"/>
        <item m="1" x="774"/>
        <item m="1" x="783"/>
        <item m="1" x="932"/>
        <item m="1" x="974"/>
        <item m="1" x="702"/>
        <item m="1" x="842"/>
        <item m="1" x="976"/>
        <item m="1" x="780"/>
        <item m="1" x="676"/>
        <item m="1" x="679"/>
        <item m="1" x="975"/>
        <item m="1" x="708"/>
        <item m="1" x="706"/>
        <item m="1" x="712"/>
        <item m="1" x="735"/>
        <item m="1" x="739"/>
        <item m="1" x="742"/>
        <item m="1" x="684"/>
        <item m="1" x="776"/>
        <item m="1" x="919"/>
        <item m="1" x="748"/>
        <item m="1" x="749"/>
        <item m="1" x="693"/>
        <item m="1" x="696"/>
        <item m="1" x="850"/>
        <item m="1" x="752"/>
        <item m="1" x="931"/>
        <item m="1" x="754"/>
        <item m="1" x="886"/>
        <item m="1" x="745"/>
        <item m="1" x="775"/>
        <item m="1" x="927"/>
        <item m="1" x="726"/>
        <item m="1" x="722"/>
        <item m="1" x="747"/>
        <item m="1" x="743"/>
        <item m="1" x="958"/>
        <item m="1" x="857"/>
        <item m="1" x="852"/>
        <item m="1" x="689"/>
        <item m="1" x="915"/>
        <item m="1" x="973"/>
        <item m="1" x="945"/>
        <item m="1" x="757"/>
        <item m="1" x="953"/>
        <item m="1" x="955"/>
        <item m="1" x="532"/>
        <item m="1" x="551"/>
        <item x="5"/>
        <item x="12"/>
        <item x="27"/>
        <item x="61"/>
        <item m="1" x="588"/>
        <item m="1" x="590"/>
        <item m="1" x="598"/>
        <item m="1" x="605"/>
        <item m="1" x="610"/>
        <item m="1" x="770"/>
        <item m="1" x="860"/>
        <item m="1" x="862"/>
        <item m="1" x="863"/>
        <item m="1" x="864"/>
        <item m="1" x="866"/>
        <item m="1" x="867"/>
        <item m="1" x="566"/>
        <item m="1" x="596"/>
        <item m="1" x="855"/>
        <item m="1" x="562"/>
        <item x="113"/>
        <item x="259"/>
        <item m="1" x="399"/>
        <item m="1" x="402"/>
        <item m="1" x="400"/>
        <item x="261"/>
        <item m="1" x="403"/>
        <item m="1" x="408"/>
        <item x="81"/>
        <item m="1" x="406"/>
        <item m="1" x="401"/>
        <item x="30"/>
        <item m="1" x="430"/>
        <item m="1" x="417"/>
        <item m="1" x="426"/>
        <item m="1" x="410"/>
        <item m="1" x="429"/>
        <item m="1" x="424"/>
        <item m="1" x="404"/>
        <item m="1" x="418"/>
        <item m="1" x="433"/>
        <item m="1" x="428"/>
        <item m="1" x="414"/>
        <item m="1" x="411"/>
        <item m="1" x="440"/>
        <item m="1" x="421"/>
        <item m="1" x="480"/>
        <item m="1" x="419"/>
        <item x="138"/>
        <item m="1" x="425"/>
        <item m="1" x="423"/>
        <item m="1" x="427"/>
        <item x="176"/>
        <item m="1" x="432"/>
        <item m="1" x="422"/>
        <item m="1" x="435"/>
        <item m="1" x="456"/>
        <item m="1" x="436"/>
        <item m="1" x="431"/>
        <item m="1" x="442"/>
        <item m="1" x="455"/>
        <item m="1" x="445"/>
        <item m="1" x="438"/>
        <item m="1" x="446"/>
        <item m="1" x="468"/>
        <item m="1" x="441"/>
        <item m="1" x="443"/>
        <item m="1" x="457"/>
        <item m="1" x="453"/>
        <item m="1" x="444"/>
        <item m="1" x="454"/>
        <item m="1" x="450"/>
        <item m="1" x="493"/>
        <item x="200"/>
        <item m="1" x="469"/>
        <item m="1" x="460"/>
        <item m="1" x="472"/>
        <item x="74"/>
        <item m="1" x="466"/>
        <item x="68"/>
        <item x="1"/>
        <item m="1" x="461"/>
        <item x="120"/>
        <item x="289"/>
        <item m="1" x="464"/>
        <item m="1" x="470"/>
        <item x="14"/>
        <item m="1" x="475"/>
        <item m="1" x="489"/>
        <item m="1" x="492"/>
        <item m="1" x="473"/>
        <item m="1" x="490"/>
        <item m="1" x="471"/>
        <item m="1" x="488"/>
        <item m="1" x="486"/>
        <item m="1" x="474"/>
        <item m="1" x="451"/>
        <item m="1" x="467"/>
        <item m="1" x="501"/>
        <item m="1" x="452"/>
        <item m="1" x="463"/>
        <item x="234"/>
        <item m="1" x="459"/>
        <item m="1" x="458"/>
        <item m="1" x="485"/>
        <item m="1" x="413"/>
        <item m="1" x="477"/>
        <item m="1" x="409"/>
        <item m="1" x="478"/>
        <item m="1" x="491"/>
        <item m="1" x="407"/>
        <item m="1" x="405"/>
        <item m="1" x="398"/>
        <item m="1" x="498"/>
        <item m="1" x="496"/>
        <item m="1" x="439"/>
        <item m="1" x="535"/>
        <item m="1" x="503"/>
        <item m="1" x="521"/>
        <item m="1" x="449"/>
        <item m="1" x="536"/>
        <item m="1" x="499"/>
        <item m="1" x="437"/>
        <item m="1" x="447"/>
        <item m="1" x="516"/>
        <item m="1" x="511"/>
        <item m="1" x="505"/>
        <item m="1" x="448"/>
        <item m="1" x="484"/>
        <item m="1" x="487"/>
        <item m="1" x="506"/>
        <item m="1" x="500"/>
        <item m="1" x="537"/>
        <item m="1" x="514"/>
        <item m="1" x="507"/>
        <item m="1" x="538"/>
        <item x="247"/>
        <item m="1" x="476"/>
        <item x="272"/>
        <item m="1" x="495"/>
        <item m="1" x="482"/>
        <item m="1" x="479"/>
        <item m="1" x="509"/>
        <item x="145"/>
        <item m="1" x="497"/>
        <item x="96"/>
        <item m="1" x="462"/>
        <item m="1" x="481"/>
        <item m="1" x="534"/>
        <item m="1" x="483"/>
        <item m="1" x="533"/>
        <item m="1" x="412"/>
        <item m="1" x="416"/>
        <item m="1" x="420"/>
        <item m="1" x="415"/>
        <item m="1" x="434"/>
        <item m="1" x="465"/>
        <item m="1" x="508"/>
        <item m="1" x="512"/>
        <item m="1" x="513"/>
        <item m="1" x="510"/>
        <item m="1" x="530"/>
        <item m="1" x="528"/>
        <item m="1" x="529"/>
        <item x="190"/>
        <item m="1" x="527"/>
        <item m="1" x="518"/>
        <item m="1" x="519"/>
        <item x="22"/>
        <item m="1" x="525"/>
        <item x="119"/>
        <item x="89"/>
        <item m="1" x="517"/>
        <item m="1" x="523"/>
        <item m="1" x="520"/>
        <item m="1" x="526"/>
        <item m="1" x="522"/>
        <item m="1" x="524"/>
        <item m="1" x="531"/>
        <item m="1" x="504"/>
        <item m="1" x="502"/>
        <item m="1" x="494"/>
        <item x="197"/>
        <item x="302"/>
        <item x="137"/>
        <item x="199"/>
        <item x="110"/>
        <item x="100"/>
        <item x="182"/>
        <item x="86"/>
        <item x="306"/>
        <item x="69"/>
        <item x="271"/>
        <item x="38"/>
        <item x="52"/>
        <item x="312"/>
        <item x="28"/>
        <item x="264"/>
        <item x="140"/>
        <item x="238"/>
        <item x="286"/>
        <item x="132"/>
        <item x="287"/>
        <item x="235"/>
        <item x="173"/>
        <item x="202"/>
        <item x="240"/>
        <item x="139"/>
        <item x="242"/>
        <item x="141"/>
        <item x="26"/>
        <item x="263"/>
        <item x="243"/>
        <item x="276"/>
        <item x="34"/>
        <item x="94"/>
        <item x="60"/>
        <item x="48"/>
        <item x="308"/>
        <item x="143"/>
        <item x="98"/>
        <item x="32"/>
        <item x="193"/>
        <item x="246"/>
        <item x="307"/>
        <item x="236"/>
        <item x="62"/>
        <item x="65"/>
        <item x="99"/>
        <item x="237"/>
        <item x="192"/>
        <item x="239"/>
        <item x="241"/>
        <item x="250"/>
        <item x="277"/>
        <item x="201"/>
        <item x="87"/>
        <item x="171"/>
        <item x="29"/>
        <item x="244"/>
        <item x="278"/>
        <item x="118"/>
        <item x="83"/>
        <item x="144"/>
        <item x="149"/>
        <item x="39"/>
        <item x="142"/>
        <item x="41"/>
        <item x="205"/>
        <item x="103"/>
        <item x="64"/>
        <item x="203"/>
        <item x="179"/>
        <item x="58"/>
        <item x="108"/>
        <item x="122"/>
        <item x="2"/>
        <item x="55"/>
        <item x="245"/>
        <item x="187"/>
        <item x="84"/>
        <item x="204"/>
        <item x="254"/>
        <item x="281"/>
        <item x="117"/>
        <item x="33"/>
        <item x="196"/>
        <item x="206"/>
        <item x="248"/>
        <item x="127"/>
        <item x="251"/>
        <item x="11"/>
        <item m="1" x="326"/>
        <item x="288"/>
        <item x="255"/>
        <item x="249"/>
        <item x="115"/>
        <item x="37"/>
        <item x="279"/>
        <item x="57"/>
        <item x="295"/>
        <item x="209"/>
        <item x="178"/>
        <item x="146"/>
        <item x="129"/>
        <item x="35"/>
        <item x="19"/>
        <item x="147"/>
        <item x="280"/>
        <item x="0"/>
        <item x="56"/>
        <item m="1" x="396"/>
        <item x="63"/>
        <item x="256"/>
        <item x="208"/>
        <item x="175"/>
        <item x="212"/>
        <item x="210"/>
        <item x="150"/>
        <item x="104"/>
        <item x="177"/>
        <item x="82"/>
        <item x="207"/>
        <item x="188"/>
        <item x="126"/>
        <item x="46"/>
        <item x="88"/>
        <item x="92"/>
        <item x="42"/>
        <item x="296"/>
        <item x="211"/>
        <item x="151"/>
        <item x="154"/>
        <item x="77"/>
        <item x="290"/>
        <item x="123"/>
        <item x="70"/>
        <item x="152"/>
        <item x="257"/>
        <item x="9"/>
        <item x="90"/>
        <item x="51"/>
        <item x="153"/>
        <item x="24"/>
        <item x="91"/>
        <item x="125"/>
        <item x="3"/>
        <item x="215"/>
        <item x="76"/>
        <item x="291"/>
        <item x="213"/>
        <item x="36"/>
        <item m="1" x="321"/>
        <item x="310"/>
        <item x="214"/>
        <item x="158"/>
        <item x="40"/>
        <item x="73"/>
        <item x="31"/>
        <item x="284"/>
        <item x="102"/>
        <item x="225"/>
        <item x="172"/>
        <item x="218"/>
        <item x="155"/>
        <item x="53"/>
        <item x="20"/>
        <item x="124"/>
        <item x="8"/>
        <item x="160"/>
        <item m="1" x="395"/>
        <item x="101"/>
        <item x="282"/>
        <item x="161"/>
        <item x="253"/>
        <item x="93"/>
        <item x="252"/>
        <item x="226"/>
        <item x="157"/>
        <item x="80"/>
        <item x="191"/>
        <item x="217"/>
        <item x="297"/>
        <item x="59"/>
        <item x="116"/>
        <item x="184"/>
        <item x="273"/>
        <item x="219"/>
        <item x="4"/>
        <item x="298"/>
        <item x="21"/>
        <item x="231"/>
        <item x="66"/>
        <item x="95"/>
        <item x="7"/>
        <item x="221"/>
        <item x="180"/>
        <item x="227"/>
        <item x="159"/>
        <item x="23"/>
        <item x="292"/>
        <item x="163"/>
        <item x="162"/>
        <item x="112"/>
        <item x="97"/>
        <item x="274"/>
        <item x="216"/>
        <item x="10"/>
        <item x="220"/>
        <item x="18"/>
        <item x="43"/>
        <item x="275"/>
        <item x="230"/>
        <item x="45"/>
        <item x="71"/>
        <item x="224"/>
        <item m="1" x="393"/>
        <item x="267"/>
        <item x="165"/>
        <item x="15"/>
        <item x="222"/>
        <item x="67"/>
        <item x="109"/>
        <item x="269"/>
        <item x="186"/>
        <item x="85"/>
        <item x="131"/>
        <item x="232"/>
        <item x="47"/>
        <item x="78"/>
        <item x="293"/>
        <item x="299"/>
        <item x="170"/>
        <item x="223"/>
        <item x="270"/>
        <item x="265"/>
        <item x="54"/>
        <item m="1" x="325"/>
        <item x="313"/>
        <item x="111"/>
        <item x="44"/>
        <item x="130"/>
        <item m="1" x="328"/>
        <item x="79"/>
        <item m="1" x="327"/>
        <item x="128"/>
        <item m="1" x="329"/>
        <item x="156"/>
        <item x="283"/>
        <item x="164"/>
        <item m="1" x="324"/>
        <item x="228"/>
        <item x="183"/>
        <item x="195"/>
        <item x="194"/>
        <item x="166"/>
        <item x="121"/>
        <item x="285"/>
        <item x="168"/>
        <item m="1" x="337"/>
        <item m="1" x="338"/>
        <item x="309"/>
        <item m="1" x="339"/>
        <item m="1" x="322"/>
        <item x="300"/>
        <item x="189"/>
        <item x="167"/>
        <item x="133"/>
        <item m="1" x="367"/>
        <item m="1" x="341"/>
        <item m="1" x="397"/>
        <item m="1" x="381"/>
        <item m="1" x="380"/>
        <item x="258"/>
        <item x="305"/>
        <item x="316"/>
        <item x="25"/>
        <item m="1" x="344"/>
        <item m="1" x="362"/>
        <item m="1" x="363"/>
        <item m="1" x="364"/>
        <item m="1" x="365"/>
        <item m="1" x="366"/>
        <item m="1" x="370"/>
        <item m="1" x="369"/>
        <item x="268"/>
        <item x="315"/>
        <item m="1" x="371"/>
        <item m="1" x="334"/>
        <item m="1" x="372"/>
        <item x="318"/>
        <item x="294"/>
        <item x="169"/>
        <item x="301"/>
        <item x="317"/>
        <item m="1" x="336"/>
        <item m="1" x="335"/>
        <item x="304"/>
        <item m="1" x="360"/>
        <item m="1" x="361"/>
        <item x="106"/>
        <item x="50"/>
        <item x="148"/>
        <item x="303"/>
        <item m="1" x="340"/>
        <item x="314"/>
        <item x="6"/>
        <item m="1" x="343"/>
        <item m="1" x="323"/>
        <item m="1" x="342"/>
        <item x="319"/>
        <item m="1" x="368"/>
        <item m="1" x="373"/>
        <item m="1" x="374"/>
        <item m="1" x="375"/>
        <item m="1" x="376"/>
        <item m="1" x="377"/>
        <item m="1" x="378"/>
        <item m="1" x="379"/>
        <item m="1" x="332"/>
        <item m="1" x="333"/>
        <item m="1" x="382"/>
        <item m="1" x="383"/>
        <item m="1" x="384"/>
        <item m="1" x="385"/>
        <item m="1" x="386"/>
        <item x="311"/>
        <item m="1" x="387"/>
        <item m="1" x="388"/>
        <item m="1" x="320"/>
        <item m="1" x="389"/>
        <item m="1" x="390"/>
        <item m="1" x="391"/>
        <item m="1" x="392"/>
        <item m="1" x="394"/>
        <item m="1" x="345"/>
        <item m="1" x="346"/>
        <item m="1" x="347"/>
        <item m="1" x="348"/>
        <item m="1" x="331"/>
        <item m="1" x="349"/>
        <item m="1" x="350"/>
        <item m="1" x="351"/>
        <item m="1" x="330"/>
        <item m="1" x="352"/>
        <item m="1" x="353"/>
        <item m="1" x="354"/>
        <item m="1" x="355"/>
        <item x="105"/>
        <item x="229"/>
        <item m="1" x="356"/>
        <item m="1" x="357"/>
        <item m="1" x="358"/>
        <item m="1" x="359"/>
        <item x="266"/>
      </items>
    </pivotField>
    <pivotField axis="axisRow" compact="0" outline="0" showAll="0" defaultSubtotal="0">
      <items count="662">
        <item m="1" x="572"/>
        <item m="1" x="573"/>
        <item m="1" x="575"/>
        <item m="1" x="574"/>
        <item x="106"/>
        <item m="1" x="535"/>
        <item m="1" x="489"/>
        <item m="1" x="533"/>
        <item m="1" x="649"/>
        <item x="33"/>
        <item x="57"/>
        <item m="1" x="517"/>
        <item m="1" x="528"/>
        <item m="1" x="545"/>
        <item m="1" x="247"/>
        <item m="1" x="501"/>
        <item m="1" x="398"/>
        <item x="144"/>
        <item m="1" x="556"/>
        <item m="1" x="494"/>
        <item x="136"/>
        <item x="36"/>
        <item m="1" x="475"/>
        <item x="41"/>
        <item m="1" x="268"/>
        <item x="165"/>
        <item x="58"/>
        <item x="25"/>
        <item m="1" x="651"/>
        <item x="123"/>
        <item m="1" x="646"/>
        <item x="69"/>
        <item x="81"/>
        <item m="1" x="659"/>
        <item m="1" x="645"/>
        <item x="37"/>
        <item m="1" x="558"/>
        <item x="117"/>
        <item m="1" x="496"/>
        <item m="1" x="476"/>
        <item x="145"/>
        <item m="1" x="531"/>
        <item m="1" x="485"/>
        <item m="1" x="518"/>
        <item m="1" x="617"/>
        <item m="1" x="506"/>
        <item m="1" x="657"/>
        <item x="3"/>
        <item x="143"/>
        <item m="1" x="316"/>
        <item x="8"/>
        <item x="186"/>
        <item m="1" x="606"/>
        <item x="68"/>
        <item m="1" x="530"/>
        <item m="1" x="543"/>
        <item m="1" x="257"/>
        <item m="1" x="523"/>
        <item m="1" x="473"/>
        <item x="39"/>
        <item m="1" x="526"/>
        <item m="1" x="555"/>
        <item m="1" x="547"/>
        <item m="1" x="350"/>
        <item m="1" x="507"/>
        <item m="1" x="546"/>
        <item m="1" x="540"/>
        <item x="38"/>
        <item x="87"/>
        <item m="1" x="557"/>
        <item m="1" x="642"/>
        <item x="80"/>
        <item m="1" x="539"/>
        <item x="200"/>
        <item m="1" x="532"/>
        <item m="1" x="488"/>
        <item x="1"/>
        <item m="1" x="505"/>
        <item m="1" x="406"/>
        <item m="1" x="608"/>
        <item m="1" x="519"/>
        <item m="1" x="658"/>
        <item m="1" x="554"/>
        <item x="19"/>
        <item m="1" x="451"/>
        <item m="1" x="508"/>
        <item m="1" x="511"/>
        <item m="1" x="364"/>
        <item m="1" x="334"/>
        <item m="1" x="441"/>
        <item m="1" x="582"/>
        <item x="148"/>
        <item m="1" x="631"/>
        <item m="1" x="621"/>
        <item m="1" x="552"/>
        <item x="47"/>
        <item m="1" x="470"/>
        <item m="1" x="648"/>
        <item m="1" x="481"/>
        <item x="149"/>
        <item m="1" x="250"/>
        <item m="1" x="654"/>
        <item x="84"/>
        <item m="1" x="635"/>
        <item m="1" x="520"/>
        <item m="1" x="639"/>
        <item x="70"/>
        <item m="1" x="493"/>
        <item m="1" x="452"/>
        <item m="1" x="514"/>
        <item m="1" x="527"/>
        <item x="45"/>
        <item x="236"/>
        <item m="1" x="525"/>
        <item m="1" x="661"/>
        <item m="1" x="656"/>
        <item m="1" x="390"/>
        <item x="51"/>
        <item m="1" x="619"/>
        <item m="1" x="604"/>
        <item m="1" x="442"/>
        <item x="182"/>
        <item m="1" x="653"/>
        <item x="112"/>
        <item m="1" x="643"/>
        <item m="1" x="391"/>
        <item m="1" x="513"/>
        <item m="1" x="538"/>
        <item x="169"/>
        <item m="1" x="397"/>
        <item m="1" x="544"/>
        <item m="1" x="484"/>
        <item x="42"/>
        <item m="1" x="570"/>
        <item m="1" x="510"/>
        <item m="1" x="272"/>
        <item m="1" x="618"/>
        <item m="1" x="550"/>
        <item x="184"/>
        <item m="1" x="502"/>
        <item m="1" x="640"/>
        <item x="21"/>
        <item m="1" x="652"/>
        <item x="90"/>
        <item m="1" x="394"/>
        <item x="88"/>
        <item x="218"/>
        <item m="1" x="404"/>
        <item x="98"/>
        <item m="1" x="650"/>
        <item x="23"/>
        <item m="1" x="562"/>
        <item m="1" x="388"/>
        <item m="1" x="480"/>
        <item x="48"/>
        <item m="1" x="638"/>
        <item m="1" x="529"/>
        <item x="181"/>
        <item m="1" x="500"/>
        <item x="22"/>
        <item m="1" x="620"/>
        <item m="1" x="633"/>
        <item x="73"/>
        <item m="1" x="405"/>
        <item m="1" x="534"/>
        <item m="1" x="495"/>
        <item x="56"/>
        <item m="1" x="498"/>
        <item m="1" x="536"/>
        <item x="60"/>
        <item m="1" x="264"/>
        <item x="63"/>
        <item m="1" x="634"/>
        <item m="1" x="632"/>
        <item x="118"/>
        <item m="1" x="509"/>
        <item m="1" x="647"/>
        <item m="1" x="497"/>
        <item m="1" x="571"/>
        <item x="61"/>
        <item m="1" x="660"/>
        <item m="1" x="521"/>
        <item x="40"/>
        <item m="1" x="537"/>
        <item m="1" x="625"/>
        <item m="1" x="524"/>
        <item x="72"/>
        <item m="1" x="504"/>
        <item m="1" x="541"/>
        <item x="34"/>
        <item m="1" x="605"/>
        <item m="1" x="655"/>
        <item x="20"/>
        <item m="1" x="486"/>
        <item m="1" x="569"/>
        <item m="1" x="396"/>
        <item m="1" x="548"/>
        <item m="1" x="490"/>
        <item x="141"/>
        <item m="1" x="512"/>
        <item m="1" x="403"/>
        <item m="1" x="637"/>
        <item m="1" x="439"/>
        <item m="1" x="568"/>
        <item m="1" x="492"/>
        <item m="1" x="436"/>
        <item x="216"/>
        <item x="78"/>
        <item m="1" x="482"/>
        <item m="1" x="615"/>
        <item x="108"/>
        <item m="1" x="392"/>
        <item x="65"/>
        <item m="1" x="549"/>
        <item m="1" x="603"/>
        <item m="1" x="616"/>
        <item m="1" x="641"/>
        <item m="1" x="542"/>
        <item m="1" x="581"/>
        <item m="1" x="348"/>
        <item m="1" x="499"/>
        <item m="1" x="628"/>
        <item x="227"/>
        <item m="1" x="610"/>
        <item m="1" x="386"/>
        <item m="1" x="515"/>
        <item m="1" x="644"/>
        <item x="75"/>
        <item m="1" x="607"/>
        <item m="1" x="522"/>
        <item m="1" x="503"/>
        <item m="1" x="437"/>
        <item m="1" x="491"/>
        <item x="77"/>
        <item m="1" x="636"/>
        <item m="1" x="306"/>
        <item x="187"/>
        <item m="1" x="551"/>
        <item m="1" x="613"/>
        <item m="1" x="444"/>
        <item m="1" x="474"/>
        <item m="1" x="393"/>
        <item m="1" x="564"/>
        <item m="1" x="592"/>
        <item m="1" x="600"/>
        <item m="1" x="567"/>
        <item m="1" x="630"/>
        <item m="1" x="435"/>
        <item m="1" x="565"/>
        <item m="1" x="596"/>
        <item m="1" x="566"/>
        <item x="103"/>
        <item m="1" x="584"/>
        <item m="1" x="629"/>
        <item m="1" x="611"/>
        <item m="1" x="438"/>
        <item m="1" x="553"/>
        <item m="1" x="583"/>
        <item m="1" x="626"/>
        <item m="1" x="622"/>
        <item m="1" x="400"/>
        <item m="1" x="601"/>
        <item m="1" x="577"/>
        <item m="1" x="599"/>
        <item m="1" x="563"/>
        <item m="1" x="594"/>
        <item m="1" x="586"/>
        <item m="1" x="576"/>
        <item m="1" x="593"/>
        <item m="1" x="585"/>
        <item m="1" x="623"/>
        <item m="1" x="595"/>
        <item m="1" x="602"/>
        <item m="1" x="627"/>
        <item m="1" x="579"/>
        <item m="1" x="597"/>
        <item m="1" x="614"/>
        <item m="1" x="587"/>
        <item m="1" x="612"/>
        <item m="1" x="624"/>
        <item m="1" x="609"/>
        <item m="1" x="598"/>
        <item m="1" x="580"/>
        <item m="1" x="578"/>
        <item m="1" x="589"/>
        <item m="1" x="591"/>
        <item m="1" x="590"/>
        <item m="1" x="588"/>
        <item m="1" x="383"/>
        <item m="1" x="385"/>
        <item m="1" x="387"/>
        <item m="1" x="384"/>
        <item m="1" x="389"/>
        <item m="1" x="395"/>
        <item m="1" x="399"/>
        <item m="1" x="401"/>
        <item m="1" x="402"/>
        <item m="1" x="409"/>
        <item m="1" x="410"/>
        <item m="1" x="411"/>
        <item m="1" x="412"/>
        <item m="1" x="413"/>
        <item m="1" x="422"/>
        <item m="1" x="415"/>
        <item m="1" x="416"/>
        <item m="1" x="417"/>
        <item m="1" x="425"/>
        <item m="1" x="419"/>
        <item m="1" x="420"/>
        <item m="1" x="421"/>
        <item m="1" x="428"/>
        <item m="1" x="426"/>
        <item m="1" x="424"/>
        <item m="1" x="431"/>
        <item m="1" x="423"/>
        <item m="1" x="427"/>
        <item m="1" x="433"/>
        <item m="1" x="429"/>
        <item m="1" x="430"/>
        <item m="1" x="434"/>
        <item m="1" x="432"/>
        <item m="1" x="414"/>
        <item m="1" x="418"/>
        <item m="1" x="440"/>
        <item m="1" x="443"/>
        <item m="1" x="445"/>
        <item m="1" x="453"/>
        <item m="1" x="460"/>
        <item m="1" x="454"/>
        <item m="1" x="456"/>
        <item m="1" x="455"/>
        <item m="1" x="458"/>
        <item m="1" x="459"/>
        <item m="1" x="457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1"/>
        <item m="1" x="472"/>
        <item m="1" x="483"/>
        <item m="1" x="408"/>
        <item m="1" x="487"/>
        <item m="1" x="516"/>
        <item x="2"/>
        <item m="1" x="559"/>
        <item m="1" x="560"/>
        <item m="1" x="449"/>
        <item m="1" x="446"/>
        <item m="1" x="447"/>
        <item m="1" x="561"/>
        <item m="1" x="407"/>
        <item m="1" x="448"/>
        <item m="1" x="450"/>
        <item m="1" x="478"/>
        <item m="1" x="477"/>
        <item m="1" x="479"/>
        <item m="1" x="354"/>
        <item m="1" x="355"/>
        <item m="1" x="358"/>
        <item m="1" x="359"/>
        <item m="1" x="360"/>
        <item m="1" x="278"/>
        <item m="1" x="274"/>
        <item m="1" x="347"/>
        <item m="1" x="357"/>
        <item m="1" x="279"/>
        <item m="1" x="361"/>
        <item m="1" x="280"/>
        <item m="1" x="277"/>
        <item m="1" x="282"/>
        <item m="1" x="275"/>
        <item m="1" x="356"/>
        <item m="1" x="281"/>
        <item m="1" x="289"/>
        <item m="1" x="285"/>
        <item m="1" x="287"/>
        <item m="1" x="283"/>
        <item m="1" x="290"/>
        <item m="1" x="295"/>
        <item m="1" x="294"/>
        <item m="1" x="291"/>
        <item m="1" x="293"/>
        <item m="1" x="286"/>
        <item m="1" x="284"/>
        <item m="1" x="312"/>
        <item m="1" x="303"/>
        <item m="1" x="288"/>
        <item m="1" x="297"/>
        <item m="1" x="309"/>
        <item m="1" x="292"/>
        <item m="1" x="304"/>
        <item m="1" x="315"/>
        <item m="1" x="300"/>
        <item m="1" x="319"/>
        <item x="132"/>
        <item m="1" x="310"/>
        <item m="1" x="308"/>
        <item m="1" x="311"/>
        <item m="1" x="314"/>
        <item m="1" x="307"/>
        <item m="1" x="329"/>
        <item m="1" x="313"/>
        <item m="1" x="321"/>
        <item m="1" x="328"/>
        <item m="1" x="318"/>
        <item m="1" x="323"/>
        <item m="1" x="338"/>
        <item m="1" x="320"/>
        <item x="234"/>
        <item m="1" x="330"/>
        <item m="1" x="322"/>
        <item m="1" x="327"/>
        <item m="1" x="363"/>
        <item m="1" x="332"/>
        <item m="1" x="337"/>
        <item m="1" x="333"/>
        <item x="223"/>
        <item m="1" x="336"/>
        <item m="1" x="339"/>
        <item x="13"/>
        <item m="1" x="342"/>
        <item m="1" x="353"/>
        <item m="1" x="362"/>
        <item m="1" x="340"/>
        <item m="1" x="352"/>
        <item m="1" x="351"/>
        <item m="1" x="341"/>
        <item m="1" x="326"/>
        <item m="1" x="367"/>
        <item m="1" x="335"/>
        <item x="195"/>
        <item m="1" x="331"/>
        <item m="1" x="299"/>
        <item m="1" x="344"/>
        <item m="1" x="296"/>
        <item m="1" x="345"/>
        <item m="1" x="368"/>
        <item x="43"/>
        <item m="1" x="365"/>
        <item m="1" x="244"/>
        <item m="1" x="375"/>
        <item m="1" x="317"/>
        <item m="1" x="324"/>
        <item m="1" x="373"/>
        <item m="1" x="325"/>
        <item m="1" x="349"/>
        <item m="1" x="366"/>
        <item m="1" x="382"/>
        <item m="1" x="343"/>
        <item x="215"/>
        <item m="1" x="346"/>
        <item x="168"/>
        <item m="1" x="262"/>
        <item m="1" x="381"/>
        <item m="1" x="298"/>
        <item m="1" x="302"/>
        <item m="1" x="305"/>
        <item m="1" x="301"/>
        <item m="1" x="369"/>
        <item m="1" x="370"/>
        <item m="1" x="371"/>
        <item m="1" x="380"/>
        <item x="212"/>
        <item m="1" x="379"/>
        <item m="1" x="378"/>
        <item x="55"/>
        <item m="1" x="374"/>
        <item m="1" x="377"/>
        <item m="1" x="376"/>
        <item m="1" x="372"/>
        <item m="1" x="276"/>
        <item x="79"/>
        <item x="204"/>
        <item x="27"/>
        <item x="64"/>
        <item x="111"/>
        <item x="10"/>
        <item x="173"/>
        <item x="205"/>
        <item x="172"/>
        <item x="124"/>
        <item x="174"/>
        <item x="176"/>
        <item x="4"/>
        <item x="9"/>
        <item x="153"/>
        <item x="26"/>
        <item x="52"/>
        <item x="125"/>
        <item x="175"/>
        <item x="113"/>
        <item x="126"/>
        <item x="170"/>
        <item x="110"/>
        <item x="156"/>
        <item x="206"/>
        <item x="193"/>
        <item x="97"/>
        <item x="74"/>
        <item x="29"/>
        <item x="46"/>
        <item x="115"/>
        <item x="158"/>
        <item x="114"/>
        <item x="11"/>
        <item x="76"/>
        <item x="50"/>
        <item x="53"/>
        <item x="221"/>
        <item x="107"/>
        <item x="130"/>
        <item x="32"/>
        <item x="207"/>
        <item x="127"/>
        <item x="230"/>
        <item x="209"/>
        <item x="178"/>
        <item x="30"/>
        <item x="194"/>
        <item x="208"/>
        <item x="12"/>
        <item x="131"/>
        <item x="179"/>
        <item x="100"/>
        <item x="180"/>
        <item x="128"/>
        <item x="102"/>
        <item x="96"/>
        <item x="129"/>
        <item x="164"/>
        <item x="163"/>
        <item x="166"/>
        <item x="71"/>
        <item x="211"/>
        <item x="210"/>
        <item x="214"/>
        <item x="15"/>
        <item x="240"/>
        <item x="28"/>
        <item x="82"/>
        <item x="133"/>
        <item x="222"/>
        <item x="122"/>
        <item x="157"/>
        <item x="196"/>
        <item x="198"/>
        <item x="134"/>
        <item x="35"/>
        <item x="92"/>
        <item x="49"/>
        <item x="135"/>
        <item x="95"/>
        <item x="235"/>
        <item x="67"/>
        <item x="197"/>
        <item x="86"/>
        <item x="199"/>
        <item x="138"/>
        <item x="66"/>
        <item x="161"/>
        <item x="109"/>
        <item x="171"/>
        <item x="154"/>
        <item x="201"/>
        <item x="121"/>
        <item x="151"/>
        <item x="160"/>
        <item x="18"/>
        <item x="0"/>
        <item x="59"/>
        <item x="185"/>
        <item x="183"/>
        <item x="139"/>
        <item x="99"/>
        <item x="159"/>
        <item x="83"/>
        <item x="120"/>
        <item x="7"/>
        <item x="54"/>
        <item x="140"/>
        <item x="89"/>
        <item x="119"/>
        <item m="1" x="242"/>
        <item x="238"/>
        <item x="31"/>
        <item x="219"/>
        <item x="155"/>
        <item x="142"/>
        <item x="6"/>
        <item x="91"/>
        <item x="202"/>
        <item x="189"/>
        <item x="62"/>
        <item x="93"/>
        <item x="5"/>
        <item x="162"/>
        <item x="190"/>
        <item x="224"/>
        <item x="147"/>
        <item x="146"/>
        <item x="105"/>
        <item x="94"/>
        <item x="17"/>
        <item x="44"/>
        <item x="217"/>
        <item x="191"/>
        <item x="14"/>
        <item x="104"/>
        <item x="16"/>
        <item x="85"/>
        <item x="192"/>
        <item x="225"/>
        <item x="188"/>
        <item x="213"/>
        <item x="177"/>
        <item m="1" x="245"/>
        <item x="220"/>
        <item x="237"/>
        <item m="1" x="243"/>
        <item x="228"/>
        <item x="167"/>
        <item x="150"/>
        <item m="1" x="273"/>
        <item m="1" x="267"/>
        <item m="1" x="266"/>
        <item x="203"/>
        <item x="233"/>
        <item x="24"/>
        <item m="1" x="260"/>
        <item x="226"/>
        <item x="152"/>
        <item x="229"/>
        <item x="241"/>
        <item m="1" x="249"/>
        <item m="1" x="248"/>
        <item x="232"/>
        <item x="101"/>
        <item x="137"/>
        <item x="231"/>
        <item m="1" x="251"/>
        <item m="1" x="252"/>
        <item x="116"/>
        <item m="1" x="261"/>
        <item m="1" x="263"/>
        <item m="1" x="265"/>
        <item x="239"/>
        <item m="1" x="269"/>
        <item m="1" x="270"/>
        <item m="1" x="271"/>
        <item m="1" x="253"/>
        <item m="1" x="254"/>
        <item m="1" x="246"/>
        <item m="1" x="255"/>
        <item m="1" x="256"/>
        <item m="1" x="258"/>
        <item m="1" x="259"/>
      </items>
    </pivotField>
    <pivotField axis="axisRow" compact="0" outline="0" showAll="0" defaultSubtotal="0">
      <items count="421">
        <item m="1" x="373"/>
        <item m="1" x="374"/>
        <item m="1" x="376"/>
        <item m="1" x="375"/>
        <item x="3"/>
        <item m="1" x="240"/>
        <item m="1" x="389"/>
        <item m="1" x="233"/>
        <item m="1" x="420"/>
        <item m="1" x="347"/>
        <item m="1" x="391"/>
        <item x="131"/>
        <item m="1" x="378"/>
        <item x="93"/>
        <item m="1" x="387"/>
        <item m="1" x="202"/>
        <item x="133"/>
        <item m="1" x="199"/>
        <item m="1" x="414"/>
        <item x="31"/>
        <item m="1" x="327"/>
        <item m="1" x="339"/>
        <item m="1" x="416"/>
        <item x="95"/>
        <item m="1" x="360"/>
        <item m="1" x="417"/>
        <item m="1" x="166"/>
        <item x="72"/>
        <item m="1" x="359"/>
        <item x="80"/>
        <item m="1" x="356"/>
        <item m="1" x="345"/>
        <item x="25"/>
        <item x="8"/>
        <item m="1" x="419"/>
        <item m="1" x="352"/>
        <item x="94"/>
        <item m="1" x="270"/>
        <item m="1" x="332"/>
        <item m="1" x="348"/>
        <item m="1" x="326"/>
        <item m="1" x="388"/>
        <item m="1" x="325"/>
        <item x="29"/>
        <item m="1" x="287"/>
        <item m="1" x="340"/>
        <item m="1" x="331"/>
        <item x="9"/>
        <item m="1" x="353"/>
        <item m="1" x="386"/>
        <item m="1" x="377"/>
        <item m="1" x="314"/>
        <item m="1" x="312"/>
        <item x="96"/>
        <item m="1" x="406"/>
        <item m="1" x="415"/>
        <item m="1" x="343"/>
        <item m="1" x="393"/>
        <item x="49"/>
        <item m="1" x="242"/>
        <item m="1" x="289"/>
        <item m="1" x="390"/>
        <item x="32"/>
        <item m="1" x="344"/>
        <item m="1" x="413"/>
        <item m="1" x="294"/>
        <item x="71"/>
        <item m="1" x="334"/>
        <item m="1" x="336"/>
        <item m="1" x="410"/>
        <item x="30"/>
        <item m="1" x="349"/>
        <item m="1" x="269"/>
        <item m="1" x="412"/>
        <item x="2"/>
        <item m="1" x="396"/>
        <item m="1" x="276"/>
        <item m="1" x="291"/>
        <item x="1"/>
        <item m="1" x="409"/>
        <item m="1" x="177"/>
        <item m="1" x="400"/>
        <item m="1" x="263"/>
        <item m="1" x="383"/>
        <item m="1" x="283"/>
        <item x="39"/>
        <item x="42"/>
        <item m="1" x="318"/>
        <item m="1" x="403"/>
        <item x="15"/>
        <item m="1" x="329"/>
        <item m="1" x="341"/>
        <item m="1" x="284"/>
        <item x="101"/>
        <item m="1" x="407"/>
        <item m="1" x="394"/>
        <item x="4"/>
        <item x="63"/>
        <item m="1" x="401"/>
        <item m="1" x="418"/>
        <item x="52"/>
        <item m="1" x="275"/>
        <item m="1" x="371"/>
        <item x="17"/>
        <item m="1" x="399"/>
        <item x="11"/>
        <item x="45"/>
        <item m="1" x="384"/>
        <item m="1" x="370"/>
        <item x="82"/>
        <item m="1" x="382"/>
        <item x="24"/>
        <item x="122"/>
        <item m="1" x="357"/>
        <item m="1" x="323"/>
        <item x="18"/>
        <item x="65"/>
        <item x="62"/>
        <item m="1" x="320"/>
        <item m="1" x="350"/>
        <item x="144"/>
        <item m="1" x="164"/>
        <item m="1" x="358"/>
        <item m="1" x="333"/>
        <item x="34"/>
        <item m="1" x="264"/>
        <item x="26"/>
        <item m="1" x="402"/>
        <item m="1" x="328"/>
        <item x="120"/>
        <item m="1" x="346"/>
        <item m="1" x="354"/>
        <item x="19"/>
        <item m="1" x="404"/>
        <item m="1" x="335"/>
        <item m="1" x="385"/>
        <item m="1" x="411"/>
        <item x="149"/>
        <item m="1" x="405"/>
        <item m="1" x="321"/>
        <item m="1" x="355"/>
        <item m="1" x="342"/>
        <item x="46"/>
        <item m="1" x="274"/>
        <item m="1" x="380"/>
        <item x="47"/>
        <item m="1" x="397"/>
        <item x="79"/>
        <item x="35"/>
        <item m="1" x="285"/>
        <item m="1" x="379"/>
        <item m="1" x="330"/>
        <item m="1" x="398"/>
        <item x="68"/>
        <item m="1" x="372"/>
        <item x="43"/>
        <item x="119"/>
        <item x="125"/>
        <item m="1" x="266"/>
        <item m="1" x="395"/>
        <item m="1" x="268"/>
        <item m="1" x="337"/>
        <item x="56"/>
        <item m="1" x="367"/>
        <item m="1" x="245"/>
        <item m="1" x="351"/>
        <item m="1" x="324"/>
        <item x="129"/>
        <item x="75"/>
        <item m="1" x="365"/>
        <item x="126"/>
        <item m="1" x="392"/>
        <item m="1" x="265"/>
        <item m="1" x="369"/>
        <item m="1" x="381"/>
        <item m="1" x="368"/>
        <item m="1" x="364"/>
        <item m="1" x="408"/>
        <item m="1" x="286"/>
        <item m="1" x="366"/>
        <item m="1" x="258"/>
        <item m="1" x="260"/>
        <item m="1" x="261"/>
        <item m="1" x="259"/>
        <item m="1" x="262"/>
        <item m="1" x="267"/>
        <item m="1" x="271"/>
        <item m="1" x="272"/>
        <item m="1" x="273"/>
        <item m="1" x="279"/>
        <item m="1" x="280"/>
        <item m="1" x="281"/>
        <item m="1" x="282"/>
        <item m="1" x="288"/>
        <item m="1" x="290"/>
        <item m="1" x="292"/>
        <item m="1" x="295"/>
        <item m="1" x="302"/>
        <item m="1" x="296"/>
        <item m="1" x="298"/>
        <item m="1" x="297"/>
        <item m="1" x="300"/>
        <item m="1" x="301"/>
        <item m="1" x="299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3"/>
        <item m="1" x="319"/>
        <item m="1" x="322"/>
        <item m="1" x="293"/>
        <item m="1" x="338"/>
        <item m="1" x="361"/>
        <item m="1" x="362"/>
        <item m="1" x="363"/>
        <item m="1" x="277"/>
        <item m="1" x="278"/>
        <item x="103"/>
        <item m="1" x="316"/>
        <item m="1" x="315"/>
        <item m="1" x="317"/>
        <item m="1" x="181"/>
        <item m="1" x="182"/>
        <item m="1" x="183"/>
        <item m="1" x="180"/>
        <item m="1" x="185"/>
        <item m="1" x="178"/>
        <item m="1" x="184"/>
        <item m="1" x="192"/>
        <item m="1" x="188"/>
        <item m="1" x="190"/>
        <item m="1" x="186"/>
        <item m="1" x="193"/>
        <item m="1" x="198"/>
        <item m="1" x="197"/>
        <item m="1" x="194"/>
        <item m="1" x="196"/>
        <item m="1" x="189"/>
        <item m="1" x="187"/>
        <item m="1" x="212"/>
        <item m="1" x="205"/>
        <item m="1" x="191"/>
        <item m="1" x="200"/>
        <item m="1" x="211"/>
        <item m="1" x="209"/>
        <item m="1" x="195"/>
        <item m="1" x="206"/>
        <item m="1" x="203"/>
        <item m="1" x="216"/>
        <item m="1" x="208"/>
        <item m="1" x="210"/>
        <item m="1" x="213"/>
        <item m="1" x="207"/>
        <item m="1" x="225"/>
        <item x="57"/>
        <item m="1" x="218"/>
        <item m="1" x="224"/>
        <item m="1" x="215"/>
        <item m="1" x="220"/>
        <item m="1" x="232"/>
        <item m="1" x="217"/>
        <item x="155"/>
        <item m="1" x="226"/>
        <item m="1" x="219"/>
        <item m="1" x="223"/>
        <item m="1" x="228"/>
        <item m="1" x="234"/>
        <item m="1" x="231"/>
        <item x="50"/>
        <item m="1" x="229"/>
        <item x="146"/>
        <item m="1" x="230"/>
        <item x="147"/>
        <item m="1" x="237"/>
        <item m="1" x="244"/>
        <item m="1" x="235"/>
        <item m="1" x="243"/>
        <item m="1" x="236"/>
        <item m="1" x="247"/>
        <item m="1" x="227"/>
        <item m="1" x="238"/>
        <item m="1" x="239"/>
        <item x="33"/>
        <item m="1" x="246"/>
        <item m="1" x="221"/>
        <item m="1" x="252"/>
        <item m="1" x="222"/>
        <item m="1" x="241"/>
        <item m="1" x="257"/>
        <item m="1" x="201"/>
        <item m="1" x="204"/>
        <item m="1" x="214"/>
        <item m="1" x="248"/>
        <item m="1" x="249"/>
        <item m="1" x="250"/>
        <item m="1" x="256"/>
        <item m="1" x="255"/>
        <item m="1" x="253"/>
        <item m="1" x="254"/>
        <item m="1" x="251"/>
        <item m="1" x="179"/>
        <item x="81"/>
        <item x="106"/>
        <item x="53"/>
        <item x="108"/>
        <item x="55"/>
        <item x="37"/>
        <item x="78"/>
        <item x="89"/>
        <item x="86"/>
        <item x="152"/>
        <item x="139"/>
        <item x="23"/>
        <item x="130"/>
        <item x="138"/>
        <item x="10"/>
        <item x="90"/>
        <item x="117"/>
        <item x="73"/>
        <item x="118"/>
        <item x="87"/>
        <item x="74"/>
        <item x="36"/>
        <item x="88"/>
        <item x="113"/>
        <item x="112"/>
        <item x="114"/>
        <item x="51"/>
        <item x="141"/>
        <item x="140"/>
        <item x="143"/>
        <item x="13"/>
        <item x="22"/>
        <item x="58"/>
        <item x="91"/>
        <item x="107"/>
        <item x="132"/>
        <item x="92"/>
        <item x="27"/>
        <item x="67"/>
        <item x="70"/>
        <item x="156"/>
        <item x="48"/>
        <item x="61"/>
        <item x="134"/>
        <item x="110"/>
        <item x="40"/>
        <item x="116"/>
        <item x="85"/>
        <item x="109"/>
        <item x="16"/>
        <item x="0"/>
        <item x="41"/>
        <item x="123"/>
        <item x="121"/>
        <item x="97"/>
        <item x="59"/>
        <item x="84"/>
        <item x="136"/>
        <item x="7"/>
        <item x="38"/>
        <item x="98"/>
        <item x="20"/>
        <item x="64"/>
        <item x="83"/>
        <item x="28"/>
        <item m="1" x="160"/>
        <item x="157"/>
        <item x="124"/>
        <item x="54"/>
        <item x="105"/>
        <item x="6"/>
        <item x="66"/>
        <item x="135"/>
        <item x="44"/>
        <item x="5"/>
        <item x="111"/>
        <item x="128"/>
        <item x="100"/>
        <item x="99"/>
        <item x="77"/>
        <item x="69"/>
        <item x="12"/>
        <item x="76"/>
        <item x="142"/>
        <item x="14"/>
        <item x="60"/>
        <item x="127"/>
        <item x="145"/>
        <item m="1" x="161"/>
        <item x="150"/>
        <item x="115"/>
        <item x="102"/>
        <item m="1" x="174"/>
        <item m="1" x="173"/>
        <item x="137"/>
        <item x="154"/>
        <item x="21"/>
        <item m="1" x="169"/>
        <item x="148"/>
        <item x="104"/>
        <item x="151"/>
        <item x="159"/>
        <item x="153"/>
        <item m="1" x="162"/>
        <item m="1" x="163"/>
        <item m="1" x="170"/>
        <item m="1" x="171"/>
        <item m="1" x="172"/>
        <item x="158"/>
        <item m="1" x="175"/>
        <item m="1" x="176"/>
        <item m="1" x="165"/>
        <item m="1" x="167"/>
        <item m="1" x="168"/>
      </items>
    </pivotField>
    <pivotField axis="axisRow" compact="0" outline="0" showAll="0" defaultSubtotal="0">
      <items count="99">
        <item x="0"/>
        <item m="1" x="31"/>
        <item m="1" x="66"/>
        <item m="1" x="14"/>
        <item x="6"/>
        <item m="1" x="59"/>
        <item m="1" x="85"/>
        <item m="1" x="42"/>
        <item m="1" x="24"/>
        <item x="1"/>
        <item m="1" x="56"/>
        <item m="1" x="46"/>
        <item m="1" x="51"/>
        <item m="1" x="21"/>
        <item m="1" x="29"/>
        <item x="7"/>
        <item m="1" x="41"/>
        <item m="1" x="20"/>
        <item x="3"/>
        <item m="1" x="91"/>
        <item m="1" x="53"/>
        <item m="1" x="8"/>
        <item m="1" x="55"/>
        <item m="1" x="87"/>
        <item x="4"/>
        <item m="1" x="94"/>
        <item m="1" x="57"/>
        <item m="1" x="9"/>
        <item m="1" x="81"/>
        <item m="1" x="17"/>
        <item m="1" x="75"/>
        <item m="1" x="40"/>
        <item m="1" x="89"/>
        <item m="1" x="36"/>
        <item m="1" x="67"/>
        <item m="1" x="16"/>
        <item m="1" x="23"/>
        <item m="1" x="73"/>
        <item m="1" x="62"/>
        <item m="1" x="93"/>
        <item m="1" x="64"/>
        <item m="1" x="19"/>
        <item m="1" x="58"/>
        <item m="1" x="74"/>
        <item m="1" x="71"/>
        <item m="1" x="49"/>
        <item m="1" x="52"/>
        <item m="1" x="80"/>
        <item m="1" x="47"/>
        <item m="1" x="50"/>
        <item m="1" x="92"/>
        <item m="1" x="61"/>
        <item m="1" x="11"/>
        <item m="1" x="44"/>
        <item m="1" x="82"/>
        <item m="1" x="68"/>
        <item m="1" x="45"/>
        <item m="1" x="76"/>
        <item m="1" x="96"/>
        <item m="1" x="15"/>
        <item m="1" x="98"/>
        <item m="1" x="48"/>
        <item m="1" x="88"/>
        <item m="1" x="60"/>
        <item m="1" x="54"/>
        <item m="1" x="69"/>
        <item m="1" x="86"/>
        <item m="1" x="97"/>
        <item m="1" x="65"/>
        <item m="1" x="79"/>
        <item m="1" x="63"/>
        <item m="1" x="95"/>
        <item m="1" x="70"/>
        <item m="1" x="84"/>
        <item m="1" x="77"/>
        <item m="1" x="72"/>
        <item m="1" x="78"/>
        <item m="1" x="83"/>
        <item m="1" x="90"/>
        <item m="1" x="13"/>
        <item m="1" x="25"/>
        <item m="1" x="26"/>
        <item x="2"/>
        <item m="1" x="35"/>
        <item m="1" x="34"/>
        <item m="1" x="38"/>
        <item m="1" x="27"/>
        <item m="1" x="30"/>
        <item m="1" x="28"/>
        <item m="1" x="32"/>
        <item m="1" x="33"/>
        <item m="1" x="37"/>
        <item x="5"/>
        <item m="1" x="43"/>
        <item m="1" x="39"/>
        <item m="1" x="18"/>
        <item m="1" x="10"/>
        <item m="1" x="22"/>
        <item m="1" x="12"/>
      </items>
    </pivotField>
    <pivotField axis="axisRow" compact="0" outline="0" showAll="0" defaultSubtotal="0">
      <items count="27">
        <item x="0"/>
        <item m="1" x="18"/>
        <item m="1" x="11"/>
        <item m="1" x="15"/>
        <item m="1" x="14"/>
        <item m="1" x="12"/>
        <item m="1" x="21"/>
        <item m="1" x="17"/>
        <item m="1" x="1"/>
        <item m="1" x="19"/>
        <item m="1" x="20"/>
        <item m="1" x="10"/>
        <item m="1" x="16"/>
        <item m="1" x="24"/>
        <item m="1" x="26"/>
        <item m="1" x="22"/>
        <item m="1" x="23"/>
        <item m="1" x="25"/>
        <item m="1" x="3"/>
        <item m="1" x="2"/>
        <item m="1" x="9"/>
        <item m="1" x="8"/>
        <item m="1" x="13"/>
        <item m="1" x="7"/>
        <item m="1" x="4"/>
        <item m="1" x="5"/>
        <item m="1" x="6"/>
      </items>
    </pivotField>
    <pivotField axis="axisRow" compact="0" outline="0" showAll="0" defaultSubtotal="0">
      <items count="520">
        <item m="1" x="453"/>
        <item m="1" x="449"/>
        <item m="1" x="213"/>
        <item m="1" x="451"/>
        <item m="1" x="421"/>
        <item m="1" x="407"/>
        <item m="1" x="262"/>
        <item m="1" x="403"/>
        <item m="1" x="474"/>
        <item m="1" x="504"/>
        <item m="1" x="425"/>
        <item x="57"/>
        <item x="146"/>
        <item m="1" x="511"/>
        <item m="1" x="418"/>
        <item m="1" x="404"/>
        <item m="1" x="413"/>
        <item m="1" x="328"/>
        <item m="1" x="457"/>
        <item m="1" x="477"/>
        <item m="1" x="424"/>
        <item m="1" x="337"/>
        <item m="1" x="459"/>
        <item m="1" x="331"/>
        <item m="1" x="513"/>
        <item m="1" x="296"/>
        <item m="1" x="346"/>
        <item m="1" x="400"/>
        <item m="1" x="475"/>
        <item m="1" x="349"/>
        <item m="1" x="315"/>
        <item m="1" x="398"/>
        <item m="1" x="316"/>
        <item m="1" x="329"/>
        <item m="1" x="437"/>
        <item m="1" x="338"/>
        <item m="1" x="365"/>
        <item m="1" x="505"/>
        <item m="1" x="237"/>
        <item m="1" x="236"/>
        <item m="1" x="396"/>
        <item m="1" x="491"/>
        <item m="1" x="152"/>
        <item m="1" x="153"/>
        <item m="1" x="431"/>
        <item m="1" x="466"/>
        <item m="1" x="363"/>
        <item m="1" x="353"/>
        <item m="1" x="330"/>
        <item m="1" x="497"/>
        <item m="1" x="455"/>
        <item m="1" x="321"/>
        <item m="1" x="429"/>
        <item m="1" x="394"/>
        <item m="1" x="456"/>
        <item m="1" x="372"/>
        <item m="1" x="399"/>
        <item m="1" x="230"/>
        <item m="1" x="454"/>
        <item m="1" x="514"/>
        <item m="1" x="512"/>
        <item m="1" x="326"/>
        <item m="1" x="259"/>
        <item m="1" x="381"/>
        <item m="1" x="436"/>
        <item m="1" x="411"/>
        <item m="1" x="472"/>
        <item m="1" x="402"/>
        <item m="1" x="485"/>
        <item m="1" x="401"/>
        <item m="1" x="359"/>
        <item m="1" x="489"/>
        <item m="1" x="361"/>
        <item m="1" x="468"/>
        <item m="1" x="392"/>
        <item m="1" x="261"/>
        <item m="1" x="332"/>
        <item m="1" x="481"/>
        <item m="1" x="151"/>
        <item m="1" x="285"/>
        <item m="1" x="464"/>
        <item m="1" x="410"/>
        <item m="1" x="340"/>
        <item m="1" x="488"/>
        <item m="1" x="517"/>
        <item m="1" x="304"/>
        <item x="82"/>
        <item x="114"/>
        <item m="1" x="499"/>
        <item m="1" x="180"/>
        <item m="1" x="412"/>
        <item m="1" x="470"/>
        <item m="1" x="324"/>
        <item m="1" x="465"/>
        <item m="1" x="233"/>
        <item m="1" x="435"/>
        <item m="1" x="471"/>
        <item m="1" x="419"/>
        <item m="1" x="432"/>
        <item m="1" x="258"/>
        <item m="1" x="476"/>
        <item m="1" x="390"/>
        <item m="1" x="195"/>
        <item m="1" x="439"/>
        <item m="1" x="469"/>
        <item m="1" x="327"/>
        <item m="1" x="480"/>
        <item m="1" x="344"/>
        <item m="1" x="319"/>
        <item m="1" x="377"/>
        <item m="1" x="382"/>
        <item m="1" x="375"/>
        <item m="1" x="352"/>
        <item m="1" x="516"/>
        <item x="129"/>
        <item m="1" x="283"/>
        <item m="1" x="430"/>
        <item m="1" x="184"/>
        <item m="1" x="423"/>
        <item m="1" x="417"/>
        <item m="1" x="397"/>
        <item m="1" x="360"/>
        <item m="1" x="369"/>
        <item m="1" x="501"/>
        <item m="1" x="434"/>
        <item m="1" x="186"/>
        <item m="1" x="366"/>
        <item m="1" x="515"/>
        <item m="1" x="508"/>
        <item m="1" x="193"/>
        <item m="1" x="202"/>
        <item m="1" x="510"/>
        <item m="1" x="247"/>
        <item m="1" x="484"/>
        <item m="1" x="461"/>
        <item m="1" x="295"/>
        <item m="1" x="343"/>
        <item m="1" x="335"/>
        <item m="1" x="345"/>
        <item m="1" x="393"/>
        <item m="1" x="509"/>
        <item m="1" x="482"/>
        <item m="1" x="416"/>
        <item m="1" x="356"/>
        <item m="1" x="323"/>
        <item m="1" x="266"/>
        <item m="1" x="433"/>
        <item m="1" x="415"/>
        <item m="1" x="502"/>
        <item m="1" x="409"/>
        <item m="1" x="467"/>
        <item m="1" x="507"/>
        <item m="1" x="458"/>
        <item m="1" x="249"/>
        <item m="1" x="460"/>
        <item m="1" x="336"/>
        <item m="1" x="408"/>
        <item m="1" x="428"/>
        <item m="1" x="325"/>
        <item m="1" x="463"/>
        <item m="1" x="378"/>
        <item m="1" x="297"/>
        <item m="1" x="355"/>
        <item m="1" x="333"/>
        <item m="1" x="493"/>
        <item m="1" x="500"/>
        <item m="1" x="320"/>
        <item m="1" x="406"/>
        <item m="1" x="370"/>
        <item m="1" x="479"/>
        <item m="1" x="462"/>
        <item m="1" x="483"/>
        <item x="4"/>
        <item m="1" x="414"/>
        <item m="1" x="442"/>
        <item m="1" x="498"/>
        <item m="1" x="443"/>
        <item m="1" x="473"/>
        <item m="1" x="496"/>
        <item x="5"/>
        <item x="27"/>
        <item m="1" x="317"/>
        <item x="53"/>
        <item x="15"/>
        <item m="1" x="312"/>
        <item m="1" x="293"/>
        <item m="1" x="386"/>
        <item x="133"/>
        <item m="1" x="286"/>
        <item m="1" x="298"/>
        <item x="63"/>
        <item m="1" x="273"/>
        <item x="66"/>
        <item m="1" x="289"/>
        <item x="85"/>
        <item m="1" x="341"/>
        <item m="1" x="445"/>
        <item x="130"/>
        <item m="1" x="294"/>
        <item m="1" x="301"/>
        <item x="93"/>
        <item m="1" x="313"/>
        <item x="49"/>
        <item x="124"/>
        <item m="1" x="290"/>
        <item x="52"/>
        <item x="41"/>
        <item m="1" x="277"/>
        <item x="110"/>
        <item x="21"/>
        <item m="1" x="276"/>
        <item m="1" x="281"/>
        <item m="1" x="350"/>
        <item x="138"/>
        <item x="1"/>
        <item m="1" x="272"/>
        <item m="1" x="239"/>
        <item x="29"/>
        <item m="1" x="322"/>
        <item m="1" x="314"/>
        <item m="1" x="380"/>
        <item m="1" x="271"/>
        <item x="109"/>
        <item m="1" x="354"/>
        <item x="111"/>
        <item m="1" x="288"/>
        <item m="1" x="275"/>
        <item m="1" x="274"/>
        <item m="1" x="487"/>
        <item m="1" x="405"/>
        <item m="1" x="374"/>
        <item m="1" x="438"/>
        <item m="1" x="395"/>
        <item m="1" x="503"/>
        <item m="1" x="486"/>
        <item m="1" x="478"/>
        <item m="1" x="452"/>
        <item m="1" x="492"/>
        <item m="1" x="373"/>
        <item m="1" x="368"/>
        <item m="1" x="318"/>
        <item m="1" x="391"/>
        <item m="1" x="348"/>
        <item m="1" x="441"/>
        <item m="1" x="506"/>
        <item m="1" x="339"/>
        <item m="1" x="371"/>
        <item m="1" x="519"/>
        <item x="47"/>
        <item m="1" x="280"/>
        <item m="1" x="347"/>
        <item x="14"/>
        <item x="64"/>
        <item m="1" x="158"/>
        <item m="1" x="310"/>
        <item x="59"/>
        <item m="1" x="307"/>
        <item m="1" x="387"/>
        <item m="1" x="384"/>
        <item m="1" x="279"/>
        <item m="1" x="306"/>
        <item x="126"/>
        <item m="1" x="149"/>
        <item x="69"/>
        <item x="68"/>
        <item m="1" x="342"/>
        <item x="105"/>
        <item m="1" x="362"/>
        <item x="80"/>
        <item m="1" x="426"/>
        <item x="10"/>
        <item x="7"/>
        <item m="1" x="357"/>
        <item x="60"/>
        <item m="1" x="358"/>
        <item x="35"/>
        <item m="1" x="422"/>
        <item m="1" x="379"/>
        <item x="37"/>
        <item m="1" x="291"/>
        <item x="61"/>
        <item x="46"/>
        <item x="132"/>
        <item m="1" x="367"/>
        <item m="1" x="302"/>
        <item x="16"/>
        <item m="1" x="364"/>
        <item x="28"/>
        <item m="1" x="303"/>
        <item m="1" x="287"/>
        <item m="1" x="420"/>
        <item m="1" x="311"/>
        <item x="75"/>
        <item m="1" x="383"/>
        <item x="2"/>
        <item m="1" x="495"/>
        <item x="113"/>
        <item m="1" x="427"/>
        <item x="42"/>
        <item x="12"/>
        <item x="121"/>
        <item x="87"/>
        <item m="1" x="385"/>
        <item m="1" x="334"/>
        <item m="1" x="308"/>
        <item m="1" x="388"/>
        <item m="1" x="300"/>
        <item x="77"/>
        <item m="1" x="494"/>
        <item m="1" x="284"/>
        <item x="102"/>
        <item m="1" x="518"/>
        <item m="1" x="278"/>
        <item x="92"/>
        <item m="1" x="305"/>
        <item m="1" x="376"/>
        <item m="1" x="490"/>
        <item m="1" x="299"/>
        <item x="96"/>
        <item m="1" x="309"/>
        <item m="1" x="267"/>
        <item m="1" x="292"/>
        <item m="1" x="351"/>
        <item m="1" x="389"/>
        <item m="1" x="444"/>
        <item m="1" x="446"/>
        <item m="1" x="447"/>
        <item m="1" x="448"/>
        <item m="1" x="450"/>
        <item m="1" x="173"/>
        <item x="89"/>
        <item m="1" x="440"/>
        <item m="1" x="282"/>
        <item x="3"/>
        <item m="1" x="189"/>
        <item m="1" x="190"/>
        <item x="97"/>
        <item m="1" x="192"/>
        <item m="1" x="191"/>
        <item m="1" x="205"/>
        <item m="1" x="198"/>
        <item m="1" x="204"/>
        <item m="1" x="201"/>
        <item m="1" x="199"/>
        <item x="8"/>
        <item x="90"/>
        <item m="1" x="203"/>
        <item m="1" x="206"/>
        <item m="1" x="208"/>
        <item m="1" x="209"/>
        <item m="1" x="221"/>
        <item x="143"/>
        <item m="1" x="215"/>
        <item x="104"/>
        <item m="1" x="222"/>
        <item m="1" x="224"/>
        <item x="38"/>
        <item m="1" x="218"/>
        <item x="136"/>
        <item m="1" x="235"/>
        <item m="1" x="225"/>
        <item m="1" x="223"/>
        <item m="1" x="234"/>
        <item m="1" x="232"/>
        <item m="1" x="226"/>
        <item m="1" x="243"/>
        <item m="1" x="214"/>
        <item m="1" x="220"/>
        <item x="115"/>
        <item m="1" x="217"/>
        <item m="1" x="216"/>
        <item m="1" x="231"/>
        <item m="1" x="228"/>
        <item m="1" x="229"/>
        <item x="22"/>
        <item m="1" x="240"/>
        <item m="1" x="238"/>
        <item m="1" x="268"/>
        <item m="1" x="244"/>
        <item m="1" x="212"/>
        <item m="1" x="241"/>
        <item m="1" x="210"/>
        <item m="1" x="253"/>
        <item m="1" x="250"/>
        <item m="1" x="246"/>
        <item m="1" x="211"/>
        <item m="1" x="242"/>
        <item m="1" x="269"/>
        <item m="1" x="270"/>
        <item m="1" x="227"/>
        <item m="1" x="248"/>
        <item m="1" x="219"/>
        <item m="1" x="194"/>
        <item m="1" x="197"/>
        <item m="1" x="200"/>
        <item m="1" x="196"/>
        <item m="1" x="207"/>
        <item m="1" x="251"/>
        <item m="1" x="252"/>
        <item m="1" x="265"/>
        <item m="1" x="264"/>
        <item m="1" x="263"/>
        <item m="1" x="255"/>
        <item m="1" x="256"/>
        <item x="62"/>
        <item x="48"/>
        <item m="1" x="254"/>
        <item m="1" x="257"/>
        <item x="83"/>
        <item m="1" x="260"/>
        <item m="1" x="245"/>
        <item x="71"/>
        <item x="100"/>
        <item x="25"/>
        <item x="39"/>
        <item x="20"/>
        <item x="13"/>
        <item x="101"/>
        <item x="73"/>
        <item x="134"/>
        <item x="70"/>
        <item x="135"/>
        <item x="116"/>
        <item x="91"/>
        <item x="72"/>
        <item x="120"/>
        <item x="51"/>
        <item x="31"/>
        <item x="54"/>
        <item x="144"/>
        <item x="117"/>
        <item x="34"/>
        <item x="9"/>
        <item x="118"/>
        <item x="119"/>
        <item x="122"/>
        <item x="74"/>
        <item x="56"/>
        <item x="36"/>
        <item x="95"/>
        <item x="32"/>
        <item x="30"/>
        <item x="103"/>
        <item x="17"/>
        <item x="99"/>
        <item x="123"/>
        <item x="67"/>
        <item m="1" x="150"/>
        <item x="125"/>
        <item x="139"/>
        <item x="94"/>
        <item x="18"/>
        <item x="0"/>
        <item m="1" x="188"/>
        <item x="106"/>
        <item x="78"/>
        <item x="45"/>
        <item x="24"/>
        <item x="50"/>
        <item x="140"/>
        <item x="107"/>
        <item x="79"/>
        <item x="43"/>
        <item x="127"/>
        <item x="6"/>
        <item x="81"/>
        <item x="11"/>
        <item x="65"/>
        <item x="137"/>
        <item x="108"/>
        <item x="19"/>
        <item x="55"/>
        <item x="76"/>
        <item m="1" x="187"/>
        <item x="44"/>
        <item x="141"/>
        <item x="33"/>
        <item x="131"/>
        <item x="84"/>
        <item x="86"/>
        <item x="23"/>
        <item x="40"/>
        <item x="58"/>
        <item x="112"/>
        <item x="145"/>
        <item x="98"/>
        <item x="88"/>
        <item m="1" x="157"/>
        <item m="1" x="182"/>
        <item x="128"/>
        <item m="1" x="172"/>
        <item m="1" x="174"/>
        <item m="1" x="175"/>
        <item m="1" x="176"/>
        <item m="1" x="155"/>
        <item m="1" x="154"/>
        <item m="1" x="170"/>
        <item m="1" x="171"/>
        <item x="26"/>
        <item x="142"/>
        <item m="1" x="156"/>
        <item m="1" x="148"/>
        <item x="147"/>
        <item m="1" x="177"/>
        <item m="1" x="178"/>
        <item m="1" x="179"/>
        <item m="1" x="181"/>
        <item m="1" x="169"/>
        <item m="1" x="183"/>
        <item m="1" x="185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</items>
    </pivotField>
    <pivotField axis="axisRow" compact="0" outline="0" showAll="0" defaultSubtotal="0">
      <items count="725">
        <item x="5"/>
        <item m="1" x="669"/>
        <item m="1" x="682"/>
        <item m="1" x="672"/>
        <item m="1" x="683"/>
        <item m="1" x="686"/>
        <item m="1" x="675"/>
        <item m="1" x="677"/>
        <item m="1" x="685"/>
        <item m="1" x="687"/>
        <item m="1" x="681"/>
        <item m="1" x="684"/>
        <item m="1" x="678"/>
        <item m="1" x="663"/>
        <item m="1" x="676"/>
        <item m="1" x="720"/>
        <item m="1" x="656"/>
        <item m="1" x="664"/>
        <item m="1" x="624"/>
        <item m="1" x="653"/>
        <item m="1" x="490"/>
        <item m="1" x="709"/>
        <item m="1" x="680"/>
        <item m="1" x="723"/>
        <item x="208"/>
        <item m="1" x="546"/>
        <item m="1" x="531"/>
        <item m="1" x="679"/>
        <item m="1" x="486"/>
        <item m="1" x="387"/>
        <item m="1" x="718"/>
        <item x="31"/>
        <item m="1" x="484"/>
        <item m="1" x="692"/>
        <item x="134"/>
        <item m="1" x="418"/>
        <item m="1" x="671"/>
        <item m="1" x="665"/>
        <item m="1" x="488"/>
        <item m="1" x="292"/>
        <item m="1" x="540"/>
        <item m="1" x="596"/>
        <item m="1" x="690"/>
        <item m="1" x="721"/>
        <item m="1" x="300"/>
        <item m="1" x="480"/>
        <item m="1" x="575"/>
        <item m="1" x="715"/>
        <item m="1" x="648"/>
        <item m="1" x="562"/>
        <item x="77"/>
        <item m="1" x="349"/>
        <item m="1" x="710"/>
        <item m="1" x="592"/>
        <item m="1" x="478"/>
        <item m="1" x="313"/>
        <item x="248"/>
        <item m="1" x="535"/>
        <item m="1" x="645"/>
        <item m="1" x="298"/>
        <item x="152"/>
        <item m="1" x="569"/>
        <item m="1" x="717"/>
        <item m="1" x="719"/>
        <item x="20"/>
        <item m="1" x="705"/>
        <item m="1" x="568"/>
        <item m="1" x="694"/>
        <item m="1" x="693"/>
        <item m="1" x="545"/>
        <item m="1" x="633"/>
        <item m="1" x="713"/>
        <item m="1" x="695"/>
        <item m="1" x="598"/>
        <item x="46"/>
        <item m="1" x="638"/>
        <item m="1" x="304"/>
        <item x="93"/>
        <item x="144"/>
        <item m="1" x="461"/>
        <item x="279"/>
        <item x="156"/>
        <item m="1" x="704"/>
        <item x="70"/>
        <item m="1" x="673"/>
        <item m="1" x="306"/>
        <item m="1" x="544"/>
        <item m="1" x="613"/>
        <item m="1" x="698"/>
        <item m="1" x="323"/>
        <item m="1" x="608"/>
        <item x="209"/>
        <item m="1" x="414"/>
        <item m="1" x="660"/>
        <item x="173"/>
        <item m="1" x="724"/>
        <item x="178"/>
        <item m="1" x="712"/>
        <item x="98"/>
        <item x="277"/>
        <item m="1" x="528"/>
        <item x="119"/>
        <item m="1" x="636"/>
        <item m="1" x="332"/>
        <item x="256"/>
        <item m="1" x="652"/>
        <item m="1" x="423"/>
        <item m="1" x="662"/>
        <item x="133"/>
        <item m="1" x="661"/>
        <item x="262"/>
        <item m="1" x="649"/>
        <item m="1" x="365"/>
        <item m="1" x="533"/>
        <item m="1" x="639"/>
        <item m="1" x="520"/>
        <item m="1" x="655"/>
        <item m="1" x="434"/>
        <item m="1" x="722"/>
        <item m="1" x="477"/>
        <item m="1" x="594"/>
        <item m="1" x="708"/>
        <item x="42"/>
        <item m="1" x="702"/>
        <item x="72"/>
        <item m="1" x="646"/>
        <item m="1" x="654"/>
        <item m="1" x="637"/>
        <item m="1" x="641"/>
        <item m="1" x="458"/>
        <item m="1" x="479"/>
        <item x="78"/>
        <item m="1" x="696"/>
        <item m="1" x="563"/>
        <item x="222"/>
        <item m="1" x="410"/>
        <item m="1" x="530"/>
        <item m="1" x="385"/>
        <item x="60"/>
        <item m="1" x="630"/>
        <item m="1" x="651"/>
        <item m="1" x="318"/>
        <item m="1" x="644"/>
        <item x="252"/>
        <item m="1" x="714"/>
        <item m="1" x="583"/>
        <item m="1" x="425"/>
        <item m="1" x="538"/>
        <item m="1" x="588"/>
        <item x="64"/>
        <item m="1" x="555"/>
        <item m="1" x="599"/>
        <item m="1" x="527"/>
        <item m="1" x="585"/>
        <item m="1" x="539"/>
        <item x="115"/>
        <item m="1" x="703"/>
        <item m="1" x="459"/>
        <item m="1" x="571"/>
        <item m="1" x="711"/>
        <item m="1" x="561"/>
        <item m="1" x="516"/>
        <item m="1" x="647"/>
        <item m="1" x="449"/>
        <item x="59"/>
        <item m="1" x="642"/>
        <item m="1" x="517"/>
        <item m="1" x="491"/>
        <item m="1" x="689"/>
        <item x="138"/>
        <item m="1" x="558"/>
        <item m="1" x="557"/>
        <item m="1" x="658"/>
        <item m="1" x="707"/>
        <item m="1" x="351"/>
        <item m="1" x="600"/>
        <item x="55"/>
        <item m="1" x="543"/>
        <item m="1" x="565"/>
        <item m="1" x="574"/>
        <item m="1" x="635"/>
        <item m="1" x="593"/>
        <item m="1" x="290"/>
        <item m="1" x="454"/>
        <item m="1" x="700"/>
        <item m="1" x="441"/>
        <item m="1" x="597"/>
        <item m="1" x="595"/>
        <item x="210"/>
        <item m="1" x="631"/>
        <item m="1" x="482"/>
        <item x="73"/>
        <item m="1" x="634"/>
        <item m="1" x="453"/>
        <item m="1" x="560"/>
        <item m="1" x="308"/>
        <item x="150"/>
        <item m="1" x="537"/>
        <item m="1" x="697"/>
        <item m="1" x="570"/>
        <item m="1" x="442"/>
        <item m="1" x="579"/>
        <item x="113"/>
        <item m="1" x="552"/>
        <item m="1" x="716"/>
        <item m="1" x="455"/>
        <item m="1" x="443"/>
        <item m="1" x="628"/>
        <item m="1" x="606"/>
        <item m="1" x="445"/>
        <item m="1" x="532"/>
        <item m="1" x="629"/>
        <item x="23"/>
        <item m="1" x="446"/>
        <item m="1" x="670"/>
        <item m="1" x="580"/>
        <item m="1" x="463"/>
        <item m="1" x="605"/>
        <item m="1" x="643"/>
        <item m="1" x="573"/>
        <item m="1" x="614"/>
        <item m="1" x="515"/>
        <item m="1" x="466"/>
        <item m="1" x="621"/>
        <item m="1" x="448"/>
        <item m="1" x="547"/>
        <item m="1" x="475"/>
        <item m="1" x="617"/>
        <item m="1" x="470"/>
        <item x="44"/>
        <item m="1" x="701"/>
        <item m="1" x="511"/>
        <item m="1" x="611"/>
        <item m="1" x="464"/>
        <item m="1" x="674"/>
        <item m="1" x="551"/>
        <item m="1" x="431"/>
        <item m="1" x="444"/>
        <item m="1" x="550"/>
        <item m="1" x="567"/>
        <item m="1" x="549"/>
        <item m="1" x="450"/>
        <item m="1" x="576"/>
        <item m="1" x="582"/>
        <item m="1" x="518"/>
        <item m="1" x="559"/>
        <item m="1" x="667"/>
        <item m="1" x="586"/>
        <item x="62"/>
        <item x="25"/>
        <item m="1" x="566"/>
        <item m="1" x="451"/>
        <item m="1" x="460"/>
        <item m="1" x="457"/>
        <item m="1" x="668"/>
        <item m="1" x="462"/>
        <item m="1" x="467"/>
        <item m="1" x="578"/>
        <item m="1" x="699"/>
        <item m="1" x="587"/>
        <item m="1" x="554"/>
        <item m="1" x="619"/>
        <item m="1" x="362"/>
        <item m="1" x="529"/>
        <item m="1" x="616"/>
        <item m="1" x="607"/>
        <item m="1" x="601"/>
        <item m="1" x="577"/>
        <item m="1" x="623"/>
        <item m="1" x="572"/>
        <item m="1" x="581"/>
        <item m="1" x="618"/>
        <item m="1" x="589"/>
        <item m="1" x="456"/>
        <item m="1" x="469"/>
        <item m="1" x="513"/>
        <item m="1" x="691"/>
        <item m="1" x="512"/>
        <item m="1" x="483"/>
        <item m="1" x="447"/>
        <item m="1" x="556"/>
        <item m="1" x="564"/>
        <item m="1" x="548"/>
        <item m="1" x="706"/>
        <item m="1" x="542"/>
        <item m="1" x="465"/>
        <item m="1" x="627"/>
        <item m="1" x="526"/>
        <item m="1" x="591"/>
        <item m="1" x="590"/>
        <item m="1" x="612"/>
        <item m="1" x="584"/>
        <item m="1" x="514"/>
        <item m="1" x="536"/>
        <item m="1" x="553"/>
        <item m="1" x="602"/>
        <item m="1" x="521"/>
        <item m="1" x="510"/>
        <item m="1" x="620"/>
        <item m="1" x="603"/>
        <item m="1" x="452"/>
        <item m="1" x="609"/>
        <item m="1" x="688"/>
        <item m="1" x="622"/>
        <item m="1" x="519"/>
        <item m="1" x="604"/>
        <item m="1" x="666"/>
        <item m="1" x="615"/>
        <item m="1" x="534"/>
        <item m="1" x="626"/>
        <item m="1" x="650"/>
        <item m="1" x="640"/>
        <item m="1" x="468"/>
        <item m="1" x="541"/>
        <item m="1" x="625"/>
        <item m="1" x="471"/>
        <item m="1" x="472"/>
        <item m="1" x="473"/>
        <item m="1" x="474"/>
        <item m="1" x="476"/>
        <item m="1" x="481"/>
        <item m="1" x="485"/>
        <item m="1" x="487"/>
        <item m="1" x="489"/>
        <item m="1" x="493"/>
        <item m="1" x="500"/>
        <item m="1" x="494"/>
        <item m="1" x="496"/>
        <item m="1" x="495"/>
        <item m="1" x="498"/>
        <item m="1" x="499"/>
        <item m="1" x="497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22"/>
        <item m="1" x="610"/>
        <item m="1" x="632"/>
        <item m="1" x="657"/>
        <item m="1" x="659"/>
        <item m="1" x="492"/>
        <item m="1" x="524"/>
        <item m="1" x="523"/>
        <item m="1" x="525"/>
        <item m="1" x="334"/>
        <item m="1" x="335"/>
        <item m="1" x="336"/>
        <item m="1" x="333"/>
        <item m="1" x="339"/>
        <item m="1" x="337"/>
        <item m="1" x="344"/>
        <item m="1" x="342"/>
        <item m="1" x="343"/>
        <item m="1" x="340"/>
        <item x="174"/>
        <item m="1" x="350"/>
        <item m="1" x="348"/>
        <item m="1" x="347"/>
        <item x="268"/>
        <item m="1" x="341"/>
        <item m="1" x="369"/>
        <item m="1" x="357"/>
        <item m="1" x="352"/>
        <item m="1" x="368"/>
        <item m="1" x="363"/>
        <item m="1" x="345"/>
        <item m="1" x="358"/>
        <item m="1" x="372"/>
        <item m="1" x="367"/>
        <item m="1" x="355"/>
        <item m="1" x="353"/>
        <item m="1" x="378"/>
        <item m="1" x="360"/>
        <item m="1" x="408"/>
        <item m="1" x="359"/>
        <item x="128"/>
        <item m="1" x="364"/>
        <item m="1" x="366"/>
        <item x="163"/>
        <item m="1" x="371"/>
        <item m="1" x="361"/>
        <item m="1" x="374"/>
        <item x="57"/>
        <item m="1" x="375"/>
        <item m="1" x="370"/>
        <item m="1" x="380"/>
        <item m="1" x="382"/>
        <item m="1" x="397"/>
        <item m="1" x="379"/>
        <item x="272"/>
        <item m="1" x="390"/>
        <item m="1" x="389"/>
        <item m="1" x="381"/>
        <item m="1" x="386"/>
        <item m="1" x="419"/>
        <item x="182"/>
        <item m="1" x="398"/>
        <item m="1" x="392"/>
        <item m="1" x="401"/>
        <item x="68"/>
        <item m="1" x="396"/>
        <item x="1"/>
        <item m="1" x="393"/>
        <item x="111"/>
        <item x="260"/>
        <item m="1" x="394"/>
        <item m="1" x="399"/>
        <item x="12"/>
        <item m="1" x="404"/>
        <item m="1" x="416"/>
        <item m="1" x="402"/>
        <item x="237"/>
        <item m="1" x="400"/>
        <item m="1" x="415"/>
        <item m="1" x="413"/>
        <item m="1" x="403"/>
        <item m="1" x="406"/>
        <item m="1" x="388"/>
        <item x="239"/>
        <item x="17"/>
        <item m="1" x="391"/>
        <item m="1" x="412"/>
        <item m="1" x="407"/>
        <item m="1" x="417"/>
        <item m="1" x="346"/>
        <item m="1" x="338"/>
        <item m="1" x="420"/>
        <item m="1" x="377"/>
        <item m="1" x="439"/>
        <item m="1" x="421"/>
        <item m="1" x="376"/>
        <item m="1" x="383"/>
        <item m="1" x="429"/>
        <item m="1" x="296"/>
        <item m="1" x="384"/>
        <item m="1" x="411"/>
        <item m="1" x="440"/>
        <item m="1" x="405"/>
        <item x="244"/>
        <item m="1" x="409"/>
        <item x="135"/>
        <item x="88"/>
        <item x="0"/>
        <item m="1" x="438"/>
        <item m="1" x="354"/>
        <item x="48"/>
        <item m="1" x="356"/>
        <item m="1" x="373"/>
        <item m="1" x="395"/>
        <item m="1" x="424"/>
        <item m="1" x="426"/>
        <item m="1" x="427"/>
        <item m="1" x="437"/>
        <item x="34"/>
        <item m="1" x="436"/>
        <item x="19"/>
        <item x="82"/>
        <item m="1" x="430"/>
        <item m="1" x="432"/>
        <item m="1" x="433"/>
        <item m="1" x="435"/>
        <item m="1" x="428"/>
        <item m="1" x="422"/>
        <item x="110"/>
        <item x="159"/>
        <item x="66"/>
        <item x="161"/>
        <item x="69"/>
        <item x="45"/>
        <item x="105"/>
        <item x="126"/>
        <item x="124"/>
        <item x="234"/>
        <item x="26"/>
        <item x="211"/>
        <item x="233"/>
        <item x="127"/>
        <item x="180"/>
        <item x="97"/>
        <item x="181"/>
        <item x="99"/>
        <item x="102"/>
        <item x="125"/>
        <item x="79"/>
        <item x="167"/>
        <item x="170"/>
        <item x="63"/>
        <item x="235"/>
        <item x="243"/>
        <item x="278"/>
        <item x="24"/>
        <item x="74"/>
        <item x="130"/>
        <item x="258"/>
        <item x="122"/>
        <item x="212"/>
        <item x="160"/>
        <item x="184"/>
        <item x="215"/>
        <item x="129"/>
        <item x="217"/>
        <item x="131"/>
        <item x="236"/>
        <item x="218"/>
        <item x="30"/>
        <item x="274"/>
        <item x="90"/>
        <item x="28"/>
        <item x="177"/>
        <item x="221"/>
        <item x="273"/>
        <item x="56"/>
        <item x="91"/>
        <item x="213"/>
        <item x="176"/>
        <item x="214"/>
        <item x="216"/>
        <item x="225"/>
        <item x="249"/>
        <item x="183"/>
        <item x="80"/>
        <item x="219"/>
        <item x="250"/>
        <item x="109"/>
        <item x="76"/>
        <item x="139"/>
        <item x="35"/>
        <item x="132"/>
        <item x="37"/>
        <item x="187"/>
        <item x="94"/>
        <item x="58"/>
        <item x="185"/>
        <item x="165"/>
        <item x="53"/>
        <item x="100"/>
        <item x="2"/>
        <item x="51"/>
        <item x="220"/>
        <item x="172"/>
        <item x="186"/>
        <item x="253"/>
        <item x="108"/>
        <item x="29"/>
        <item x="179"/>
        <item x="188"/>
        <item x="223"/>
        <item x="117"/>
        <item x="226"/>
        <item x="11"/>
        <item m="1" x="286"/>
        <item x="259"/>
        <item x="229"/>
        <item x="224"/>
        <item x="106"/>
        <item x="33"/>
        <item x="251"/>
        <item x="265"/>
        <item x="164"/>
        <item x="136"/>
        <item x="16"/>
        <item x="137"/>
        <item x="52"/>
        <item x="230"/>
        <item x="190"/>
        <item x="162"/>
        <item x="193"/>
        <item x="191"/>
        <item x="140"/>
        <item x="95"/>
        <item x="75"/>
        <item x="189"/>
        <item x="116"/>
        <item x="81"/>
        <item x="85"/>
        <item x="38"/>
        <item x="192"/>
        <item x="141"/>
        <item x="143"/>
        <item x="261"/>
        <item x="231"/>
        <item x="9"/>
        <item x="83"/>
        <item x="47"/>
        <item x="142"/>
        <item x="21"/>
        <item x="84"/>
        <item x="3"/>
        <item x="196"/>
        <item x="194"/>
        <item x="32"/>
        <item m="1" x="284"/>
        <item x="276"/>
        <item x="195"/>
        <item x="146"/>
        <item x="36"/>
        <item x="67"/>
        <item x="27"/>
        <item x="205"/>
        <item x="158"/>
        <item x="199"/>
        <item x="49"/>
        <item x="114"/>
        <item x="8"/>
        <item x="148"/>
        <item m="1" x="331"/>
        <item x="92"/>
        <item x="254"/>
        <item x="149"/>
        <item x="228"/>
        <item x="86"/>
        <item x="227"/>
        <item x="206"/>
        <item x="145"/>
        <item x="175"/>
        <item x="198"/>
        <item x="266"/>
        <item x="54"/>
        <item x="107"/>
        <item x="169"/>
        <item x="245"/>
        <item x="4"/>
        <item x="18"/>
        <item x="87"/>
        <item x="7"/>
        <item x="201"/>
        <item x="166"/>
        <item x="207"/>
        <item x="147"/>
        <item x="263"/>
        <item x="151"/>
        <item x="104"/>
        <item x="89"/>
        <item x="246"/>
        <item x="197"/>
        <item x="10"/>
        <item x="200"/>
        <item x="15"/>
        <item x="39"/>
        <item x="247"/>
        <item x="41"/>
        <item x="65"/>
        <item x="204"/>
        <item m="1" x="329"/>
        <item x="240"/>
        <item x="153"/>
        <item x="13"/>
        <item x="202"/>
        <item x="61"/>
        <item x="101"/>
        <item x="242"/>
        <item x="171"/>
        <item x="14"/>
        <item x="121"/>
        <item x="43"/>
        <item x="71"/>
        <item x="264"/>
        <item x="267"/>
        <item x="157"/>
        <item x="203"/>
        <item x="238"/>
        <item x="50"/>
        <item x="103"/>
        <item x="40"/>
        <item x="120"/>
        <item m="1" x="287"/>
        <item x="118"/>
        <item x="255"/>
        <item m="1" x="285"/>
        <item x="168"/>
        <item x="154"/>
        <item x="112"/>
        <item x="257"/>
        <item m="1" x="293"/>
        <item x="275"/>
        <item m="1" x="294"/>
        <item x="155"/>
        <item x="123"/>
        <item m="1" x="311"/>
        <item m="1" x="321"/>
        <item m="1" x="320"/>
        <item x="232"/>
        <item x="281"/>
        <item x="22"/>
        <item m="1" x="297"/>
        <item m="1" x="307"/>
        <item m="1" x="309"/>
        <item m="1" x="310"/>
        <item x="241"/>
        <item x="280"/>
        <item m="1" x="314"/>
        <item x="283"/>
        <item x="269"/>
        <item x="282"/>
        <item m="1" x="291"/>
        <item x="271"/>
        <item x="270"/>
        <item m="1" x="295"/>
        <item x="6"/>
        <item m="1" x="312"/>
        <item m="1" x="315"/>
        <item m="1" x="316"/>
        <item m="1" x="317"/>
        <item m="1" x="319"/>
        <item m="1" x="289"/>
        <item m="1" x="322"/>
        <item m="1" x="324"/>
        <item m="1" x="325"/>
        <item m="1" x="326"/>
        <item m="1" x="327"/>
        <item m="1" x="328"/>
        <item m="1" x="330"/>
        <item m="1" x="299"/>
        <item m="1" x="288"/>
        <item m="1" x="301"/>
        <item m="1" x="302"/>
        <item x="96"/>
        <item m="1" x="303"/>
        <item m="1" x="305"/>
      </items>
    </pivotField>
    <pivotField axis="axisRow" compact="0" outline="0" showAll="0" defaultSubtotal="0">
      <items count="130">
        <item m="1" x="129"/>
        <item m="1" x="108"/>
        <item x="45"/>
        <item x="9"/>
        <item x="33"/>
        <item m="1" x="96"/>
        <item m="1" x="99"/>
        <item x="48"/>
        <item m="1" x="72"/>
        <item x="2"/>
        <item x="25"/>
        <item x="23"/>
        <item m="1" x="103"/>
        <item m="1" x="85"/>
        <item x="4"/>
        <item m="1" x="104"/>
        <item m="1" x="120"/>
        <item x="0"/>
        <item m="1" x="100"/>
        <item m="1" x="105"/>
        <item x="11"/>
        <item m="1" x="97"/>
        <item x="35"/>
        <item x="1"/>
        <item x="38"/>
        <item m="1" x="119"/>
        <item x="5"/>
        <item x="55"/>
        <item x="14"/>
        <item x="51"/>
        <item m="1" x="98"/>
        <item x="28"/>
        <item x="46"/>
        <item x="39"/>
        <item m="1" x="110"/>
        <item x="15"/>
        <item x="16"/>
        <item m="1" x="102"/>
        <item x="24"/>
        <item x="34"/>
        <item x="32"/>
        <item m="1" x="107"/>
        <item m="1" x="124"/>
        <item x="36"/>
        <item m="1" x="122"/>
        <item m="1" x="95"/>
        <item x="12"/>
        <item x="31"/>
        <item x="6"/>
        <item x="41"/>
        <item x="29"/>
        <item m="1" x="128"/>
        <item m="1" x="63"/>
        <item x="21"/>
        <item m="1" x="67"/>
        <item m="1" x="125"/>
        <item x="10"/>
        <item x="57"/>
        <item m="1" x="114"/>
        <item x="37"/>
        <item x="20"/>
        <item x="18"/>
        <item m="1" x="115"/>
        <item m="1" x="111"/>
        <item m="1" x="86"/>
        <item m="1" x="76"/>
        <item x="13"/>
        <item x="7"/>
        <item m="1" x="109"/>
        <item x="27"/>
        <item m="1" x="106"/>
        <item m="1" x="116"/>
        <item m="1" x="112"/>
        <item x="19"/>
        <item m="1" x="101"/>
        <item x="52"/>
        <item m="1" x="113"/>
        <item m="1" x="90"/>
        <item m="1" x="126"/>
        <item m="1" x="71"/>
        <item m="1" x="127"/>
        <item m="1" x="118"/>
        <item m="1" x="123"/>
        <item m="1" x="121"/>
        <item x="26"/>
        <item m="1" x="117"/>
        <item x="3"/>
        <item m="1" x="69"/>
        <item m="1" x="70"/>
        <item m="1" x="73"/>
        <item m="1" x="79"/>
        <item m="1" x="78"/>
        <item m="1" x="80"/>
        <item m="1" x="83"/>
        <item m="1" x="82"/>
        <item m="1" x="84"/>
        <item m="1" x="89"/>
        <item m="1" x="77"/>
        <item m="1" x="88"/>
        <item m="1" x="87"/>
        <item m="1" x="94"/>
        <item m="1" x="81"/>
        <item m="1" x="74"/>
        <item m="1" x="75"/>
        <item x="50"/>
        <item m="1" x="93"/>
        <item m="1" x="92"/>
        <item m="1" x="91"/>
        <item x="59"/>
        <item x="54"/>
        <item x="42"/>
        <item x="17"/>
        <item x="47"/>
        <item x="40"/>
        <item m="1" x="65"/>
        <item x="44"/>
        <item x="30"/>
        <item x="43"/>
        <item x="22"/>
        <item x="53"/>
        <item x="49"/>
        <item x="8"/>
        <item x="56"/>
        <item m="1" x="60"/>
        <item x="58"/>
        <item m="1" x="62"/>
        <item m="1" x="61"/>
        <item m="1" x="66"/>
        <item m="1" x="68"/>
        <item m="1" x="64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12">
    <field x="0"/>
    <field x="2"/>
    <field x="3"/>
    <field x="4"/>
    <field x="5"/>
    <field x="6"/>
    <field x="7"/>
    <field x="8"/>
    <field x="9"/>
    <field x="10"/>
    <field x="11"/>
    <field x="12"/>
  </rowFields>
  <rowItems count="357">
    <i>
      <x v="782"/>
      <x v="27"/>
      <x v="477"/>
      <x v="4"/>
      <x v="704"/>
      <x v="117"/>
      <x v="70"/>
      <x/>
      <x/>
      <x v="209"/>
      <x v="538"/>
      <x v="46"/>
    </i>
    <i>
      <x v="22"/>
      <x v="6"/>
      <x v="89"/>
      <x v="4"/>
      <x v="16"/>
      <x v="511"/>
      <x v="311"/>
      <x/>
      <x/>
      <x v="179"/>
      <x v="473"/>
      <x v="86"/>
    </i>
    <i>
      <x v="24"/>
      <x v="6"/>
      <x v="86"/>
      <x v="4"/>
      <x v="29"/>
      <x v="515"/>
      <x v="313"/>
      <x/>
      <x/>
      <x v="179"/>
      <x v="475"/>
      <x v="86"/>
    </i>
    <i>
      <x v="960"/>
      <x v="27"/>
      <x v="602"/>
      <x v="1"/>
      <x v="880"/>
      <x v="48"/>
      <x v="62"/>
      <x v="18"/>
      <x/>
      <x v="86"/>
      <x v="78"/>
      <x v="17"/>
    </i>
    <i>
      <x v="912"/>
      <x v="27"/>
      <x v="570"/>
      <x v="4"/>
      <x v="834"/>
      <x v="604"/>
      <x v="384"/>
      <x/>
      <x/>
      <x v="479"/>
      <x v="636"/>
      <x v="56"/>
    </i>
    <i>
      <x v="818"/>
      <x v="27"/>
      <x v="499"/>
      <x v="4"/>
      <x v="740"/>
      <x v="159"/>
      <x v="70"/>
      <x/>
      <x/>
      <x v="209"/>
      <x v="567"/>
      <x v="66"/>
    </i>
    <i>
      <x v="901"/>
      <x v="27"/>
      <x v="559"/>
      <x v="4"/>
      <x v="823"/>
      <x v="192"/>
      <x v="103"/>
      <x/>
      <x/>
      <x v="333"/>
      <x v="628"/>
      <x v="56"/>
    </i>
    <i>
      <x v="895"/>
      <x v="27"/>
      <x v="554"/>
      <x v="4"/>
      <x v="817"/>
      <x v="210"/>
      <x v="147"/>
      <x/>
      <x/>
      <x v="333"/>
      <x v="624"/>
      <x v="33"/>
    </i>
    <i>
      <x v="843"/>
      <x v="27"/>
      <x v="509"/>
      <x v="4"/>
      <x v="765"/>
      <x v="198"/>
      <x v="106"/>
      <x/>
      <x/>
      <x v="180"/>
      <x v="584"/>
      <x v="56"/>
    </i>
    <i>
      <x v="721"/>
      <x/>
      <x v="433"/>
      <x v="4"/>
      <x v="643"/>
      <x v="414"/>
      <x v="267"/>
      <x/>
      <x/>
      <x v="351"/>
      <x v="395"/>
      <x v="26"/>
    </i>
    <i>
      <x v="764"/>
      <x v="27"/>
      <x v="463"/>
      <x v="4"/>
      <x v="686"/>
      <x v="123"/>
      <x v="62"/>
      <x/>
      <x/>
      <x v="203"/>
      <x v="523"/>
      <x v="56"/>
    </i>
    <i>
      <x v="974"/>
      <x v="27"/>
      <x v="612"/>
      <x v="4"/>
      <x v="894"/>
      <x v="623"/>
      <x v="70"/>
      <x/>
      <x/>
      <x v="209"/>
      <x v="680"/>
      <x v="124"/>
    </i>
    <i>
      <x v="776"/>
      <x v="27"/>
      <x v="472"/>
      <x v="4"/>
      <x v="698"/>
      <x v="182"/>
      <x v="70"/>
      <x/>
      <x/>
      <x v="209"/>
      <x v="532"/>
      <x v="73"/>
    </i>
    <i>
      <x v="727"/>
      <x v="27"/>
      <x v="438"/>
      <x v="4"/>
      <x v="649"/>
      <x v="544"/>
      <x v="338"/>
      <x/>
      <x/>
      <x v="416"/>
      <x v="496"/>
      <x v="35"/>
    </i>
    <i>
      <x v="1013"/>
      <x v="27"/>
      <x v="639"/>
      <x v="1"/>
      <x v="934"/>
      <x v="117"/>
      <x v="78"/>
      <x v="9"/>
      <x/>
      <x v="498"/>
      <x v="74"/>
      <x v="38"/>
    </i>
    <i>
      <x v="770"/>
      <x v="27"/>
      <x v="468"/>
      <x v="4"/>
      <x v="692"/>
      <x v="562"/>
      <x v="350"/>
      <x/>
      <x/>
      <x v="435"/>
      <x v="527"/>
      <x v="4"/>
    </i>
    <i>
      <x v="1067"/>
      <x v="27"/>
      <x v="667"/>
      <x v="1"/>
      <x v="987"/>
      <x v="83"/>
      <x v="78"/>
      <x/>
      <x/>
      <x v="114"/>
      <x v="424"/>
      <x v="26"/>
    </i>
    <i>
      <x v="1022"/>
      <x v="27"/>
      <x v="644"/>
      <x/>
      <x v="943"/>
      <x v="186"/>
      <x v="162"/>
      <x/>
      <x/>
      <x v="502"/>
      <x v="134"/>
      <x v="11"/>
    </i>
    <i>
      <x v="919"/>
      <x v="27"/>
      <x v="577"/>
      <x v="4"/>
      <x v="841"/>
      <x v="236"/>
      <x v="170"/>
      <x/>
      <x/>
      <x v="224"/>
      <x v="642"/>
      <x v="26"/>
    </i>
    <i>
      <x v="908"/>
      <x/>
      <x v="566"/>
      <x v="4"/>
      <x v="830"/>
      <x v="602"/>
      <x v="383"/>
      <x/>
      <x/>
      <x v="333"/>
      <x v="633"/>
      <x v="17"/>
    </i>
    <i>
      <x v="715"/>
      <x v="27"/>
      <x v="428"/>
      <x v="4"/>
      <x v="637"/>
      <x v="527"/>
      <x v="322"/>
      <x/>
      <x/>
      <x v="411"/>
      <x v="482"/>
      <x v="46"/>
    </i>
    <i>
      <x v="320"/>
      <x v="6"/>
      <x v="78"/>
      <x v="4"/>
      <x v="20"/>
      <x v="516"/>
      <x v="314"/>
      <x/>
      <x/>
      <x v="179"/>
      <x v="476"/>
      <x v="86"/>
    </i>
    <i>
      <x v="942"/>
      <x/>
      <x v="594"/>
      <x v="4"/>
      <x v="863"/>
      <x v="617"/>
      <x v="278"/>
      <x/>
      <x/>
      <x v="333"/>
      <x v="662"/>
      <x v="122"/>
    </i>
    <i>
      <x v="587"/>
      <x v="27"/>
      <x v="359"/>
      <x v="4"/>
      <x v="530"/>
      <x v="227"/>
      <x v="155"/>
      <x/>
      <x/>
      <x v="206"/>
      <x v="405"/>
      <x v="35"/>
    </i>
    <i>
      <x v="868"/>
      <x v="27"/>
      <x v="531"/>
      <x v="4"/>
      <x v="790"/>
      <x v="212"/>
      <x v="375"/>
      <x/>
      <x/>
      <x v="333"/>
      <x v="602"/>
      <x v="3"/>
    </i>
    <i>
      <x v="25"/>
      <x v="6"/>
      <x v="80"/>
      <x v="4"/>
      <x v="25"/>
      <x v="521"/>
      <x v="317"/>
      <x/>
      <x/>
      <x v="179"/>
      <x v="478"/>
      <x v="86"/>
    </i>
    <i>
      <x v="34"/>
      <x v="13"/>
      <x v="294"/>
      <x v="4"/>
      <x v="46"/>
      <x v="532"/>
      <x v="327"/>
      <x/>
      <x/>
      <x v="179"/>
      <x v="486"/>
      <x v="86"/>
    </i>
    <i>
      <x v="739"/>
      <x v="27"/>
      <x v="446"/>
      <x v="4"/>
      <x v="661"/>
      <x v="551"/>
      <x v="66"/>
      <x/>
      <x/>
      <x v="425"/>
      <x v="506"/>
      <x v="11"/>
    </i>
    <i>
      <x v="785"/>
      <x v="27"/>
      <x v="478"/>
      <x v="4"/>
      <x v="707"/>
      <x v="251"/>
      <x v="168"/>
      <x/>
      <x/>
      <x v="333"/>
      <x v="541"/>
      <x v="43"/>
    </i>
    <i>
      <x v="883"/>
      <x/>
      <x v="546"/>
      <x v="4"/>
      <x v="805"/>
      <x v="146"/>
      <x v="120"/>
      <x/>
      <x/>
      <x v="187"/>
      <x v="613"/>
      <x v="26"/>
    </i>
    <i>
      <x v="1015"/>
      <x v="27"/>
      <x v="640"/>
      <x v="1"/>
      <x v="936"/>
      <x v="644"/>
      <x v="364"/>
      <x v="92"/>
      <x/>
      <x v="499"/>
      <x v="702"/>
      <x v="29"/>
    </i>
    <i>
      <x v="593"/>
      <x v="27"/>
      <x v="365"/>
      <x v="4"/>
      <x v="536"/>
      <x v="422"/>
      <x v="276"/>
      <x/>
      <x/>
      <x v="358"/>
      <x v="410"/>
      <x v="27"/>
    </i>
    <i>
      <x v="714"/>
      <x v="28"/>
      <x v="101"/>
      <x v="6"/>
      <x v="455"/>
      <x v="522"/>
      <x v="4"/>
      <x/>
      <x/>
      <x v="172"/>
      <x/>
      <x v="86"/>
    </i>
    <i>
      <x v="1014"/>
      <x v="27"/>
      <x v="638"/>
      <x v="1"/>
      <x v="935"/>
      <x v="643"/>
      <x v="23"/>
      <x v="82"/>
      <x/>
      <x v="472"/>
      <x v="169"/>
      <x v="24"/>
    </i>
    <i>
      <x v="35"/>
      <x v="6"/>
      <x v="83"/>
      <x v="4"/>
      <x v="18"/>
      <x v="524"/>
      <x v="319"/>
      <x/>
      <x/>
      <x v="179"/>
      <x v="480"/>
      <x v="86"/>
    </i>
    <i>
      <x v="946"/>
      <x/>
      <x v="597"/>
      <x v="4"/>
      <x v="867"/>
      <x v="619"/>
      <x v="384"/>
      <x/>
      <x/>
      <x v="479"/>
      <x v="636"/>
      <x v="14"/>
    </i>
    <i>
      <x v="541"/>
      <x v="8"/>
      <x v="318"/>
      <x v="4"/>
      <x v="484"/>
      <x v="523"/>
      <x v="318"/>
      <x/>
      <x/>
      <x v="179"/>
      <x v="479"/>
      <x v="86"/>
    </i>
    <i>
      <x v="622"/>
      <x v="28"/>
      <x v="101"/>
      <x v="6"/>
      <x v="455"/>
      <x v="492"/>
      <x v="4"/>
      <x/>
      <x/>
      <x v="172"/>
      <x/>
      <x v="86"/>
    </i>
    <i>
      <x v="788"/>
      <x v="28"/>
      <x v="480"/>
      <x v="6"/>
      <x v="710"/>
      <x v="26"/>
      <x v="352"/>
      <x/>
      <x/>
      <x v="441"/>
      <x v="543"/>
      <x v="84"/>
    </i>
    <i>
      <x v="936"/>
      <x v="10"/>
      <x v="592"/>
      <x v="4"/>
      <x v="22"/>
      <x v="614"/>
      <x v="391"/>
      <x/>
      <x/>
      <x v="179"/>
      <x v="658"/>
      <x v="86"/>
    </i>
    <i>
      <x v="704"/>
      <x v="28"/>
      <x v="101"/>
      <x v="6"/>
      <x v="455"/>
      <x v="503"/>
      <x v="4"/>
      <x/>
      <x/>
      <x v="172"/>
      <x/>
      <x v="86"/>
    </i>
    <i>
      <x v="772"/>
      <x v="27"/>
      <x v="469"/>
      <x v="4"/>
      <x v="694"/>
      <x v="111"/>
      <x v="78"/>
      <x/>
      <x/>
      <x v="214"/>
      <x v="529"/>
      <x v="36"/>
    </i>
    <i>
      <x v="1062"/>
      <x v="27"/>
      <x v="669"/>
      <x v="1"/>
      <x v="982"/>
      <x v="48"/>
      <x v="62"/>
      <x v="24"/>
      <x/>
      <x v="87"/>
      <x v="91"/>
      <x v="17"/>
    </i>
    <i>
      <x v="904"/>
      <x v="20"/>
      <x v="562"/>
      <x v="4"/>
      <x v="826"/>
      <x v="599"/>
      <x v="153"/>
      <x/>
      <x/>
      <x v="205"/>
      <x v="629"/>
      <x v="22"/>
    </i>
    <i>
      <x v="753"/>
      <x v="27"/>
      <x v="456"/>
      <x v="4"/>
      <x v="675"/>
      <x v="68"/>
      <x v="62"/>
      <x/>
      <x/>
      <x v="333"/>
      <x v="514"/>
      <x v="32"/>
    </i>
    <i>
      <x v="923"/>
      <x v="27"/>
      <x v="581"/>
      <x v="4"/>
      <x v="845"/>
      <x v="611"/>
      <x v="167"/>
      <x/>
      <x/>
      <x v="333"/>
      <x v="229"/>
      <x v="120"/>
    </i>
    <i>
      <x v="583"/>
      <x/>
      <x v="356"/>
      <x v="4"/>
      <x v="526"/>
      <x v="157"/>
      <x v="156"/>
      <x/>
      <x/>
      <x v="333"/>
      <x v="401"/>
      <x v="9"/>
    </i>
    <i>
      <x v="748"/>
      <x v="27"/>
      <x v="453"/>
      <x v="4"/>
      <x v="670"/>
      <x v="555"/>
      <x v="328"/>
      <x/>
      <x/>
      <x v="413"/>
      <x v="229"/>
      <x v="46"/>
    </i>
    <i>
      <x v="527"/>
      <x v="28"/>
      <x v="101"/>
      <x v="6"/>
      <x v="455"/>
      <x v="507"/>
      <x v="4"/>
      <x/>
      <x/>
      <x v="172"/>
      <x/>
      <x v="86"/>
    </i>
    <i>
      <x v="38"/>
      <x v="10"/>
      <x v="295"/>
      <x v="4"/>
      <x v="23"/>
      <x v="512"/>
      <x v="312"/>
      <x/>
      <x/>
      <x v="179"/>
      <x v="474"/>
      <x v="86"/>
    </i>
    <i>
      <x v="934"/>
      <x v="27"/>
      <x v="591"/>
      <x v="4"/>
      <x v="856"/>
      <x v="468"/>
      <x v="390"/>
      <x/>
      <x/>
      <x v="333"/>
      <x v="656"/>
      <x v="14"/>
    </i>
    <i>
      <x v="697"/>
      <x v="3"/>
      <x v="75"/>
      <x v="6"/>
      <x v="453"/>
      <x v="490"/>
      <x v="4"/>
      <x/>
      <x/>
      <x v="172"/>
      <x/>
      <x v="86"/>
    </i>
    <i>
      <x v="918"/>
      <x v="27"/>
      <x v="576"/>
      <x v="4"/>
      <x v="840"/>
      <x v="50"/>
      <x v="33"/>
      <x/>
      <x/>
      <x v="333"/>
      <x v="641"/>
      <x v="48"/>
    </i>
    <i>
      <x v="814"/>
      <x v="27"/>
      <x v="498"/>
      <x v="4"/>
      <x v="736"/>
      <x v="26"/>
      <x v="33"/>
      <x/>
      <x/>
      <x v="182"/>
      <x v="565"/>
      <x v="26"/>
    </i>
    <i>
      <x v="806"/>
      <x v="27"/>
      <x v="493"/>
      <x v="4"/>
      <x v="728"/>
      <x v="95"/>
      <x v="132"/>
      <x/>
      <x/>
      <x v="194"/>
      <x v="559"/>
      <x v="4"/>
    </i>
    <i>
      <x v="875"/>
      <x v="27"/>
      <x v="538"/>
      <x v="4"/>
      <x v="797"/>
      <x v="593"/>
      <x v="126"/>
      <x/>
      <x/>
      <x v="333"/>
      <x v="248"/>
      <x v="31"/>
    </i>
    <i>
      <x v="1012"/>
      <x v="27"/>
      <x v="638"/>
      <x v="1"/>
      <x v="933"/>
      <x v="642"/>
      <x v="33"/>
      <x v="9"/>
      <x/>
      <x v="11"/>
      <x v="98"/>
      <x v="24"/>
    </i>
    <i>
      <x v="693"/>
      <x v="3"/>
      <x v="75"/>
      <x v="6"/>
      <x v="453"/>
      <x v="481"/>
      <x v="4"/>
      <x/>
      <x/>
      <x v="172"/>
      <x/>
      <x v="86"/>
    </i>
    <i>
      <x v="905"/>
      <x v="28"/>
      <x v="563"/>
      <x v="4"/>
      <x v="827"/>
      <x v="600"/>
      <x v="381"/>
      <x/>
      <x/>
      <x v="179"/>
      <x v="630"/>
      <x v="14"/>
    </i>
    <i>
      <x v="801"/>
      <x v="27"/>
      <x v="490"/>
      <x v="4"/>
      <x v="723"/>
      <x v="192"/>
      <x v="124"/>
      <x/>
      <x/>
      <x v="333"/>
      <x v="554"/>
      <x v="43"/>
    </i>
    <i>
      <x v="783"/>
      <x v="27"/>
      <x v="338"/>
      <x v="4"/>
      <x v="705"/>
      <x v="565"/>
      <x v="351"/>
      <x/>
      <x/>
      <x v="439"/>
      <x v="539"/>
      <x v="2"/>
    </i>
    <i>
      <x v="891"/>
      <x v="30"/>
      <x v="551"/>
      <x v="4"/>
      <x v="813"/>
      <x v="457"/>
      <x v="142"/>
      <x/>
      <x/>
      <x v="333"/>
      <x v="620"/>
      <x v="46"/>
    </i>
    <i>
      <x v="535"/>
      <x v="13"/>
      <x v="313"/>
      <x v="4"/>
      <x v="478"/>
      <x v="540"/>
      <x v="335"/>
      <x/>
      <x/>
      <x v="179"/>
      <x v="493"/>
      <x v="86"/>
    </i>
    <i>
      <x v="913"/>
      <x v="27"/>
      <x v="571"/>
      <x v="4"/>
      <x v="835"/>
      <x v="605"/>
      <x v="385"/>
      <x/>
      <x/>
      <x v="333"/>
      <x v="196"/>
      <x v="49"/>
    </i>
    <i>
      <x v="741"/>
      <x v="27"/>
      <x v="447"/>
      <x v="6"/>
      <x v="663"/>
      <x v="27"/>
      <x v="33"/>
      <x/>
      <x/>
      <x v="299"/>
      <x v="212"/>
      <x v="28"/>
    </i>
    <i>
      <x v="810"/>
      <x v="27"/>
      <x v="495"/>
      <x v="4"/>
      <x v="732"/>
      <x v="169"/>
      <x v="86"/>
      <x/>
      <x/>
      <x v="333"/>
      <x v="229"/>
      <x v="56"/>
    </i>
    <i>
      <x v="939"/>
      <x v="28"/>
      <x v="563"/>
      <x v="4"/>
      <x v="860"/>
      <x v="616"/>
      <x v="381"/>
      <x/>
      <x/>
      <x v="179"/>
      <x v="630"/>
      <x v="10"/>
    </i>
    <i>
      <x v="872"/>
      <x v="27"/>
      <x v="535"/>
      <x v="1"/>
      <x v="794"/>
      <x v="349"/>
      <x v="23"/>
      <x v="82"/>
      <x/>
      <x v="472"/>
      <x v="604"/>
      <x v="56"/>
    </i>
    <i>
      <x v="869"/>
      <x v="27"/>
      <x v="532"/>
      <x v="4"/>
      <x v="791"/>
      <x v="590"/>
      <x v="111"/>
      <x/>
      <x/>
      <x v="183"/>
      <x v="603"/>
      <x v="36"/>
    </i>
    <i>
      <x v="596"/>
      <x/>
      <x v="367"/>
      <x v="4"/>
      <x v="539"/>
      <x v="425"/>
      <x v="105"/>
      <x/>
      <x/>
      <x v="333"/>
      <x v="413"/>
      <x v="67"/>
    </i>
    <i>
      <x v="944"/>
      <x v="27"/>
      <x v="595"/>
      <x v="4"/>
      <x v="865"/>
      <x v="568"/>
      <x v="78"/>
      <x/>
      <x/>
      <x v="214"/>
      <x v="664"/>
      <x v="60"/>
    </i>
    <i>
      <x v="930"/>
      <x v="27"/>
      <x v="588"/>
      <x v="4"/>
      <x v="852"/>
      <x v="612"/>
      <x v="388"/>
      <x/>
      <x/>
      <x v="333"/>
      <x v="652"/>
      <x v="121"/>
    </i>
    <i>
      <x v="911"/>
      <x v="20"/>
      <x v="569"/>
      <x v="4"/>
      <x v="833"/>
      <x v="603"/>
      <x v="162"/>
      <x/>
      <x/>
      <x v="213"/>
      <x v="635"/>
      <x v="40"/>
    </i>
    <i>
      <x v="775"/>
      <x v="27"/>
      <x v="471"/>
      <x v="6"/>
      <x v="697"/>
      <x v="563"/>
      <x v="53"/>
      <x/>
      <x/>
      <x v="307"/>
      <x v="531"/>
      <x v="17"/>
    </i>
    <i>
      <x v="590"/>
      <x v="27"/>
      <x v="362"/>
      <x v="4"/>
      <x v="533"/>
      <x v="76"/>
      <x v="78"/>
      <x/>
      <x/>
      <x v="214"/>
      <x v="407"/>
      <x v="23"/>
    </i>
    <i>
      <x v="887"/>
      <x v="30"/>
      <x v="549"/>
      <x v="4"/>
      <x v="809"/>
      <x v="596"/>
      <x v="379"/>
      <x/>
      <x/>
      <x v="333"/>
      <x v="617"/>
      <x v="29"/>
    </i>
    <i>
      <x v="878"/>
      <x v="27"/>
      <x v="541"/>
      <x v="4"/>
      <x v="800"/>
      <x v="174"/>
      <x v="109"/>
      <x/>
      <x/>
      <x v="333"/>
      <x v="608"/>
      <x v="46"/>
    </i>
    <i>
      <x v="762"/>
      <x v="27"/>
      <x v="462"/>
      <x v="6"/>
      <x v="684"/>
      <x v="71"/>
      <x v="47"/>
      <x/>
      <x/>
      <x v="255"/>
      <x v="521"/>
      <x v="46"/>
    </i>
    <i>
      <x v="798"/>
      <x v="27"/>
      <x v="487"/>
      <x v="4"/>
      <x v="720"/>
      <x v="568"/>
      <x v="116"/>
      <x/>
      <x/>
      <x v="353"/>
      <x v="551"/>
      <x v="35"/>
    </i>
    <i>
      <x v="849"/>
      <x v="28"/>
      <x v="513"/>
      <x v="6"/>
      <x v="771"/>
      <x v="138"/>
      <x v="364"/>
      <x/>
      <x/>
      <x v="463"/>
      <x v="586"/>
      <x v="56"/>
    </i>
    <i>
      <x v="831"/>
      <x v="20"/>
      <x v="504"/>
      <x v="4"/>
      <x v="753"/>
      <x v="580"/>
      <x v="124"/>
      <x/>
      <x/>
      <x v="190"/>
      <x v="533"/>
      <x v="115"/>
    </i>
    <i>
      <x v="758"/>
      <x v="28"/>
      <x v="459"/>
      <x v="6"/>
      <x v="680"/>
      <x v="559"/>
      <x v="348"/>
      <x/>
      <x/>
      <x v="432"/>
      <x v="164"/>
      <x v="36"/>
    </i>
    <i>
      <x v="882"/>
      <x v="27"/>
      <x v="545"/>
      <x v="4"/>
      <x v="804"/>
      <x v="148"/>
      <x v="66"/>
      <x/>
      <x/>
      <x v="333"/>
      <x v="612"/>
      <x v="66"/>
    </i>
    <i>
      <x v="935"/>
      <x v="27"/>
      <x v="568"/>
      <x v="6"/>
      <x v="857"/>
      <x v="95"/>
      <x v="96"/>
      <x/>
      <x/>
      <x v="333"/>
      <x v="657"/>
      <x v="20"/>
    </i>
    <i>
      <x v="848"/>
      <x v="27"/>
      <x v="507"/>
      <x v="6"/>
      <x v="770"/>
      <x v="182"/>
      <x v="132"/>
      <x/>
      <x/>
      <x v="268"/>
      <x v="83"/>
      <x v="31"/>
    </i>
    <i>
      <x v="841"/>
      <x/>
      <x v="501"/>
      <x v="6"/>
      <x v="763"/>
      <x v="138"/>
      <x v="112"/>
      <x/>
      <x/>
      <x v="460"/>
      <x v="582"/>
      <x v="26"/>
    </i>
    <i>
      <x v="744"/>
      <x v="27"/>
      <x v="447"/>
      <x v="6"/>
      <x v="666"/>
      <x v="48"/>
      <x v="47"/>
      <x/>
      <x/>
      <x v="271"/>
      <x v="56"/>
      <x v="28"/>
    </i>
    <i>
      <x v="27"/>
      <x v="6"/>
      <x v="81"/>
      <x v="4"/>
      <x v="19"/>
      <x v="529"/>
      <x v="324"/>
      <x/>
      <x/>
      <x v="179"/>
      <x v="484"/>
      <x v="86"/>
    </i>
    <i>
      <x v="558"/>
      <x v="27"/>
      <x v="335"/>
      <x v="4"/>
      <x v="501"/>
      <x v="400"/>
      <x v="111"/>
      <x/>
      <x/>
      <x v="183"/>
      <x v="381"/>
      <x v="11"/>
    </i>
    <i>
      <x v="879"/>
      <x/>
      <x v="542"/>
      <x v="4"/>
      <x v="801"/>
      <x v="594"/>
      <x v="377"/>
      <x/>
      <x/>
      <x v="333"/>
      <x v="609"/>
      <x v="26"/>
    </i>
    <i>
      <x v="718"/>
      <x/>
      <x v="430"/>
      <x v="4"/>
      <x v="640"/>
      <x v="533"/>
      <x v="328"/>
      <x/>
      <x/>
      <x v="413"/>
      <x v="229"/>
      <x v="11"/>
    </i>
    <i>
      <x v="928"/>
      <x/>
      <x v="586"/>
      <x v="4"/>
      <x v="850"/>
      <x v="128"/>
      <x v="106"/>
      <x/>
      <x/>
      <x v="333"/>
      <x v="650"/>
      <x v="26"/>
    </i>
    <i>
      <x v="847"/>
      <x v="27"/>
      <x v="512"/>
      <x v="4"/>
      <x v="769"/>
      <x v="186"/>
      <x v="78"/>
      <x/>
      <x/>
      <x v="214"/>
      <x v="149"/>
      <x v="69"/>
    </i>
    <i>
      <x v="937"/>
      <x v="20"/>
      <x v="593"/>
      <x v="4"/>
      <x v="858"/>
      <x v="615"/>
      <x v="392"/>
      <x/>
      <x/>
      <x v="333"/>
      <x v="131"/>
      <x v="4"/>
    </i>
    <i>
      <x v="36"/>
      <x v="6"/>
      <x v="85"/>
      <x v="4"/>
      <x v="17"/>
      <x v="528"/>
      <x v="323"/>
      <x/>
      <x/>
      <x v="179"/>
      <x v="483"/>
      <x v="86"/>
    </i>
    <i>
      <x v="789"/>
      <x v="27"/>
      <x v="481"/>
      <x v="4"/>
      <x v="711"/>
      <x v="73"/>
      <x v="93"/>
      <x/>
      <x/>
      <x v="333"/>
      <x v="544"/>
      <x v="14"/>
    </i>
    <i>
      <x v="840"/>
      <x v="27"/>
      <x v="507"/>
      <x v="6"/>
      <x v="762"/>
      <x v="222"/>
      <x v="157"/>
      <x/>
      <x/>
      <x v="459"/>
      <x v="503"/>
      <x v="31"/>
    </i>
    <i>
      <x v="562"/>
      <x v="27"/>
      <x v="338"/>
      <x v="4"/>
      <x v="505"/>
      <x v="83"/>
      <x v="142"/>
      <x/>
      <x/>
      <x v="200"/>
      <x v="384"/>
      <x v="3"/>
    </i>
    <i>
      <x v="978"/>
      <x/>
      <x v="615"/>
      <x v="4"/>
      <x v="898"/>
      <x v="626"/>
      <x v="397"/>
      <x/>
      <x/>
      <x v="336"/>
      <x v="360"/>
      <x v="40"/>
    </i>
    <i>
      <x v="707"/>
      <x v="28"/>
      <x v="101"/>
      <x v="6"/>
      <x v="455"/>
      <x v="509"/>
      <x v="4"/>
      <x/>
      <x/>
      <x v="172"/>
      <x/>
      <x v="86"/>
    </i>
    <i>
      <x v="828"/>
      <x v="27"/>
      <x v="471"/>
      <x v="6"/>
      <x v="750"/>
      <x v="577"/>
      <x v="360"/>
      <x/>
      <x/>
      <x v="454"/>
      <x v="573"/>
      <x v="17"/>
    </i>
    <i>
      <x v="844"/>
      <x v="27"/>
      <x v="507"/>
      <x v="6"/>
      <x v="766"/>
      <x v="233"/>
      <x v="162"/>
      <x/>
      <x/>
      <x v="462"/>
      <x v="388"/>
      <x v="35"/>
    </i>
    <i>
      <x v="769"/>
      <x v="27"/>
      <x v="467"/>
      <x v="6"/>
      <x v="691"/>
      <x v="47"/>
      <x v="33"/>
      <x/>
      <x/>
      <x v="251"/>
      <x v="249"/>
      <x v="46"/>
    </i>
    <i>
      <x v="874"/>
      <x v="20"/>
      <x v="537"/>
      <x v="4"/>
      <x v="796"/>
      <x v="457"/>
      <x v="157"/>
      <x/>
      <x/>
      <x v="208"/>
      <x v="606"/>
      <x v="32"/>
    </i>
    <i>
      <x v="722"/>
      <x v="28"/>
      <x v="434"/>
      <x v="6"/>
      <x v="644"/>
      <x v="538"/>
      <x v="333"/>
      <x/>
      <x/>
      <x v="414"/>
      <x v="492"/>
      <x v="61"/>
    </i>
    <i>
      <x v="738"/>
      <x v="27"/>
      <x v="445"/>
      <x v="6"/>
      <x v="660"/>
      <x v="67"/>
      <x v="43"/>
      <x/>
      <x/>
      <x v="424"/>
      <x v="505"/>
      <x v="49"/>
    </i>
    <i>
      <x v="795"/>
      <x v="27"/>
      <x v="471"/>
      <x v="6"/>
      <x v="717"/>
      <x v="566"/>
      <x v="29"/>
      <x/>
      <x/>
      <x v="280"/>
      <x v="548"/>
      <x v="17"/>
    </i>
    <i>
      <x v="1017"/>
      <x v="27"/>
      <x v="642"/>
      <x v="1"/>
      <x v="938"/>
      <x v="17"/>
      <x v="33"/>
      <x v="15"/>
      <x/>
      <x v="12"/>
      <x v="80"/>
      <x v="14"/>
    </i>
    <i>
      <x v="864"/>
      <x v="20"/>
      <x v="527"/>
      <x v="4"/>
      <x v="786"/>
      <x v="589"/>
      <x v="373"/>
      <x/>
      <x/>
      <x v="208"/>
      <x v="598"/>
      <x v="26"/>
    </i>
    <i>
      <x v="838"/>
      <x/>
      <x v="501"/>
      <x v="6"/>
      <x v="760"/>
      <x v="143"/>
      <x v="116"/>
      <x/>
      <x/>
      <x v="458"/>
      <x v="580"/>
      <x v="26"/>
    </i>
    <i>
      <x v="778"/>
      <x v="27"/>
      <x v="359"/>
      <x v="6"/>
      <x v="700"/>
      <x v="132"/>
      <x v="62"/>
      <x/>
      <x/>
      <x v="333"/>
      <x v="534"/>
      <x v="60"/>
    </i>
    <i>
      <x v="702"/>
      <x v="21"/>
      <x v="99"/>
      <x v="6"/>
      <x v="454"/>
      <x v="499"/>
      <x v="4"/>
      <x/>
      <x/>
      <x v="172"/>
      <x/>
      <x v="86"/>
    </i>
    <i>
      <x v="773"/>
      <x v="27"/>
      <x v="467"/>
      <x v="6"/>
      <x v="695"/>
      <x v="102"/>
      <x v="62"/>
      <x/>
      <x/>
      <x v="281"/>
      <x v="530"/>
      <x v="47"/>
    </i>
    <i>
      <x v="794"/>
      <x v="27"/>
      <x v="484"/>
      <x v="6"/>
      <x v="716"/>
      <x v="59"/>
      <x v="85"/>
      <x/>
      <x/>
      <x v="282"/>
      <x v="547"/>
      <x v="11"/>
    </i>
    <i>
      <x v="938"/>
      <x v="27"/>
      <x v="568"/>
      <x v="6"/>
      <x v="859"/>
      <x v="117"/>
      <x v="106"/>
      <x/>
      <x/>
      <x v="333"/>
      <x v="659"/>
      <x v="20"/>
    </i>
    <i>
      <x v="873"/>
      <x/>
      <x v="536"/>
      <x v="4"/>
      <x v="795"/>
      <x v="592"/>
      <x v="376"/>
      <x/>
      <x/>
      <x v="345"/>
      <x v="605"/>
      <x v="117"/>
    </i>
    <i>
      <x v="880"/>
      <x v="20"/>
      <x v="543"/>
      <x v="4"/>
      <x v="802"/>
      <x v="212"/>
      <x v="132"/>
      <x/>
      <x/>
      <x v="194"/>
      <x v="610"/>
      <x v="46"/>
    </i>
    <i>
      <x v="799"/>
      <x v="28"/>
      <x v="488"/>
      <x v="4"/>
      <x v="721"/>
      <x v="569"/>
      <x v="43"/>
      <x/>
      <x/>
      <x v="445"/>
      <x v="552"/>
      <x v="104"/>
    </i>
    <i>
      <x v="807"/>
      <x v="27"/>
      <x v="476"/>
      <x v="6"/>
      <x v="729"/>
      <x v="71"/>
      <x v="97"/>
      <x/>
      <x/>
      <x v="273"/>
      <x v="560"/>
      <x v="11"/>
    </i>
    <i>
      <x v="656"/>
      <x v="27"/>
      <x v="404"/>
      <x v="4"/>
      <x v="598"/>
      <x v="47"/>
      <x v="33"/>
      <x/>
      <x/>
      <x v="182"/>
      <x v="447"/>
      <x v="46"/>
    </i>
    <i>
      <x v="910"/>
      <x v="27"/>
      <x v="568"/>
      <x v="6"/>
      <x v="832"/>
      <x v="159"/>
      <x v="132"/>
      <x/>
      <x/>
      <x v="333"/>
      <x v="64"/>
      <x v="20"/>
    </i>
    <i>
      <x v="802"/>
      <x v="27"/>
      <x v="491"/>
      <x v="6"/>
      <x v="724"/>
      <x v="47"/>
      <x v="47"/>
      <x/>
      <x/>
      <x v="271"/>
      <x v="555"/>
      <x v="26"/>
    </i>
    <i>
      <x v="709"/>
      <x v="28"/>
      <x v="101"/>
      <x v="6"/>
      <x v="455"/>
      <x v="513"/>
      <x v="4"/>
      <x/>
      <x/>
      <x v="172"/>
      <x/>
      <x v="86"/>
    </i>
    <i>
      <x v="845"/>
      <x v="28"/>
      <x v="510"/>
      <x v="4"/>
      <x v="767"/>
      <x v="59"/>
      <x v="33"/>
      <x/>
      <x/>
      <x v="182"/>
      <x v="585"/>
      <x v="56"/>
    </i>
    <i>
      <x v="914"/>
      <x v="30"/>
      <x v="572"/>
      <x v="4"/>
      <x v="836"/>
      <x v="606"/>
      <x v="386"/>
      <x/>
      <x/>
      <x v="214"/>
      <x v="637"/>
      <x v="59"/>
    </i>
    <i>
      <x v="884"/>
      <x v="20"/>
      <x v="547"/>
      <x v="4"/>
      <x v="806"/>
      <x v="40"/>
      <x v="33"/>
      <x/>
      <x/>
      <x v="182"/>
      <x v="614"/>
      <x v="39"/>
    </i>
    <i>
      <x v="836"/>
      <x v="27"/>
      <x v="507"/>
      <x v="6"/>
      <x v="758"/>
      <x v="154"/>
      <x v="148"/>
      <x/>
      <x/>
      <x v="457"/>
      <x v="122"/>
      <x v="11"/>
    </i>
    <i>
      <x v="780"/>
      <x v="27"/>
      <x v="475"/>
      <x v="6"/>
      <x v="702"/>
      <x v="50"/>
      <x v="27"/>
      <x/>
      <x/>
      <x v="437"/>
      <x v="536"/>
      <x v="56"/>
    </i>
    <i>
      <x v="737"/>
      <x v="28"/>
      <x v="444"/>
      <x v="4"/>
      <x v="659"/>
      <x v="550"/>
      <x v="342"/>
      <x/>
      <x/>
      <x v="179"/>
      <x v="504"/>
      <x v="69"/>
    </i>
    <i>
      <x v="781"/>
      <x v="27"/>
      <x v="476"/>
      <x v="6"/>
      <x v="703"/>
      <x v="564"/>
      <x v="145"/>
      <x/>
      <x/>
      <x v="438"/>
      <x v="537"/>
      <x v="11"/>
    </i>
    <i>
      <x v="790"/>
      <x v="27"/>
      <x v="482"/>
      <x v="6"/>
      <x v="712"/>
      <x v="26"/>
      <x v="33"/>
      <x/>
      <x/>
      <x v="299"/>
      <x v="545"/>
      <x v="26"/>
    </i>
    <i>
      <x v="808"/>
      <x v="27"/>
      <x v="494"/>
      <x v="6"/>
      <x v="730"/>
      <x v="67"/>
      <x v="33"/>
      <x/>
      <x/>
      <x v="251"/>
      <x v="561"/>
      <x v="61"/>
    </i>
    <i>
      <x v="832"/>
      <x v="27"/>
      <x v="471"/>
      <x v="6"/>
      <x v="754"/>
      <x v="581"/>
      <x v="362"/>
      <x/>
      <x/>
      <x v="456"/>
      <x v="576"/>
      <x v="116"/>
    </i>
    <i>
      <x v="679"/>
      <x v="27"/>
      <x v="419"/>
      <x v="6"/>
      <x v="621"/>
      <x v="141"/>
      <x v="115"/>
      <x/>
      <x/>
      <x v="270"/>
      <x v="461"/>
      <x v="26"/>
    </i>
    <i>
      <x v="705"/>
      <x v="28"/>
      <x v="101"/>
      <x v="6"/>
      <x v="455"/>
      <x v="505"/>
      <x v="4"/>
      <x/>
      <x/>
      <x v="172"/>
      <x/>
      <x v="86"/>
    </i>
    <i>
      <x v="819"/>
      <x v="27"/>
      <x v="483"/>
      <x v="6"/>
      <x v="741"/>
      <x v="212"/>
      <x v="132"/>
      <x/>
      <x/>
      <x v="433"/>
      <x v="143"/>
      <x v="46"/>
    </i>
    <i>
      <x v="589"/>
      <x/>
      <x v="361"/>
      <x v="4"/>
      <x v="532"/>
      <x v="106"/>
      <x v="274"/>
      <x/>
      <x/>
      <x v="356"/>
      <x v="248"/>
      <x v="46"/>
    </i>
    <i>
      <x v="41"/>
      <x v="13"/>
      <x v="296"/>
      <x v="4"/>
      <x v="47"/>
      <x v="534"/>
      <x v="329"/>
      <x/>
      <x/>
      <x v="179"/>
      <x v="488"/>
      <x v="86"/>
    </i>
    <i>
      <x v="860"/>
      <x v="27"/>
      <x v="524"/>
      <x v="4"/>
      <x v="782"/>
      <x v="186"/>
      <x v="58"/>
      <x/>
      <x/>
      <x v="468"/>
      <x v="110"/>
      <x v="84"/>
    </i>
    <i>
      <x v="826"/>
      <x v="27"/>
      <x v="484"/>
      <x v="6"/>
      <x v="748"/>
      <x v="68"/>
      <x v="96"/>
      <x/>
      <x/>
      <x v="313"/>
      <x v="571"/>
      <x v="11"/>
    </i>
    <i>
      <x v="931"/>
      <x v="27"/>
      <x v="568"/>
      <x v="6"/>
      <x v="853"/>
      <x v="106"/>
      <x v="74"/>
      <x/>
      <x/>
      <x v="333"/>
      <x v="653"/>
      <x v="36"/>
    </i>
    <i>
      <x v="824"/>
      <x/>
      <x v="501"/>
      <x v="6"/>
      <x v="746"/>
      <x v="154"/>
      <x v="124"/>
      <x/>
      <x/>
      <x v="261"/>
      <x v="569"/>
      <x v="26"/>
    </i>
    <i>
      <x v="717"/>
      <x v="28"/>
      <x v="429"/>
      <x v="6"/>
      <x v="639"/>
      <x v="47"/>
      <x v="47"/>
      <x/>
      <x/>
      <x v="255"/>
      <x v="487"/>
      <x v="26"/>
    </i>
    <i>
      <x v="925"/>
      <x/>
      <x v="583"/>
      <x v="4"/>
      <x v="847"/>
      <x v="162"/>
      <x v="100"/>
      <x/>
      <x/>
      <x v="481"/>
      <x v="647"/>
      <x v="46"/>
    </i>
    <i>
      <x v="867"/>
      <x v="27"/>
      <x v="530"/>
      <x v="4"/>
      <x v="789"/>
      <x v="23"/>
      <x v="19"/>
      <x/>
      <x/>
      <x v="333"/>
      <x v="601"/>
      <x v="36"/>
    </i>
    <i>
      <x v="760"/>
      <x v="28"/>
      <x v="461"/>
      <x v="6"/>
      <x v="682"/>
      <x v="212"/>
      <x v="132"/>
      <x/>
      <x/>
      <x v="433"/>
      <x v="519"/>
      <x v="46"/>
    </i>
    <i>
      <x v="943"/>
      <x v="30"/>
      <x v="572"/>
      <x v="4"/>
      <x v="864"/>
      <x v="606"/>
      <x v="386"/>
      <x/>
      <x/>
      <x v="214"/>
      <x v="663"/>
      <x v="59"/>
    </i>
    <i>
      <x v="907"/>
      <x v="30"/>
      <x v="565"/>
      <x v="4"/>
      <x v="829"/>
      <x v="601"/>
      <x v="382"/>
      <x/>
      <x/>
      <x v="205"/>
      <x v="632"/>
      <x v="14"/>
    </i>
    <i>
      <x v="766"/>
      <x v="27"/>
      <x v="462"/>
      <x v="6"/>
      <x v="688"/>
      <x v="71"/>
      <x v="47"/>
      <x/>
      <x/>
      <x v="417"/>
      <x v="525"/>
      <x v="46"/>
    </i>
    <i>
      <x v="706"/>
      <x v="21"/>
      <x v="99"/>
      <x v="6"/>
      <x v="454"/>
      <x v="506"/>
      <x v="4"/>
      <x/>
      <x/>
      <x v="172"/>
      <x/>
      <x v="86"/>
    </i>
    <i>
      <x v="835"/>
      <x v="2"/>
      <x v="506"/>
      <x v="4"/>
      <x v="757"/>
      <x v="582"/>
      <x v="363"/>
      <x/>
      <x/>
      <x v="192"/>
      <x v="578"/>
      <x v="53"/>
    </i>
    <i>
      <x v="945"/>
      <x v="20"/>
      <x v="596"/>
      <x v="4"/>
      <x v="866"/>
      <x v="618"/>
      <x v="393"/>
      <x/>
      <x/>
      <x v="483"/>
      <x v="665"/>
      <x v="14"/>
    </i>
    <i>
      <x v="853"/>
      <x v="27"/>
      <x v="517"/>
      <x v="4"/>
      <x v="775"/>
      <x v="585"/>
      <x v="367"/>
      <x/>
      <x/>
      <x v="465"/>
      <x v="590"/>
      <x v="26"/>
    </i>
    <i>
      <x v="830"/>
      <x v="27"/>
      <x v="494"/>
      <x v="6"/>
      <x v="752"/>
      <x v="579"/>
      <x v="33"/>
      <x/>
      <x/>
      <x v="299"/>
      <x v="575"/>
      <x v="59"/>
    </i>
    <i>
      <x v="777"/>
      <x v="28"/>
      <x v="473"/>
      <x v="6"/>
      <x v="699"/>
      <x v="548"/>
      <x v="13"/>
      <x/>
      <x/>
      <x v="436"/>
      <x v="533"/>
      <x v="26"/>
    </i>
    <i>
      <x v="711"/>
      <x v="28"/>
      <x v="101"/>
      <x v="6"/>
      <x v="455"/>
      <x v="517"/>
      <x v="4"/>
      <x/>
      <x/>
      <x v="172"/>
      <x/>
      <x v="86"/>
    </i>
    <i>
      <x v="740"/>
      <x v="28"/>
      <x v="444"/>
      <x v="4"/>
      <x v="662"/>
      <x v="552"/>
      <x v="343"/>
      <x/>
      <x/>
      <x v="179"/>
      <x v="507"/>
      <x v="69"/>
    </i>
    <i>
      <x v="746"/>
      <x v="27"/>
      <x v="451"/>
      <x v="4"/>
      <x v="668"/>
      <x v="554"/>
      <x v="345"/>
      <x/>
      <x/>
      <x v="426"/>
      <x v="229"/>
      <x v="39"/>
    </i>
    <i>
      <x v="854"/>
      <x v="20"/>
      <x v="518"/>
      <x v="4"/>
      <x v="776"/>
      <x v="150"/>
      <x v="368"/>
      <x/>
      <x/>
      <x v="466"/>
      <x v="591"/>
      <x v="46"/>
    </i>
    <i>
      <x v="767"/>
      <x v="28"/>
      <x v="465"/>
      <x v="4"/>
      <x v="689"/>
      <x v="561"/>
      <x v="349"/>
      <x/>
      <x/>
      <x v="179"/>
      <x v="526"/>
      <x v="56"/>
    </i>
    <i>
      <x v="842"/>
      <x/>
      <x v="501"/>
      <x v="6"/>
      <x v="764"/>
      <x v="171"/>
      <x v="132"/>
      <x/>
      <x/>
      <x v="461"/>
      <x v="583"/>
      <x v="26"/>
    </i>
    <i>
      <x v="530"/>
      <x v="8"/>
      <x v="309"/>
      <x v="4"/>
      <x v="474"/>
      <x v="525"/>
      <x v="320"/>
      <x/>
      <x/>
      <x v="179"/>
      <x v="481"/>
      <x v="86"/>
    </i>
    <i>
      <x v="977"/>
      <x/>
      <x v="615"/>
      <x v="4"/>
      <x v="897"/>
      <x v="625"/>
      <x v="396"/>
      <x/>
      <x/>
      <x v="336"/>
      <x v="364"/>
      <x v="4"/>
    </i>
    <i>
      <x v="813"/>
      <x v="27"/>
      <x v="497"/>
      <x v="6"/>
      <x v="735"/>
      <x v="572"/>
      <x v="355"/>
      <x/>
      <x/>
      <x v="450"/>
      <x v="564"/>
      <x v="26"/>
    </i>
    <i>
      <x v="825"/>
      <x v="27"/>
      <x v="484"/>
      <x v="6"/>
      <x v="747"/>
      <x v="121"/>
      <x v="129"/>
      <x/>
      <x/>
      <x v="266"/>
      <x v="570"/>
      <x v="11"/>
    </i>
    <i>
      <x v="681"/>
      <x v="27"/>
      <x v="419"/>
      <x v="6"/>
      <x v="623"/>
      <x v="123"/>
      <x v="103"/>
      <x/>
      <x/>
      <x v="404"/>
      <x v="164"/>
      <x v="26"/>
    </i>
    <i>
      <x v="752"/>
      <x v="27"/>
      <x v="455"/>
      <x v="6"/>
      <x v="674"/>
      <x v="9"/>
      <x v="32"/>
      <x/>
      <x/>
      <x v="285"/>
      <x v="513"/>
      <x v="9"/>
    </i>
    <i>
      <x v="20"/>
      <x v="3"/>
      <x v="75"/>
      <x v="6"/>
      <x v="453"/>
      <x v="486"/>
      <x v="4"/>
      <x/>
      <x/>
      <x v="172"/>
      <x/>
      <x v="86"/>
    </i>
    <i>
      <x v="941"/>
      <x v="27"/>
      <x v="568"/>
      <x v="6"/>
      <x v="862"/>
      <x v="207"/>
      <x v="260"/>
      <x/>
      <x/>
      <x v="333"/>
      <x v="661"/>
      <x v="20"/>
    </i>
    <i>
      <x v="19"/>
      <x v="3"/>
      <x v="75"/>
      <x v="6"/>
      <x v="453"/>
      <x v="479"/>
      <x v="4"/>
      <x/>
      <x/>
      <x v="172"/>
      <x/>
      <x v="86"/>
    </i>
    <i>
      <x v="791"/>
      <x v="27"/>
      <x v="483"/>
      <x v="6"/>
      <x v="713"/>
      <x v="162"/>
      <x v="106"/>
      <x/>
      <x/>
      <x v="248"/>
      <x v="50"/>
      <x v="40"/>
    </i>
    <i>
      <x v="933"/>
      <x v="27"/>
      <x v="590"/>
      <x v="4"/>
      <x v="855"/>
      <x v="613"/>
      <x v="389"/>
      <x/>
      <x/>
      <x v="482"/>
      <x v="655"/>
      <x v="10"/>
    </i>
    <i>
      <x v="532"/>
      <x v="19"/>
      <x v="98"/>
      <x v="6"/>
      <x v="456"/>
      <x v="494"/>
      <x v="4"/>
      <x/>
      <x/>
      <x v="172"/>
      <x/>
      <x v="86"/>
    </i>
    <i>
      <x v="820"/>
      <x v="27"/>
      <x v="471"/>
      <x v="6"/>
      <x v="742"/>
      <x v="574"/>
      <x v="357"/>
      <x/>
      <x/>
      <x v="452"/>
      <x v="448"/>
      <x v="17"/>
    </i>
    <i>
      <x v="699"/>
      <x v="21"/>
      <x v="99"/>
      <x v="6"/>
      <x v="454"/>
      <x v="493"/>
      <x v="4"/>
      <x/>
      <x/>
      <x v="172"/>
      <x/>
      <x v="86"/>
    </i>
    <i>
      <x v="759"/>
      <x v="28"/>
      <x v="460"/>
      <x v="6"/>
      <x v="681"/>
      <x v="59"/>
      <x v="33"/>
      <x/>
      <x/>
      <x v="431"/>
      <x v="518"/>
      <x v="56"/>
    </i>
    <i>
      <x v="797"/>
      <x v="28"/>
      <x v="486"/>
      <x v="6"/>
      <x v="719"/>
      <x v="567"/>
      <x v="353"/>
      <x/>
      <x/>
      <x v="444"/>
      <x v="550"/>
      <x v="112"/>
    </i>
    <i>
      <x v="900"/>
      <x v="20"/>
      <x v="558"/>
      <x v="4"/>
      <x v="822"/>
      <x v="198"/>
      <x v="132"/>
      <x/>
      <x/>
      <x v="194"/>
      <x v="81"/>
      <x v="36"/>
    </i>
    <i>
      <x v="800"/>
      <x v="28"/>
      <x v="489"/>
      <x v="6"/>
      <x v="722"/>
      <x v="570"/>
      <x v="354"/>
      <x/>
      <x/>
      <x v="446"/>
      <x v="553"/>
      <x v="113"/>
    </i>
    <i>
      <x v="839"/>
      <x v="20"/>
      <x v="508"/>
      <x v="4"/>
      <x v="761"/>
      <x v="443"/>
      <x v="288"/>
      <x/>
      <x/>
      <x v="374"/>
      <x v="581"/>
      <x v="53"/>
    </i>
    <i>
      <x v="647"/>
      <x v="27"/>
      <x v="398"/>
      <x v="6"/>
      <x v="589"/>
      <x v="128"/>
      <x v="78"/>
      <x/>
      <x/>
      <x v="333"/>
      <x v="134"/>
      <x v="46"/>
    </i>
    <i>
      <x v="988"/>
      <x v="2"/>
      <x v="616"/>
      <x v="6"/>
      <x v="909"/>
      <x v="633"/>
      <x v="403"/>
      <x/>
      <x/>
      <x v="333"/>
      <x v="689"/>
      <x v="66"/>
    </i>
    <i>
      <x v="917"/>
      <x v="20"/>
      <x v="575"/>
      <x v="4"/>
      <x v="839"/>
      <x v="148"/>
      <x v="93"/>
      <x/>
      <x/>
      <x v="222"/>
      <x v="640"/>
      <x v="46"/>
    </i>
    <i>
      <x v="885"/>
      <x v="27"/>
      <x v="522"/>
      <x v="6"/>
      <x v="807"/>
      <x v="17"/>
      <x v="23"/>
      <x/>
      <x/>
      <x v="333"/>
      <x v="615"/>
      <x v="26"/>
    </i>
    <i>
      <x v="37"/>
      <x v="12"/>
      <x v="297"/>
      <x v="4"/>
      <x v="45"/>
      <x v="508"/>
      <x v="310"/>
      <x/>
      <x/>
      <x v="179"/>
      <x v="472"/>
      <x v="86"/>
    </i>
    <i>
      <x v="747"/>
      <x v="23"/>
      <x v="452"/>
      <x v="4"/>
      <x v="669"/>
      <x v="171"/>
      <x v="106"/>
      <x/>
      <x/>
      <x v="180"/>
      <x v="176"/>
      <x v="46"/>
    </i>
    <i>
      <x v="894"/>
      <x/>
      <x v="553"/>
      <x v="4"/>
      <x v="816"/>
      <x v="598"/>
      <x v="380"/>
      <x/>
      <x/>
      <x v="476"/>
      <x v="623"/>
      <x v="35"/>
    </i>
    <i>
      <x v="817"/>
      <x v="27"/>
      <x v="497"/>
      <x v="6"/>
      <x v="739"/>
      <x v="573"/>
      <x v="356"/>
      <x/>
      <x/>
      <x v="432"/>
      <x v="566"/>
      <x v="26"/>
    </i>
    <i>
      <x v="756"/>
      <x v="27"/>
      <x v="432"/>
      <x v="6"/>
      <x v="678"/>
      <x v="95"/>
      <x v="47"/>
      <x/>
      <x/>
      <x v="430"/>
      <x v="149"/>
      <x v="56"/>
    </i>
    <i>
      <x v="951"/>
      <x v="27"/>
      <x v="598"/>
      <x v="1"/>
      <x v="871"/>
      <x v="21"/>
      <x v="66"/>
      <x v="4"/>
      <x/>
      <x v="484"/>
      <x v="621"/>
      <x v="3"/>
    </i>
    <i>
      <x v="940"/>
      <x v="27"/>
      <x v="529"/>
      <x v="4"/>
      <x v="861"/>
      <x v="59"/>
      <x v="47"/>
      <x/>
      <x/>
      <x v="333"/>
      <x v="660"/>
      <x v="36"/>
    </i>
    <i>
      <x v="886"/>
      <x v="21"/>
      <x v="548"/>
      <x v="4"/>
      <x v="808"/>
      <x v="595"/>
      <x v="378"/>
      <x/>
      <x/>
      <x v="179"/>
      <x v="616"/>
      <x v="56"/>
    </i>
    <i>
      <x v="915"/>
      <x v="30"/>
      <x v="573"/>
      <x v="4"/>
      <x v="837"/>
      <x v="607"/>
      <x v="387"/>
      <x/>
      <x/>
      <x v="333"/>
      <x v="638"/>
      <x v="20"/>
    </i>
    <i>
      <x v="40"/>
      <x v="6"/>
      <x v="87"/>
      <x v="4"/>
      <x v="28"/>
      <x v="537"/>
      <x v="332"/>
      <x/>
      <x/>
      <x v="179"/>
      <x v="491"/>
      <x v="86"/>
    </i>
    <i>
      <x v="732"/>
      <x v="27"/>
      <x v="437"/>
      <x v="6"/>
      <x v="654"/>
      <x v="548"/>
      <x v="27"/>
      <x/>
      <x/>
      <x v="420"/>
      <x v="500"/>
      <x v="9"/>
    </i>
    <i>
      <x v="829"/>
      <x v="28"/>
      <x v="503"/>
      <x v="6"/>
      <x v="751"/>
      <x v="578"/>
      <x v="361"/>
      <x/>
      <x/>
      <x v="455"/>
      <x v="574"/>
      <x v="26"/>
    </i>
    <i>
      <x v="682"/>
      <x v="27"/>
      <x v="419"/>
      <x v="6"/>
      <x v="624"/>
      <x v="145"/>
      <x v="117"/>
      <x/>
      <x/>
      <x v="405"/>
      <x v="462"/>
      <x v="26"/>
    </i>
    <i>
      <x v="779"/>
      <x v="28"/>
      <x v="474"/>
      <x v="6"/>
      <x v="701"/>
      <x v="83"/>
      <x v="58"/>
      <x/>
      <x/>
      <x v="278"/>
      <x v="535"/>
      <x v="46"/>
    </i>
    <i>
      <x v="754"/>
      <x v="27"/>
      <x v="457"/>
      <x v="6"/>
      <x v="676"/>
      <x v="95"/>
      <x v="47"/>
      <x/>
      <x/>
      <x v="333"/>
      <x v="515"/>
      <x v="56"/>
    </i>
    <i>
      <x v="703"/>
      <x v="21"/>
      <x v="99"/>
      <x v="6"/>
      <x v="454"/>
      <x v="501"/>
      <x v="4"/>
      <x/>
      <x/>
      <x v="172"/>
      <x/>
      <x v="86"/>
    </i>
    <i>
      <x v="592"/>
      <x v="20"/>
      <x v="364"/>
      <x v="4"/>
      <x v="535"/>
      <x v="123"/>
      <x v="124"/>
      <x/>
      <x/>
      <x v="190"/>
      <x v="409"/>
      <x v="14"/>
    </i>
    <i>
      <x v="734"/>
      <x v="28"/>
      <x v="442"/>
      <x v="6"/>
      <x v="656"/>
      <x v="198"/>
      <x v="162"/>
      <x/>
      <x/>
      <x v="422"/>
      <x v="501"/>
      <x v="14"/>
    </i>
    <i>
      <x v="755"/>
      <x v="27"/>
      <x v="435"/>
      <x v="6"/>
      <x v="677"/>
      <x v="558"/>
      <x v="347"/>
      <x/>
      <x/>
      <x v="429"/>
      <x v="516"/>
      <x v="26"/>
    </i>
    <i>
      <x v="804"/>
      <x/>
      <x v="492"/>
      <x v="6"/>
      <x v="726"/>
      <x v="23"/>
      <x v="19"/>
      <x/>
      <x/>
      <x v="301"/>
      <x v="557"/>
      <x v="36"/>
    </i>
    <i>
      <x v="729"/>
      <x v="27"/>
      <x v="432"/>
      <x v="6"/>
      <x v="651"/>
      <x v="546"/>
      <x v="340"/>
      <x/>
      <x/>
      <x v="418"/>
      <x v="498"/>
      <x v="56"/>
    </i>
    <i>
      <x v="823"/>
      <x v="27"/>
      <x v="483"/>
      <x v="6"/>
      <x v="745"/>
      <x v="212"/>
      <x v="142"/>
      <x/>
      <x/>
      <x v="275"/>
      <x v="388"/>
      <x v="38"/>
    </i>
    <i>
      <x v="42"/>
      <x v="10"/>
      <x v="298"/>
      <x v="4"/>
      <x v="24"/>
      <x v="536"/>
      <x v="331"/>
      <x/>
      <x/>
      <x v="179"/>
      <x v="490"/>
      <x v="86"/>
    </i>
    <i>
      <x v="21"/>
      <x v="3"/>
      <x v="75"/>
      <x v="6"/>
      <x v="453"/>
      <x v="478"/>
      <x v="4"/>
      <x/>
      <x/>
      <x v="172"/>
      <x/>
      <x v="86"/>
    </i>
    <i>
      <x v="821"/>
      <x v="27"/>
      <x v="497"/>
      <x v="6"/>
      <x v="743"/>
      <x v="575"/>
      <x v="358"/>
      <x/>
      <x/>
      <x v="427"/>
      <x v="568"/>
      <x v="26"/>
    </i>
    <i>
      <x v="922"/>
      <x v="30"/>
      <x v="580"/>
      <x v="4"/>
      <x v="844"/>
      <x v="610"/>
      <x v="62"/>
      <x/>
      <x/>
      <x v="333"/>
      <x v="645"/>
      <x v="119"/>
    </i>
    <i>
      <x v="969"/>
      <x v="28"/>
      <x v="607"/>
      <x v="6"/>
      <x v="889"/>
      <x v="71"/>
      <x v="47"/>
      <x/>
      <x/>
      <x v="255"/>
      <x v="677"/>
      <x v="46"/>
    </i>
    <i>
      <x v="757"/>
      <x v="28"/>
      <x v="458"/>
      <x v="6"/>
      <x v="679"/>
      <x v="59"/>
      <x v="33"/>
      <x/>
      <x/>
      <x v="431"/>
      <x v="517"/>
      <x v="56"/>
    </i>
    <i>
      <x v="728"/>
      <x v="27"/>
      <x v="439"/>
      <x v="6"/>
      <x v="650"/>
      <x v="67"/>
      <x v="47"/>
      <x/>
      <x/>
      <x v="417"/>
      <x v="417"/>
      <x v="43"/>
    </i>
    <i>
      <x v="742"/>
      <x v="28"/>
      <x v="448"/>
      <x v="4"/>
      <x v="664"/>
      <x v="123"/>
      <x v="62"/>
      <x/>
      <x/>
      <x v="179"/>
      <x v="508"/>
      <x v="56"/>
    </i>
    <i>
      <x v="902"/>
      <x v="28"/>
      <x v="560"/>
      <x v="6"/>
      <x v="824"/>
      <x v="17"/>
      <x v="13"/>
      <x/>
      <x/>
      <x v="436"/>
      <x v="188"/>
      <x v="46"/>
    </i>
    <i>
      <x v="921"/>
      <x v="20"/>
      <x v="579"/>
      <x v="4"/>
      <x v="843"/>
      <x v="609"/>
      <x v="96"/>
      <x/>
      <x/>
      <x v="480"/>
      <x v="644"/>
      <x v="118"/>
    </i>
    <i>
      <x v="916"/>
      <x v="30"/>
      <x v="574"/>
      <x v="4"/>
      <x v="838"/>
      <x v="206"/>
      <x v="78"/>
      <x/>
      <x/>
      <x v="333"/>
      <x v="639"/>
      <x v="75"/>
    </i>
    <i>
      <x v="949"/>
      <x v="27"/>
      <x v="455"/>
      <x v="6"/>
      <x v="869"/>
      <x v="10"/>
      <x v="33"/>
      <x/>
      <x/>
      <x v="299"/>
      <x v="667"/>
      <x v="9"/>
    </i>
    <i>
      <x v="712"/>
      <x v="28"/>
      <x v="101"/>
      <x v="6"/>
      <x v="455"/>
      <x v="518"/>
      <x v="4"/>
      <x/>
      <x/>
      <x v="172"/>
      <x/>
      <x v="86"/>
    </i>
    <i>
      <x v="528"/>
      <x v="19"/>
      <x v="98"/>
      <x v="6"/>
      <x v="456"/>
      <x v="487"/>
      <x v="4"/>
      <x/>
      <x/>
      <x v="172"/>
      <x/>
      <x v="86"/>
    </i>
    <i>
      <x v="811"/>
      <x v="27"/>
      <x v="476"/>
      <x v="6"/>
      <x v="733"/>
      <x v="146"/>
      <x v="137"/>
      <x/>
      <x/>
      <x v="449"/>
      <x v="563"/>
      <x v="14"/>
    </i>
    <i>
      <x v="654"/>
      <x v="27"/>
      <x v="398"/>
      <x v="6"/>
      <x v="596"/>
      <x v="212"/>
      <x v="132"/>
      <x/>
      <x/>
      <x v="333"/>
      <x v="446"/>
      <x v="46"/>
    </i>
    <i>
      <x v="805"/>
      <x v="27"/>
      <x v="491"/>
      <x v="6"/>
      <x v="727"/>
      <x v="47"/>
      <x v="47"/>
      <x/>
      <x/>
      <x v="448"/>
      <x v="558"/>
      <x v="26"/>
    </i>
    <i>
      <x v="970"/>
      <x v="27"/>
      <x v="608"/>
      <x v="6"/>
      <x v="890"/>
      <x v="622"/>
      <x v="394"/>
      <x/>
      <x/>
      <x v="333"/>
      <x v="678"/>
      <x v="38"/>
    </i>
    <i>
      <x v="522"/>
      <x v="19"/>
      <x v="98"/>
      <x v="6"/>
      <x v="456"/>
      <x v="484"/>
      <x v="4"/>
      <x/>
      <x/>
      <x v="172"/>
      <x/>
      <x v="86"/>
    </i>
    <i>
      <x v="520"/>
      <x v="19"/>
      <x v="98"/>
      <x v="6"/>
      <x v="456"/>
      <x v="483"/>
      <x v="4"/>
      <x/>
      <x/>
      <x v="172"/>
      <x/>
      <x v="86"/>
    </i>
    <i>
      <x v="815"/>
      <x v="27"/>
      <x v="479"/>
      <x v="6"/>
      <x v="737"/>
      <x v="37"/>
      <x v="58"/>
      <x/>
      <x/>
      <x v="278"/>
      <x v="101"/>
      <x v="14"/>
    </i>
    <i>
      <x v="723"/>
      <x v="27"/>
      <x v="435"/>
      <x v="6"/>
      <x v="645"/>
      <x v="541"/>
      <x v="336"/>
      <x/>
      <x/>
      <x v="298"/>
      <x v="494"/>
      <x v="43"/>
    </i>
    <i>
      <x v="749"/>
      <x v="27"/>
      <x v="359"/>
      <x v="6"/>
      <x v="671"/>
      <x v="112"/>
      <x v="58"/>
      <x/>
      <x/>
      <x v="333"/>
      <x v="511"/>
      <x v="57"/>
    </i>
    <i>
      <x v="948"/>
      <x v="27"/>
      <x v="445"/>
      <x v="6"/>
      <x v="868"/>
      <x v="71"/>
      <x v="47"/>
      <x/>
      <x/>
      <x v="448"/>
      <x v="666"/>
      <x v="46"/>
    </i>
    <i>
      <x v="720"/>
      <x v="27"/>
      <x v="432"/>
      <x v="6"/>
      <x v="642"/>
      <x v="47"/>
      <x v="33"/>
      <x/>
      <x/>
      <x v="251"/>
      <x v="489"/>
      <x v="46"/>
    </i>
    <i>
      <x v="898"/>
      <x v="27"/>
      <x v="556"/>
      <x v="6"/>
      <x v="820"/>
      <x v="51"/>
      <x v="374"/>
      <x/>
      <x/>
      <x v="450"/>
      <x v="164"/>
      <x v="46"/>
    </i>
    <i>
      <x v="700"/>
      <x v="21"/>
      <x v="99"/>
      <x v="6"/>
      <x v="454"/>
      <x v="495"/>
      <x v="4"/>
      <x/>
      <x/>
      <x v="172"/>
      <x/>
      <x v="86"/>
    </i>
    <i>
      <x v="968"/>
      <x v="27"/>
      <x v="606"/>
      <x/>
      <x v="888"/>
      <x v="99"/>
      <x v="126"/>
      <x/>
      <x/>
      <x v="486"/>
      <x v="676"/>
      <x v="9"/>
    </i>
    <i>
      <x v="28"/>
      <x v="6"/>
      <x v="88"/>
      <x v="4"/>
      <x v="19"/>
      <x v="496"/>
      <x v="307"/>
      <x/>
      <x/>
      <x v="179"/>
      <x v="469"/>
      <x v="86"/>
    </i>
    <i>
      <x v="890"/>
      <x v="28"/>
      <x v="550"/>
      <x v="4"/>
      <x v="812"/>
      <x v="32"/>
      <x v="19"/>
      <x/>
      <x/>
      <x v="474"/>
      <x v="191"/>
      <x v="50"/>
    </i>
    <i>
      <x v="694"/>
      <x v="3"/>
      <x v="75"/>
      <x v="6"/>
      <x v="453"/>
      <x v="485"/>
      <x v="4"/>
      <x/>
      <x/>
      <x v="172"/>
      <x/>
      <x v="86"/>
    </i>
    <i>
      <x v="827"/>
      <x v="19"/>
      <x v="502"/>
      <x v="4"/>
      <x v="749"/>
      <x v="576"/>
      <x v="359"/>
      <x/>
      <x/>
      <x v="179"/>
      <x v="572"/>
      <x v="86"/>
    </i>
    <i>
      <x v="792"/>
      <x v="28"/>
      <x v="460"/>
      <x v="6"/>
      <x v="714"/>
      <x v="141"/>
      <x v="62"/>
      <x/>
      <x/>
      <x v="442"/>
      <x v="546"/>
      <x v="66"/>
    </i>
    <i>
      <x v="708"/>
      <x v="21"/>
      <x v="99"/>
      <x v="6"/>
      <x v="454"/>
      <x v="510"/>
      <x v="4"/>
      <x/>
      <x/>
      <x v="172"/>
      <x/>
      <x v="86"/>
    </i>
    <i>
      <x v="538"/>
      <x v="6"/>
      <x v="316"/>
      <x v="4"/>
      <x v="481"/>
      <x v="545"/>
      <x v="339"/>
      <x/>
      <x/>
      <x v="179"/>
      <x v="497"/>
      <x v="86"/>
    </i>
    <i>
      <x v="526"/>
      <x v="19"/>
      <x v="98"/>
      <x v="6"/>
      <x v="456"/>
      <x v="480"/>
      <x v="4"/>
      <x/>
      <x/>
      <x v="172"/>
      <x/>
      <x v="86"/>
    </i>
    <i>
      <x v="724"/>
      <x v="27"/>
      <x v="436"/>
      <x v="6"/>
      <x v="646"/>
      <x v="59"/>
      <x v="43"/>
      <x/>
      <x/>
      <x v="415"/>
      <x v="459"/>
      <x v="46"/>
    </i>
    <i>
      <x v="965"/>
      <x v="28"/>
      <x v="604"/>
      <x v="6"/>
      <x v="885"/>
      <x v="76"/>
      <x v="62"/>
      <x/>
      <x/>
      <x v="264"/>
      <x v="675"/>
      <x v="36"/>
    </i>
    <i>
      <x v="954"/>
      <x/>
      <x v="492"/>
      <x v="6"/>
      <x v="874"/>
      <x v="50"/>
      <x v="43"/>
      <x/>
      <x/>
      <x v="263"/>
      <x v="670"/>
      <x v="36"/>
    </i>
    <i>
      <x v="725"/>
      <x v="27"/>
      <x v="437"/>
      <x v="6"/>
      <x v="647"/>
      <x v="471"/>
      <x v="70"/>
      <x/>
      <x/>
      <x v="287"/>
      <x v="451"/>
      <x v="9"/>
    </i>
    <i>
      <x v="809"/>
      <x v="27"/>
      <x v="491"/>
      <x v="6"/>
      <x v="731"/>
      <x v="83"/>
      <x v="78"/>
      <x/>
      <x/>
      <x v="294"/>
      <x v="562"/>
      <x v="26"/>
    </i>
    <i>
      <x v="857"/>
      <x v="27"/>
      <x v="521"/>
      <x v="6"/>
      <x v="779"/>
      <x v="349"/>
      <x v="74"/>
      <x/>
      <x/>
      <x v="333"/>
      <x v="593"/>
      <x v="9"/>
    </i>
    <i>
      <x v="524"/>
      <x v="19"/>
      <x v="98"/>
      <x v="6"/>
      <x v="456"/>
      <x v="498"/>
      <x v="4"/>
      <x/>
      <x/>
      <x v="172"/>
      <x/>
      <x v="86"/>
    </i>
    <i>
      <x v="525"/>
      <x v="19"/>
      <x v="98"/>
      <x v="6"/>
      <x v="456"/>
      <x v="502"/>
      <x v="4"/>
      <x/>
      <x/>
      <x v="172"/>
      <x/>
      <x v="86"/>
    </i>
    <i>
      <x v="761"/>
      <x v="28"/>
      <x v="458"/>
      <x v="6"/>
      <x v="683"/>
      <x v="128"/>
      <x v="47"/>
      <x/>
      <x/>
      <x v="271"/>
      <x v="520"/>
      <x v="69"/>
    </i>
    <i>
      <x v="763"/>
      <x v="27"/>
      <x v="443"/>
      <x v="6"/>
      <x v="685"/>
      <x v="560"/>
      <x v="16"/>
      <x/>
      <x/>
      <x v="434"/>
      <x v="522"/>
      <x v="36"/>
    </i>
    <i>
      <x v="30"/>
      <x v="6"/>
      <x v="77"/>
      <x v="4"/>
      <x v="19"/>
      <x v="504"/>
      <x v="309"/>
      <x/>
      <x/>
      <x v="179"/>
      <x v="471"/>
      <x v="86"/>
    </i>
    <i>
      <x v="852"/>
      <x v="20"/>
      <x v="516"/>
      <x v="4"/>
      <x v="774"/>
      <x v="584"/>
      <x v="366"/>
      <x/>
      <x/>
      <x v="180"/>
      <x v="589"/>
      <x v="10"/>
    </i>
    <i>
      <x v="861"/>
      <x v="28"/>
      <x v="520"/>
      <x v="4"/>
      <x v="783"/>
      <x v="587"/>
      <x v="370"/>
      <x/>
      <x/>
      <x v="469"/>
      <x v="595"/>
      <x v="66"/>
    </i>
    <i>
      <x v="765"/>
      <x v="28"/>
      <x v="464"/>
      <x v="6"/>
      <x v="687"/>
      <x v="141"/>
      <x v="62"/>
      <x/>
      <x/>
      <x v="264"/>
      <x v="524"/>
      <x v="66"/>
    </i>
    <i>
      <x v="966"/>
      <x v="27"/>
      <x v="605"/>
      <x v="6"/>
      <x v="886"/>
      <x v="50"/>
      <x v="27"/>
      <x/>
      <x/>
      <x v="485"/>
      <x v="60"/>
      <x v="56"/>
    </i>
    <i>
      <x v="932"/>
      <x v="20"/>
      <x v="589"/>
      <x v="4"/>
      <x v="854"/>
      <x v="31"/>
      <x v="85"/>
      <x/>
      <x/>
      <x v="217"/>
      <x v="654"/>
      <x v="3"/>
    </i>
    <i>
      <x v="31"/>
      <x v="6"/>
      <x v="82"/>
      <x v="4"/>
      <x v="19"/>
      <x v="519"/>
      <x v="315"/>
      <x/>
      <x/>
      <x v="179"/>
      <x v="477"/>
      <x v="86"/>
    </i>
    <i>
      <x v="846"/>
      <x v="28"/>
      <x v="511"/>
      <x v="6"/>
      <x v="768"/>
      <x v="37"/>
      <x v="33"/>
      <x/>
      <x/>
      <x v="299"/>
      <x v="459"/>
      <x v="36"/>
    </i>
    <i>
      <x v="743"/>
      <x v="27"/>
      <x v="449"/>
      <x v="6"/>
      <x v="665"/>
      <x v="25"/>
      <x v="43"/>
      <x/>
      <x/>
      <x v="300"/>
      <x v="509"/>
      <x v="14"/>
    </i>
    <i>
      <x v="793"/>
      <x v="27"/>
      <x v="466"/>
      <x v="6"/>
      <x v="715"/>
      <x v="23"/>
      <x v="62"/>
      <x/>
      <x/>
      <x v="333"/>
      <x v="131"/>
      <x v="110"/>
    </i>
    <i>
      <x v="18"/>
      <x v="3"/>
      <x v="75"/>
      <x v="6"/>
      <x v="453"/>
      <x v="482"/>
      <x v="4"/>
      <x/>
      <x/>
      <x v="172"/>
      <x/>
      <x v="86"/>
    </i>
    <i>
      <x v="731"/>
      <x v="28"/>
      <x v="441"/>
      <x v="6"/>
      <x v="653"/>
      <x v="547"/>
      <x v="85"/>
      <x/>
      <x/>
      <x v="419"/>
      <x v="499"/>
      <x v="109"/>
    </i>
    <i>
      <x v="735"/>
      <x v="27"/>
      <x v="362"/>
      <x v="6"/>
      <x v="657"/>
      <x v="549"/>
      <x v="341"/>
      <x/>
      <x/>
      <x v="423"/>
      <x v="502"/>
      <x v="23"/>
    </i>
    <i>
      <x v="920"/>
      <x v="28"/>
      <x v="578"/>
      <x v="4"/>
      <x v="842"/>
      <x v="608"/>
      <x v="89"/>
      <x/>
      <x/>
      <x v="344"/>
      <x v="643"/>
      <x v="3"/>
    </i>
    <i>
      <x v="892"/>
      <x v="27"/>
      <x v="552"/>
      <x v="6"/>
      <x v="814"/>
      <x v="17"/>
      <x v="33"/>
      <x/>
      <x/>
      <x v="333"/>
      <x v="621"/>
      <x v="14"/>
    </i>
    <i>
      <x v="698"/>
      <x v="21"/>
      <x v="99"/>
      <x v="6"/>
      <x v="454"/>
      <x v="491"/>
      <x v="4"/>
      <x/>
      <x/>
      <x v="172"/>
      <x/>
      <x v="86"/>
    </i>
    <i>
      <x v="796"/>
      <x v="28"/>
      <x v="485"/>
      <x v="6"/>
      <x v="718"/>
      <x v="189"/>
      <x v="126"/>
      <x/>
      <x/>
      <x v="443"/>
      <x v="549"/>
      <x v="111"/>
    </i>
    <i>
      <x v="701"/>
      <x v="21"/>
      <x v="99"/>
      <x v="6"/>
      <x v="454"/>
      <x v="497"/>
      <x v="4"/>
      <x/>
      <x/>
      <x v="172"/>
      <x/>
      <x v="86"/>
    </i>
    <i>
      <x v="850"/>
      <x v="21"/>
      <x v="514"/>
      <x v="6"/>
      <x v="772"/>
      <x v="583"/>
      <x v="365"/>
      <x/>
      <x/>
      <x v="464"/>
      <x v="587"/>
      <x v="26"/>
    </i>
    <i>
      <x v="649"/>
      <x v="20"/>
      <x v="399"/>
      <x v="4"/>
      <x v="591"/>
      <x v="455"/>
      <x v="47"/>
      <x/>
      <x/>
      <x v="197"/>
      <x v="444"/>
      <x v="22"/>
    </i>
    <i>
      <x v="696"/>
      <x v="3"/>
      <x v="75"/>
      <x v="6"/>
      <x v="453"/>
      <x v="489"/>
      <x v="4"/>
      <x/>
      <x/>
      <x v="172"/>
      <x/>
      <x v="86"/>
    </i>
    <i>
      <x v="971"/>
      <x v="27"/>
      <x v="609"/>
      <x v="6"/>
      <x v="891"/>
      <x v="571"/>
      <x v="223"/>
      <x/>
      <x/>
      <x v="330"/>
      <x v="77"/>
      <x v="26"/>
    </i>
    <i>
      <x v="985"/>
      <x/>
      <x v="622"/>
      <x v="4"/>
      <x v="906"/>
      <x v="631"/>
      <x v="401"/>
      <x/>
      <x/>
      <x v="489"/>
      <x v="687"/>
      <x v="46"/>
    </i>
    <i>
      <x v="858"/>
      <x v="27"/>
      <x v="522"/>
      <x v="6"/>
      <x v="780"/>
      <x v="26"/>
      <x v="33"/>
      <x/>
      <x/>
      <x v="333"/>
      <x v="594"/>
      <x v="26"/>
    </i>
    <i>
      <x v="877"/>
      <x v="21"/>
      <x v="540"/>
      <x v="4"/>
      <x v="799"/>
      <x v="83"/>
      <x v="78"/>
      <x/>
      <x/>
      <x v="214"/>
      <x v="425"/>
      <x v="26"/>
    </i>
    <i>
      <x v="833"/>
      <x v="27"/>
      <x v="505"/>
      <x v="6"/>
      <x v="755"/>
      <x v="47"/>
      <x v="70"/>
      <x/>
      <x/>
      <x v="333"/>
      <x v="577"/>
      <x v="11"/>
    </i>
    <i>
      <x v="876"/>
      <x v="28"/>
      <x v="539"/>
      <x v="4"/>
      <x v="798"/>
      <x v="166"/>
      <x v="85"/>
      <x/>
      <x/>
      <x v="217"/>
      <x v="607"/>
      <x v="56"/>
    </i>
    <i>
      <x v="856"/>
      <x v="28"/>
      <x v="520"/>
      <x v="6"/>
      <x v="778"/>
      <x v="587"/>
      <x v="370"/>
      <x/>
      <x/>
      <x v="467"/>
      <x v="155"/>
      <x v="66"/>
    </i>
    <i>
      <x v="958"/>
      <x v="28"/>
      <x v="511"/>
      <x v="6"/>
      <x v="878"/>
      <x v="141"/>
      <x v="62"/>
      <x/>
      <x/>
      <x v="264"/>
      <x v="672"/>
      <x v="66"/>
    </i>
    <i>
      <x v="787"/>
      <x v="27"/>
      <x v="479"/>
      <x v="6"/>
      <x v="709"/>
      <x v="76"/>
      <x v="78"/>
      <x/>
      <x/>
      <x v="294"/>
      <x v="542"/>
      <x v="23"/>
    </i>
    <i>
      <x v="786"/>
      <x v="27"/>
      <x v="416"/>
      <x v="6"/>
      <x v="708"/>
      <x v="26"/>
      <x v="47"/>
      <x/>
      <x/>
      <x v="252"/>
      <x v="202"/>
      <x v="11"/>
    </i>
    <i>
      <x v="710"/>
      <x v="21"/>
      <x v="99"/>
      <x v="6"/>
      <x v="454"/>
      <x v="514"/>
      <x v="4"/>
      <x/>
      <x/>
      <x v="172"/>
      <x/>
      <x v="86"/>
    </i>
    <i>
      <x v="896"/>
      <x v="27"/>
      <x v="552"/>
      <x v="6"/>
      <x v="818"/>
      <x v="25"/>
      <x v="43"/>
      <x/>
      <x/>
      <x v="333"/>
      <x v="625"/>
      <x v="14"/>
    </i>
    <i>
      <x v="750"/>
      <x v="27"/>
      <x v="454"/>
      <x v="6"/>
      <x v="672"/>
      <x v="556"/>
      <x v="74"/>
      <x/>
      <x/>
      <x v="427"/>
      <x v="108"/>
      <x v="17"/>
    </i>
    <i>
      <x v="947"/>
      <x v="28"/>
      <x v="101"/>
      <x v="6"/>
      <x v="455"/>
      <x v="620"/>
      <x v="4"/>
      <x/>
      <x/>
      <x v="172"/>
      <x/>
      <x v="86"/>
    </i>
    <i>
      <x v="733"/>
      <x v="27"/>
      <x v="436"/>
      <x v="6"/>
      <x v="655"/>
      <x v="59"/>
      <x v="43"/>
      <x/>
      <x/>
      <x v="421"/>
      <x v="424"/>
      <x v="46"/>
    </i>
    <i>
      <x v="523"/>
      <x v="19"/>
      <x v="98"/>
      <x v="6"/>
      <x v="456"/>
      <x v="477"/>
      <x v="4"/>
      <x/>
      <x/>
      <x v="172"/>
      <x/>
      <x v="86"/>
    </i>
    <i>
      <x v="967"/>
      <x v="27"/>
      <x v="556"/>
      <x v="6"/>
      <x v="887"/>
      <x v="47"/>
      <x v="33"/>
      <x/>
      <x/>
      <x v="298"/>
      <x v="96"/>
      <x v="46"/>
    </i>
    <i>
      <x v="837"/>
      <x v="27"/>
      <x v="505"/>
      <x v="6"/>
      <x v="759"/>
      <x v="68"/>
      <x v="96"/>
      <x/>
      <x/>
      <x v="333"/>
      <x v="579"/>
      <x v="11"/>
    </i>
    <i>
      <x v="675"/>
      <x v="27"/>
      <x v="416"/>
      <x v="6"/>
      <x v="617"/>
      <x v="37"/>
      <x v="62"/>
      <x/>
      <x/>
      <x v="281"/>
      <x v="50"/>
      <x v="11"/>
    </i>
    <i>
      <x v="774"/>
      <x v="27"/>
      <x v="470"/>
      <x v="6"/>
      <x v="696"/>
      <x v="20"/>
      <x v="36"/>
      <x/>
      <x/>
      <x v="292"/>
      <x v="34"/>
      <x v="14"/>
    </i>
    <i>
      <x v="924"/>
      <x v="27"/>
      <x v="582"/>
      <x v="6"/>
      <x v="846"/>
      <x v="95"/>
      <x v="70"/>
      <x/>
      <x/>
      <x v="333"/>
      <x v="646"/>
      <x v="36"/>
    </i>
    <i>
      <x v="888"/>
      <x v="27"/>
      <x v="533"/>
      <x v="6"/>
      <x v="810"/>
      <x v="597"/>
      <x v="374"/>
      <x/>
      <x/>
      <x v="333"/>
      <x v="618"/>
      <x v="7"/>
    </i>
    <i>
      <x v="771"/>
      <x v="27"/>
      <x v="466"/>
      <x v="6"/>
      <x v="693"/>
      <x v="23"/>
      <x v="62"/>
      <x/>
      <x/>
      <x v="333"/>
      <x v="528"/>
      <x v="110"/>
    </i>
    <i>
      <x v="986"/>
      <x v="27"/>
      <x v="623"/>
      <x v="6"/>
      <x v="907"/>
      <x v="632"/>
      <x v="402"/>
      <x/>
      <x/>
      <x v="333"/>
      <x v="678"/>
      <x v="56"/>
    </i>
    <i>
      <x v="926"/>
      <x v="27"/>
      <x v="584"/>
      <x v="6"/>
      <x v="848"/>
      <x v="95"/>
      <x v="62"/>
      <x/>
      <x/>
      <x v="333"/>
      <x v="648"/>
      <x v="46"/>
    </i>
    <i>
      <x v="953"/>
      <x v="27"/>
      <x v="505"/>
      <x v="6"/>
      <x v="873"/>
      <x v="111"/>
      <x v="124"/>
      <x/>
      <x/>
      <x v="333"/>
      <x v="669"/>
      <x v="11"/>
    </i>
    <i>
      <x v="903"/>
      <x v="27"/>
      <x v="561"/>
      <x v="6"/>
      <x v="825"/>
      <x v="53"/>
      <x v="58"/>
      <x/>
      <x/>
      <x v="278"/>
      <x v="138"/>
      <x v="26"/>
    </i>
    <i>
      <x v="812"/>
      <x v="27"/>
      <x v="496"/>
      <x v="6"/>
      <x v="734"/>
      <x v="571"/>
      <x v="19"/>
      <x/>
      <x/>
      <x v="301"/>
      <x v="164"/>
      <x v="17"/>
    </i>
    <i>
      <x v="784"/>
      <x v="27"/>
      <x v="476"/>
      <x v="6"/>
      <x v="706"/>
      <x v="179"/>
      <x v="155"/>
      <x/>
      <x/>
      <x v="440"/>
      <x v="540"/>
      <x v="14"/>
    </i>
    <i>
      <x v="834"/>
      <x v="27"/>
      <x v="496"/>
      <x v="6"/>
      <x v="756"/>
      <x v="21"/>
      <x v="33"/>
      <x/>
      <x/>
      <x v="251"/>
      <x v="94"/>
      <x v="17"/>
    </i>
    <i>
      <x v="979"/>
      <x v="2"/>
      <x v="616"/>
      <x v="6"/>
      <x v="899"/>
      <x v="627"/>
      <x v="398"/>
      <x/>
      <x/>
      <x v="333"/>
      <x v="682"/>
      <x v="3"/>
    </i>
    <i>
      <x v="866"/>
      <x v="27"/>
      <x v="529"/>
      <x v="6"/>
      <x v="788"/>
      <x v="17"/>
      <x v="23"/>
      <x/>
      <x/>
      <x v="333"/>
      <x v="600"/>
      <x v="26"/>
    </i>
    <i>
      <x v="929"/>
      <x v="27"/>
      <x v="587"/>
      <x v="6"/>
      <x v="851"/>
      <x v="91"/>
      <x v="93"/>
      <x/>
      <x/>
      <x v="333"/>
      <x v="651"/>
      <x v="20"/>
    </i>
    <i>
      <x v="716"/>
      <x v="27"/>
      <x v="362"/>
      <x v="6"/>
      <x v="638"/>
      <x v="530"/>
      <x v="325"/>
      <x/>
      <x/>
      <x v="412"/>
      <x v="485"/>
      <x v="23"/>
    </i>
    <i>
      <x v="952"/>
      <x v="27"/>
      <x v="599"/>
      <x v="6"/>
      <x v="872"/>
      <x v="83"/>
      <x v="58"/>
      <x/>
      <x/>
      <x v="278"/>
      <x v="668"/>
      <x v="46"/>
    </i>
    <i>
      <x v="1004"/>
      <x v="27"/>
      <x v="633"/>
      <x v="6"/>
      <x v="925"/>
      <x v="636"/>
      <x v="406"/>
      <x/>
      <x/>
      <x v="333"/>
      <x v="81"/>
      <x v="11"/>
    </i>
    <i>
      <x v="745"/>
      <x v="10"/>
      <x v="450"/>
      <x v="4"/>
      <x v="667"/>
      <x v="553"/>
      <x v="344"/>
      <x/>
      <x/>
      <x v="179"/>
      <x v="510"/>
      <x v="86"/>
    </i>
    <i>
      <x v="695"/>
      <x v="26"/>
      <x v="426"/>
      <x v="6"/>
      <x v="635"/>
      <x v="488"/>
      <x v="4"/>
      <x/>
      <x/>
      <x v="172"/>
      <x/>
      <x v="86"/>
    </i>
    <i>
      <x v="611"/>
      <x v="27"/>
      <x v="376"/>
      <x v="6"/>
      <x v="554"/>
      <x v="436"/>
      <x v="11"/>
      <x/>
      <x/>
      <x v="368"/>
      <x v="94"/>
      <x v="50"/>
    </i>
    <i>
      <x v="751"/>
      <x v="27"/>
      <x v="435"/>
      <x v="6"/>
      <x v="673"/>
      <x v="557"/>
      <x v="346"/>
      <x/>
      <x/>
      <x v="428"/>
      <x v="512"/>
      <x v="43"/>
    </i>
    <i>
      <x v="816"/>
      <x v="27"/>
      <x v="496"/>
      <x v="6"/>
      <x v="738"/>
      <x v="21"/>
      <x v="33"/>
      <x/>
      <x/>
      <x v="451"/>
      <x v="31"/>
      <x v="17"/>
    </i>
    <i>
      <x v="871"/>
      <x v="28"/>
      <x v="534"/>
      <x v="6"/>
      <x v="793"/>
      <x v="117"/>
      <x v="47"/>
      <x/>
      <x/>
      <x v="471"/>
      <x v="77"/>
      <x v="66"/>
    </i>
    <i>
      <x v="961"/>
      <x v="28"/>
      <x v="603"/>
      <x v="6"/>
      <x v="881"/>
      <x v="117"/>
      <x v="47"/>
      <x/>
      <x/>
      <x v="255"/>
      <x v="673"/>
      <x v="66"/>
    </i>
    <i>
      <x v="1039"/>
      <x v="27"/>
      <x v="656"/>
      <x v="6"/>
      <x v="959"/>
      <x v="651"/>
      <x v="415"/>
      <x/>
      <x/>
      <x v="333"/>
      <x v="99"/>
      <x v="50"/>
    </i>
    <i>
      <x v="768"/>
      <x v="27"/>
      <x v="466"/>
      <x v="6"/>
      <x v="690"/>
      <x v="23"/>
      <x v="62"/>
      <x/>
      <x/>
      <x v="333"/>
      <x v="388"/>
      <x v="110"/>
    </i>
    <i>
      <x v="980"/>
      <x v="27"/>
      <x v="617"/>
      <x v="6"/>
      <x v="900"/>
      <x v="29"/>
      <x v="27"/>
      <x/>
      <x/>
      <x v="333"/>
      <x v="683"/>
      <x v="36"/>
    </i>
    <i>
      <x v="962"/>
      <x v="28"/>
      <x v="560"/>
      <x v="6"/>
      <x v="882"/>
      <x v="26"/>
      <x v="19"/>
      <x/>
      <x/>
      <x v="301"/>
      <x v="60"/>
      <x v="46"/>
    </i>
    <i>
      <x v="1023"/>
      <x v="19"/>
      <x v="98"/>
      <x v="6"/>
      <x v="456"/>
      <x v="647"/>
      <x v="4"/>
      <x/>
      <x/>
      <x v="172"/>
      <x/>
      <x v="86"/>
    </i>
    <i>
      <x v="736"/>
      <x v="27"/>
      <x v="443"/>
      <x v="6"/>
      <x v="658"/>
      <x v="29"/>
      <x v="27"/>
      <x/>
      <x/>
      <x v="310"/>
      <x v="503"/>
      <x v="36"/>
    </i>
    <i>
      <x v="730"/>
      <x v="27"/>
      <x v="440"/>
      <x v="6"/>
      <x v="652"/>
      <x v="37"/>
      <x v="43"/>
      <x/>
      <x/>
      <x v="415"/>
      <x v="108"/>
      <x v="26"/>
    </i>
    <i>
      <x v="998"/>
      <x v="27"/>
      <x v="522"/>
      <x v="6"/>
      <x v="919"/>
      <x v="37"/>
      <x v="43"/>
      <x/>
      <x/>
      <x v="333"/>
      <x v="695"/>
      <x v="26"/>
    </i>
    <i>
      <x v="899"/>
      <x v="27"/>
      <x v="557"/>
      <x v="6"/>
      <x v="821"/>
      <x v="47"/>
      <x v="78"/>
      <x/>
      <x/>
      <x v="333"/>
      <x v="627"/>
      <x v="9"/>
    </i>
    <i>
      <x v="1003"/>
      <x v="27"/>
      <x v="633"/>
      <x v="6"/>
      <x v="924"/>
      <x v="635"/>
      <x v="405"/>
      <x/>
      <x/>
      <x v="333"/>
      <x v="583"/>
      <x v="26"/>
    </i>
    <i>
      <x v="906"/>
      <x v="27"/>
      <x v="564"/>
      <x v="6"/>
      <x v="828"/>
      <x v="26"/>
      <x v="19"/>
      <x/>
      <x/>
      <x v="301"/>
      <x v="631"/>
      <x v="46"/>
    </i>
    <i>
      <x v="859"/>
      <x v="27"/>
      <x v="523"/>
      <x v="6"/>
      <x v="781"/>
      <x v="349"/>
      <x v="43"/>
      <x/>
      <x/>
      <x v="298"/>
      <x v="83"/>
      <x v="31"/>
    </i>
    <i>
      <x v="855"/>
      <x v="21"/>
      <x v="519"/>
      <x v="4"/>
      <x v="777"/>
      <x v="586"/>
      <x v="369"/>
      <x/>
      <x/>
      <x v="202"/>
      <x v="592"/>
      <x v="11"/>
    </i>
    <i>
      <x v="909"/>
      <x v="28"/>
      <x v="567"/>
      <x v="6"/>
      <x v="831"/>
      <x v="198"/>
      <x v="124"/>
      <x/>
      <x/>
      <x v="478"/>
      <x v="634"/>
      <x v="46"/>
    </i>
    <i>
      <x v="893"/>
      <x v="27"/>
      <x v="525"/>
      <x v="6"/>
      <x v="815"/>
      <x v="83"/>
      <x v="78"/>
      <x/>
      <x/>
      <x v="475"/>
      <x v="622"/>
      <x v="26"/>
    </i>
    <i>
      <x v="29"/>
      <x v="6"/>
      <x v="76"/>
      <x v="4"/>
      <x v="19"/>
      <x v="500"/>
      <x v="308"/>
      <x/>
      <x/>
      <x v="179"/>
      <x v="470"/>
      <x v="86"/>
    </i>
    <i>
      <x v="851"/>
      <x v="27"/>
      <x v="515"/>
      <x v="6"/>
      <x v="773"/>
      <x v="117"/>
      <x v="97"/>
      <x/>
      <x/>
      <x v="333"/>
      <x v="588"/>
      <x v="26"/>
    </i>
    <i>
      <x v="997"/>
      <x v="27"/>
      <x v="629"/>
      <x v="6"/>
      <x v="918"/>
      <x v="10"/>
      <x v="29"/>
      <x/>
      <x/>
      <x v="333"/>
      <x v="694"/>
      <x v="11"/>
    </i>
    <i>
      <x v="865"/>
      <x v="27"/>
      <x v="528"/>
      <x v="6"/>
      <x v="787"/>
      <x v="31"/>
      <x v="374"/>
      <x/>
      <x/>
      <x v="333"/>
      <x v="599"/>
      <x v="26"/>
    </i>
    <i>
      <x v="862"/>
      <x v="27"/>
      <x v="525"/>
      <x v="6"/>
      <x v="784"/>
      <x v="35"/>
      <x v="371"/>
      <x/>
      <x/>
      <x v="470"/>
      <x v="596"/>
      <x v="26"/>
    </i>
    <i>
      <x v="889"/>
      <x v="27"/>
      <x v="525"/>
      <x v="6"/>
      <x v="811"/>
      <x v="26"/>
      <x v="33"/>
      <x/>
      <x/>
      <x v="408"/>
      <x v="619"/>
      <x v="26"/>
    </i>
    <i>
      <x v="897"/>
      <x v="28"/>
      <x v="555"/>
      <x v="6"/>
      <x v="819"/>
      <x v="212"/>
      <x v="106"/>
      <x/>
      <x/>
      <x v="477"/>
      <x v="626"/>
      <x v="66"/>
    </i>
    <i>
      <x v="956"/>
      <x v="27"/>
      <x v="601"/>
      <x v="6"/>
      <x v="876"/>
      <x v="71"/>
      <x v="33"/>
      <x/>
      <x/>
      <x v="333"/>
      <x v="124"/>
      <x v="66"/>
    </i>
    <i>
      <x v="870"/>
      <x v="27"/>
      <x v="533"/>
      <x v="6"/>
      <x v="792"/>
      <x v="591"/>
      <x v="19"/>
      <x/>
      <x/>
      <x v="333"/>
      <x v="104"/>
      <x v="7"/>
    </i>
    <i>
      <x v="1018"/>
      <x v="27"/>
      <x v="552"/>
      <x v="6"/>
      <x v="939"/>
      <x v="76"/>
      <x v="96"/>
      <x/>
      <x/>
      <x v="333"/>
      <x v="704"/>
      <x v="14"/>
    </i>
    <i>
      <x v="1061"/>
      <x v="27"/>
      <x v="531"/>
      <x v="6"/>
      <x v="981"/>
      <x v="68"/>
      <x v="96"/>
      <x/>
      <x/>
      <x v="333"/>
      <x v="722"/>
      <x v="11"/>
    </i>
    <i>
      <x v="964"/>
      <x v="28"/>
      <x v="560"/>
      <x v="6"/>
      <x v="884"/>
      <x v="26"/>
      <x v="19"/>
      <x/>
      <x/>
      <x v="296"/>
      <x v="24"/>
      <x v="46"/>
    </i>
    <i>
      <x v="1009"/>
      <x v="21"/>
      <x v="636"/>
      <x v="4"/>
      <x v="930"/>
      <x v="641"/>
      <x v="409"/>
      <x/>
      <x/>
      <x v="190"/>
      <x v="701"/>
      <x v="36"/>
    </i>
    <i>
      <x v="1006"/>
      <x v="27"/>
      <x v="623"/>
      <x v="6"/>
      <x v="927"/>
      <x v="638"/>
      <x v="408"/>
      <x/>
      <x/>
      <x v="333"/>
      <x v="699"/>
      <x v="56"/>
    </i>
    <i>
      <x v="1005"/>
      <x v="27"/>
      <x v="623"/>
      <x v="6"/>
      <x v="926"/>
      <x v="637"/>
      <x v="407"/>
      <x/>
      <x/>
      <x v="333"/>
      <x v="698"/>
      <x v="56"/>
    </i>
    <i>
      <x v="726"/>
      <x v="27"/>
      <x v="432"/>
      <x v="6"/>
      <x v="648"/>
      <x v="543"/>
      <x v="33"/>
      <x/>
      <x/>
      <x v="251"/>
      <x v="495"/>
      <x v="108"/>
    </i>
    <i>
      <x v="1002"/>
      <x v="28"/>
      <x v="632"/>
      <x v="6"/>
      <x v="923"/>
      <x v="67"/>
      <x v="43"/>
      <x/>
      <x/>
      <x v="424"/>
      <x v="697"/>
      <x v="49"/>
    </i>
    <i>
      <x v="987"/>
      <x v="27"/>
      <x v="557"/>
      <x v="6"/>
      <x v="908"/>
      <x v="26"/>
      <x v="58"/>
      <x/>
      <x/>
      <x v="333"/>
      <x v="688"/>
      <x v="9"/>
    </i>
    <i>
      <x v="521"/>
      <x v="5"/>
      <x v="308"/>
      <x v="4"/>
      <x v="473"/>
      <x v="4"/>
      <x v="4"/>
      <x/>
      <x/>
      <x v="333"/>
      <x/>
      <x v="86"/>
    </i>
    <i>
      <x v="713"/>
      <x v="11"/>
      <x v="427"/>
      <x v="4"/>
      <x v="636"/>
      <x v="520"/>
      <x v="316"/>
      <x/>
      <x/>
      <x v="179"/>
      <x/>
      <x v="86"/>
    </i>
    <i>
      <x v="39"/>
      <x v="11"/>
      <x v="290"/>
      <x v="4"/>
      <x v="30"/>
      <x v="531"/>
      <x v="326"/>
      <x/>
      <x/>
      <x v="179"/>
      <x/>
      <x v="86"/>
    </i>
    <i>
      <x v="328"/>
      <x v="11"/>
      <x v="84"/>
      <x v="4"/>
      <x v="26"/>
      <x v="526"/>
      <x v="321"/>
      <x/>
      <x/>
      <x v="179"/>
      <x/>
      <x v="86"/>
    </i>
    <i>
      <x v="327"/>
      <x v="11"/>
      <x v="79"/>
      <x v="6"/>
      <x v="27"/>
      <x v="539"/>
      <x v="334"/>
      <x/>
      <x/>
      <x v="318"/>
      <x/>
      <x v="86"/>
    </i>
    <i>
      <x v="44"/>
      <x v="11"/>
      <x v="289"/>
      <x v="4"/>
      <x v="21"/>
      <x v="542"/>
      <x v="337"/>
      <x/>
      <x/>
      <x v="179"/>
      <x/>
      <x v="86"/>
    </i>
    <i>
      <x v="719"/>
      <x v="13"/>
      <x v="431"/>
      <x v="6"/>
      <x v="641"/>
      <x v="535"/>
      <x v="330"/>
      <x/>
      <x/>
      <x v="318"/>
      <x/>
      <x v="86"/>
    </i>
    <i t="grand">
      <x/>
    </i>
  </rowItems>
  <colFields count="1">
    <field x="1"/>
  </colFields>
  <colItems count="3">
    <i>
      <x v="45"/>
    </i>
    <i>
      <x v="47"/>
    </i>
    <i>
      <x v="44"/>
    </i>
  </colItems>
  <dataFields count="1">
    <dataField name="Gross Loss by" fld="13" baseField="0" baseItem="0"/>
  </dataFields>
  <formats count="28">
    <format dxfId="128">
      <pivotArea dataOnly="0" labelOnly="1" outline="0" fieldPosition="0">
        <references count="1">
          <reference field="12" count="0"/>
        </references>
      </pivotArea>
    </format>
    <format dxfId="127">
      <pivotArea dataOnly="0" labelOnly="1" outline="0" fieldPosition="0">
        <references count="1">
          <reference field="11" count="0"/>
        </references>
      </pivotArea>
    </format>
    <format dxfId="126">
      <pivotArea dataOnly="0" outline="0" fieldPosition="0">
        <references count="1">
          <reference field="1" count="0"/>
        </references>
      </pivotArea>
    </format>
    <format dxfId="125">
      <pivotArea dataOnly="0" labelOnly="1" outline="0" fieldPosition="0">
        <references count="1">
          <reference field="1" count="0"/>
        </references>
      </pivotArea>
    </format>
    <format dxfId="124">
      <pivotArea dataOnly="0" labelOnly="1" outline="0" fieldPosition="0">
        <references count="1">
          <reference field="7" count="0"/>
        </references>
      </pivotArea>
    </format>
    <format dxfId="123">
      <pivotArea dataOnly="0" labelOnly="1" outline="0" fieldPosition="0">
        <references count="1">
          <reference field="8" count="0"/>
        </references>
      </pivotArea>
    </format>
    <format dxfId="122">
      <pivotArea dataOnly="0" labelOnly="1" outline="0" fieldPosition="0">
        <references count="1">
          <reference field="9" count="0"/>
        </references>
      </pivotArea>
    </format>
    <format dxfId="121">
      <pivotArea dataOnly="0" labelOnly="1" outline="0" fieldPosition="0">
        <references count="1">
          <reference field="6" count="0"/>
        </references>
      </pivotArea>
    </format>
    <format dxfId="120">
      <pivotArea type="origin" dataOnly="0" labelOnly="1" outline="0" fieldPosition="0"/>
    </format>
    <format dxfId="119">
      <pivotArea type="origin" dataOnly="0" labelOnly="1" outline="0" fieldPosition="0"/>
    </format>
    <format dxfId="118">
      <pivotArea field="1" type="button" dataOnly="0" labelOnly="1" outline="0" axis="axisCol" fieldPosition="0"/>
    </format>
    <format dxfId="117">
      <pivotArea type="topRight" dataOnly="0" labelOnly="1" outline="0" fieldPosition="0"/>
    </format>
    <format dxfId="116">
      <pivotArea field="0" type="button" dataOnly="0" labelOnly="1" outline="0" axis="axisRow" fieldPosition="0"/>
    </format>
    <format dxfId="115">
      <pivotArea field="2" type="button" dataOnly="0" labelOnly="1" outline="0" axis="axisRow" fieldPosition="1"/>
    </format>
    <format dxfId="114">
      <pivotArea field="3" type="button" dataOnly="0" labelOnly="1" outline="0" axis="axisRow" fieldPosition="2"/>
    </format>
    <format dxfId="113">
      <pivotArea field="4" type="button" dataOnly="0" labelOnly="1" outline="0" axis="axisRow" fieldPosition="3"/>
    </format>
    <format dxfId="112">
      <pivotArea field="5" type="button" dataOnly="0" labelOnly="1" outline="0" axis="axisRow" fieldPosition="4"/>
    </format>
    <format dxfId="111">
      <pivotArea field="6" type="button" dataOnly="0" labelOnly="1" outline="0" axis="axisRow" fieldPosition="5"/>
    </format>
    <format dxfId="110">
      <pivotArea field="7" type="button" dataOnly="0" labelOnly="1" outline="0" axis="axisRow" fieldPosition="6"/>
    </format>
    <format dxfId="109">
      <pivotArea field="8" type="button" dataOnly="0" labelOnly="1" outline="0" axis="axisRow" fieldPosition="7"/>
    </format>
    <format dxfId="108">
      <pivotArea field="9" type="button" dataOnly="0" labelOnly="1" outline="0" axis="axisRow" fieldPosition="8"/>
    </format>
    <format dxfId="107">
      <pivotArea field="10" type="button" dataOnly="0" labelOnly="1" outline="0" axis="axisRow" fieldPosition="9"/>
    </format>
    <format dxfId="106">
      <pivotArea field="11" type="button" dataOnly="0" labelOnly="1" outline="0" axis="axisRow" fieldPosition="10"/>
    </format>
    <format dxfId="105">
      <pivotArea field="12" type="button" dataOnly="0" labelOnly="1" outline="0" axis="axisRow" fieldPosition="11"/>
    </format>
    <format dxfId="104">
      <pivotArea dataOnly="0" labelOnly="1" outline="0" fieldPosition="0">
        <references count="1">
          <reference field="1" count="0"/>
        </references>
      </pivotArea>
    </format>
    <format dxfId="103">
      <pivotArea type="origin" dataOnly="0" labelOnly="1" outline="0" fieldPosition="0"/>
    </format>
    <format dxfId="102">
      <pivotArea type="all" dataOnly="0" outline="0" fieldPosition="0"/>
    </format>
    <format dxfId="101">
      <pivotArea type="all" dataOnly="0" outline="0" fieldPosition="0"/>
    </format>
  </formats>
  <pivotTableStyleInfo name="PivotStyleLight1" showRowHeaders="0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09CE54-369E-4366-98E4-EF91B8AF4F84}" name="LossTable" displayName="LossTable" ref="D2:Y1010" totalsRowShown="0" headerRowBorderDxfId="100">
  <autoFilter ref="D2:Y1010" xr:uid="{5F09CE54-369E-4366-98E4-EF91B8AF4F84}"/>
  <tableColumns count="22">
    <tableColumn id="1" xr3:uid="{321BC8B6-CDDB-4BD4-A23D-C366B4A39DF8}" name="Layerkey"/>
    <tableColumn id="2" xr3:uid="{5153C442-64F7-4B38-A865-86506BBB0D6B}" name="EventID"/>
    <tableColumn id="3" xr3:uid="{674134F0-A880-45A2-ADF8-334085A1D312}" name="Department" dataDxfId="99" dataCellStyle="Comma"/>
    <tableColumn id="17" xr3:uid="{A455922E-65F5-40A1-ADFA-28690CBAFE16}" name="Company" dataDxfId="98" dataCellStyle="Comma"/>
    <tableColumn id="16" xr3:uid="{3305F99B-82D7-49A2-A635-B6D532669CD2}" name="Subtype" dataDxfId="97" dataCellStyle="Comma"/>
    <tableColumn id="15" xr3:uid="{31CD49FF-58D9-4C6B-9938-328A3C564E7A}" name="Contract" dataDxfId="96" dataCellStyle="Comma"/>
    <tableColumn id="14" xr3:uid="{0F0A48A0-248D-4EC7-83B0-9318A1D631CC}" name="Everest Limit" dataDxfId="95" dataCellStyle="Comma"/>
    <tableColumn id="13" xr3:uid="{A5C4386D-7CA3-4A93-8C1D-F02F458876E1}" name="100% Limit" dataDxfId="94" dataCellStyle="Comma"/>
    <tableColumn id="12" xr3:uid="{3B741D23-74E3-469E-A9B1-74F5E364D0EA}" name="Retention" dataDxfId="93" dataCellStyle="Comma"/>
    <tableColumn id="11" xr3:uid="{7E62AF62-5D1D-4BD2-8342-C6AE246192A2}" name="Aggregate Deductible" dataDxfId="92" dataCellStyle="Comma"/>
    <tableColumn id="10" xr3:uid="{6870700B-BFB5-4A3C-B520-AEF06873D7D5}" name="Terms" dataDxfId="91" dataCellStyle="Comma"/>
    <tableColumn id="9" xr3:uid="{A5E9F738-49ED-4B83-B66C-C0AD49083260}" name="ROL" dataDxfId="90" dataCellStyle="Comma"/>
    <tableColumn id="8" xr3:uid="{B015812D-7C4A-46A6-AA99-B7A3B286658B}" name="Share" dataDxfId="89" dataCellStyle="Comma"/>
    <tableColumn id="4" xr3:uid="{AD33F5C2-46CB-4B5C-87BB-B2D296F5B594}" name="Gross" dataDxfId="88" dataCellStyle="Comma"/>
    <tableColumn id="5" xr3:uid="{5C5AE5D0-171A-450F-9035-BDBF2162A5AD}" name="NetOfLogan" dataDxfId="87" dataCellStyle="Comma"/>
    <tableColumn id="18" xr3:uid="{2C739032-623F-4C79-80A1-C946F2CE35AC}" name="NetofAllCessions" dataDxfId="86" dataCellStyle="Comma"/>
    <tableColumn id="6" xr3:uid="{3B57CA0B-719F-4F86-B265-ECB6380F6E73}" name="Expected_RIPs" dataDxfId="85" dataCellStyle="Comma"/>
    <tableColumn id="22" xr3:uid="{DB58E5F9-B3DD-49B4-ADA3-E17904DB95D2}" name="MaxWind (mph)" dataDxfId="84" dataCellStyle="Comma"/>
    <tableColumn id="21" xr3:uid="{9BAAA3AE-66B3-43EB-BF6F-3C5AC3DE4C7F}" name="Landfall" dataDxfId="83" dataCellStyle="Comma"/>
    <tableColumn id="20" xr3:uid="{7D8E2F21-F597-4206-8463-2E6345AF7A84}" name="Industry_Loss (USDm)" dataDxfId="82" dataCellStyle="Comma"/>
    <tableColumn id="23" xr3:uid="{2538BAAB-769D-46ED-B12D-2148D382B07C}" name="Manual Override" dataDxfId="81" dataCellStyle="Comma"/>
    <tableColumn id="7" xr3:uid="{7A50A71E-08C2-4336-9C73-CF1426D38208}" name="Department_Map" dataDxfId="80" dataCellStyle="Comma">
      <calculatedColumnFormula>VLOOKUP(LossTable[[#This Row],[Department]],$A$15:$B$40,2,FALSE)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34C07-CD13-455D-9E45-CDC7B41A1DA3}">
  <sheetPr codeName="Sheet1"/>
  <dimension ref="A1:J49"/>
  <sheetViews>
    <sheetView topLeftCell="A16" zoomScaleNormal="100" workbookViewId="0">
      <selection activeCell="L27" sqref="L27"/>
    </sheetView>
  </sheetViews>
  <sheetFormatPr defaultRowHeight="15" x14ac:dyDescent="0.25"/>
  <cols>
    <col min="1" max="1" width="15.140625" customWidth="1"/>
    <col min="2" max="2" width="14.85546875" hidden="1" customWidth="1"/>
    <col min="3" max="3" width="14.28515625" bestFit="1" customWidth="1"/>
    <col min="4" max="6" width="11.28515625" bestFit="1" customWidth="1"/>
    <col min="7" max="7" width="12.28515625" bestFit="1" customWidth="1"/>
    <col min="8" max="8" width="16.7109375" bestFit="1" customWidth="1"/>
    <col min="9" max="10" width="12.28515625" bestFit="1" customWidth="1"/>
    <col min="11" max="12" width="12" bestFit="1" customWidth="1"/>
    <col min="13" max="13" width="8.5703125" bestFit="1" customWidth="1"/>
    <col min="14" max="15" width="12" bestFit="1" customWidth="1"/>
    <col min="16" max="16" width="9.85546875" bestFit="1" customWidth="1"/>
    <col min="17" max="19" width="12" bestFit="1" customWidth="1"/>
    <col min="20" max="20" width="9.85546875" bestFit="1" customWidth="1"/>
    <col min="21" max="23" width="12" bestFit="1" customWidth="1"/>
    <col min="24" max="24" width="12.7109375" bestFit="1" customWidth="1"/>
    <col min="25" max="25" width="12" bestFit="1" customWidth="1"/>
    <col min="26" max="26" width="12.7109375" bestFit="1" customWidth="1"/>
    <col min="27" max="27" width="13.42578125" bestFit="1" customWidth="1"/>
    <col min="28" max="28" width="13.140625" bestFit="1" customWidth="1"/>
    <col min="29" max="29" width="19" bestFit="1" customWidth="1"/>
    <col min="30" max="33" width="12" bestFit="1" customWidth="1"/>
    <col min="34" max="34" width="15.5703125" bestFit="1" customWidth="1"/>
    <col min="35" max="35" width="12" bestFit="1" customWidth="1"/>
    <col min="36" max="36" width="14.85546875" bestFit="1" customWidth="1"/>
    <col min="37" max="37" width="12" bestFit="1" customWidth="1"/>
    <col min="38" max="38" width="9.7109375" bestFit="1" customWidth="1"/>
    <col min="39" max="39" width="12" bestFit="1" customWidth="1"/>
    <col min="40" max="40" width="15" bestFit="1" customWidth="1"/>
    <col min="42" max="42" width="12.140625" bestFit="1" customWidth="1"/>
    <col min="43" max="43" width="17.28515625" bestFit="1" customWidth="1"/>
    <col min="44" max="44" width="12" bestFit="1" customWidth="1"/>
    <col min="45" max="45" width="10.7109375" bestFit="1" customWidth="1"/>
    <col min="46" max="46" width="12" bestFit="1" customWidth="1"/>
    <col min="47" max="47" width="12.7109375" bestFit="1" customWidth="1"/>
    <col min="48" max="48" width="12" bestFit="1" customWidth="1"/>
    <col min="49" max="49" width="12.7109375" bestFit="1" customWidth="1"/>
    <col min="50" max="50" width="13.42578125" bestFit="1" customWidth="1"/>
    <col min="51" max="51" width="13.140625" bestFit="1" customWidth="1"/>
    <col min="52" max="52" width="19" bestFit="1" customWidth="1"/>
    <col min="53" max="53" width="11" bestFit="1" customWidth="1"/>
    <col min="54" max="56" width="12" bestFit="1" customWidth="1"/>
    <col min="57" max="57" width="15.5703125" bestFit="1" customWidth="1"/>
    <col min="58" max="58" width="12" bestFit="1" customWidth="1"/>
    <col min="59" max="59" width="14.85546875" bestFit="1" customWidth="1"/>
    <col min="60" max="60" width="12" bestFit="1" customWidth="1"/>
    <col min="61" max="61" width="10" bestFit="1" customWidth="1"/>
    <col min="62" max="62" width="12" bestFit="1" customWidth="1"/>
    <col min="63" max="63" width="15" bestFit="1" customWidth="1"/>
    <col min="64" max="65" width="12" bestFit="1" customWidth="1"/>
    <col min="66" max="66" width="10.7109375" bestFit="1" customWidth="1"/>
    <col min="67" max="67" width="12" bestFit="1" customWidth="1"/>
    <col min="68" max="68" width="12.7109375" bestFit="1" customWidth="1"/>
    <col min="69" max="69" width="12" bestFit="1" customWidth="1"/>
    <col min="70" max="70" width="12.7109375" bestFit="1" customWidth="1"/>
    <col min="71" max="71" width="13.42578125" bestFit="1" customWidth="1"/>
    <col min="72" max="72" width="13.140625" bestFit="1" customWidth="1"/>
    <col min="73" max="73" width="19" bestFit="1" customWidth="1"/>
    <col min="74" max="74" width="11" bestFit="1" customWidth="1"/>
    <col min="75" max="77" width="12" bestFit="1" customWidth="1"/>
    <col min="78" max="78" width="15.5703125" bestFit="1" customWidth="1"/>
    <col min="79" max="79" width="12" bestFit="1" customWidth="1"/>
    <col min="80" max="80" width="14.85546875" bestFit="1" customWidth="1"/>
    <col min="81" max="81" width="12" bestFit="1" customWidth="1"/>
    <col min="82" max="82" width="9.7109375" bestFit="1" customWidth="1"/>
    <col min="83" max="83" width="12" bestFit="1" customWidth="1"/>
    <col min="84" max="84" width="15" bestFit="1" customWidth="1"/>
    <col min="85" max="86" width="12" bestFit="1" customWidth="1"/>
    <col min="87" max="87" width="10.7109375" bestFit="1" customWidth="1"/>
    <col min="88" max="88" width="12" bestFit="1" customWidth="1"/>
    <col min="89" max="89" width="12.7109375" bestFit="1" customWidth="1"/>
    <col min="90" max="90" width="12" bestFit="1" customWidth="1"/>
    <col min="91" max="91" width="12.7109375" bestFit="1" customWidth="1"/>
    <col min="92" max="92" width="13.42578125" bestFit="1" customWidth="1"/>
    <col min="93" max="93" width="13.140625" bestFit="1" customWidth="1"/>
    <col min="94" max="94" width="19" bestFit="1" customWidth="1"/>
    <col min="95" max="95" width="11" bestFit="1" customWidth="1"/>
    <col min="96" max="97" width="12" bestFit="1" customWidth="1"/>
    <col min="98" max="98" width="15.5703125" bestFit="1" customWidth="1"/>
    <col min="99" max="99" width="12" bestFit="1" customWidth="1"/>
    <col min="100" max="100" width="14.85546875" bestFit="1" customWidth="1"/>
    <col min="101" max="102" width="12" bestFit="1" customWidth="1"/>
    <col min="103" max="103" width="15" bestFit="1" customWidth="1"/>
    <col min="104" max="105" width="12" bestFit="1" customWidth="1"/>
    <col min="106" max="106" width="10.7109375" bestFit="1" customWidth="1"/>
    <col min="107" max="107" width="12" bestFit="1" customWidth="1"/>
    <col min="108" max="108" width="12.7109375" bestFit="1" customWidth="1"/>
    <col min="109" max="109" width="12" bestFit="1" customWidth="1"/>
    <col min="110" max="110" width="12.7109375" bestFit="1" customWidth="1"/>
    <col min="111" max="111" width="13.42578125" bestFit="1" customWidth="1"/>
    <col min="112" max="112" width="13.140625" bestFit="1" customWidth="1"/>
    <col min="113" max="113" width="19" bestFit="1" customWidth="1"/>
    <col min="114" max="114" width="11" bestFit="1" customWidth="1"/>
    <col min="115" max="117" width="12" bestFit="1" customWidth="1"/>
    <col min="118" max="118" width="15.5703125" bestFit="1" customWidth="1"/>
    <col min="119" max="119" width="12" bestFit="1" customWidth="1"/>
    <col min="120" max="120" width="14.85546875" bestFit="1" customWidth="1"/>
    <col min="121" max="121" width="12" bestFit="1" customWidth="1"/>
    <col min="122" max="122" width="9.7109375" bestFit="1" customWidth="1"/>
    <col min="123" max="123" width="12" bestFit="1" customWidth="1"/>
    <col min="124" max="124" width="15" bestFit="1" customWidth="1"/>
    <col min="126" max="126" width="12.140625" bestFit="1" customWidth="1"/>
    <col min="127" max="127" width="16.5703125" bestFit="1" customWidth="1"/>
    <col min="128" max="128" width="7.42578125" bestFit="1" customWidth="1"/>
    <col min="129" max="129" width="10.7109375" bestFit="1" customWidth="1"/>
    <col min="130" max="130" width="2.5703125" bestFit="1" customWidth="1"/>
    <col min="131" max="131" width="11.140625" bestFit="1" customWidth="1"/>
    <col min="132" max="132" width="7.85546875" bestFit="1" customWidth="1"/>
    <col min="133" max="133" width="12.5703125" bestFit="1" customWidth="1"/>
    <col min="134" max="134" width="13.42578125" bestFit="1" customWidth="1"/>
    <col min="135" max="135" width="13.140625" bestFit="1" customWidth="1"/>
    <col min="136" max="136" width="19" bestFit="1" customWidth="1"/>
    <col min="137" max="137" width="9.85546875" bestFit="1" customWidth="1"/>
    <col min="138" max="138" width="7.5703125" bestFit="1" customWidth="1"/>
    <col min="139" max="139" width="10.85546875" bestFit="1" customWidth="1"/>
    <col min="140" max="140" width="7.42578125" bestFit="1" customWidth="1"/>
    <col min="141" max="141" width="15.5703125" bestFit="1" customWidth="1"/>
    <col min="142" max="142" width="9.85546875" bestFit="1" customWidth="1"/>
    <col min="143" max="143" width="14.85546875" bestFit="1" customWidth="1"/>
    <col min="144" max="144" width="6.7109375" bestFit="1" customWidth="1"/>
    <col min="145" max="145" width="12" bestFit="1" customWidth="1"/>
    <col min="146" max="146" width="6.42578125" bestFit="1" customWidth="1"/>
    <col min="147" max="147" width="15" bestFit="1" customWidth="1"/>
    <col min="148" max="148" width="11.85546875" bestFit="1" customWidth="1"/>
    <col min="149" max="149" width="7.42578125" bestFit="1" customWidth="1"/>
    <col min="150" max="150" width="10.7109375" bestFit="1" customWidth="1"/>
    <col min="151" max="151" width="2.5703125" bestFit="1" customWidth="1"/>
    <col min="152" max="152" width="11.140625" bestFit="1" customWidth="1"/>
    <col min="153" max="153" width="7.85546875" bestFit="1" customWidth="1"/>
    <col min="154" max="154" width="12.5703125" bestFit="1" customWidth="1"/>
    <col min="155" max="155" width="13.42578125" bestFit="1" customWidth="1"/>
    <col min="156" max="156" width="13.140625" bestFit="1" customWidth="1"/>
    <col min="157" max="157" width="19" bestFit="1" customWidth="1"/>
    <col min="158" max="158" width="9.85546875" bestFit="1" customWidth="1"/>
    <col min="159" max="159" width="7.5703125" bestFit="1" customWidth="1"/>
    <col min="160" max="160" width="10.85546875" bestFit="1" customWidth="1"/>
    <col min="161" max="161" width="7.42578125" bestFit="1" customWidth="1"/>
    <col min="162" max="162" width="15.5703125" bestFit="1" customWidth="1"/>
    <col min="163" max="163" width="9.85546875" bestFit="1" customWidth="1"/>
    <col min="164" max="164" width="14.85546875" bestFit="1" customWidth="1"/>
    <col min="165" max="165" width="6.7109375" bestFit="1" customWidth="1"/>
    <col min="166" max="166" width="12" bestFit="1" customWidth="1"/>
    <col min="167" max="167" width="6.42578125" bestFit="1" customWidth="1"/>
    <col min="168" max="168" width="15" bestFit="1" customWidth="1"/>
    <col min="169" max="169" width="11.85546875" bestFit="1" customWidth="1"/>
    <col min="170" max="170" width="7.42578125" bestFit="1" customWidth="1"/>
    <col min="171" max="171" width="10.7109375" bestFit="1" customWidth="1"/>
    <col min="172" max="172" width="2.5703125" bestFit="1" customWidth="1"/>
    <col min="173" max="173" width="11.140625" bestFit="1" customWidth="1"/>
    <col min="174" max="174" width="7.85546875" bestFit="1" customWidth="1"/>
    <col min="175" max="175" width="12.5703125" bestFit="1" customWidth="1"/>
    <col min="176" max="176" width="13.42578125" bestFit="1" customWidth="1"/>
    <col min="177" max="177" width="13.140625" bestFit="1" customWidth="1"/>
    <col min="178" max="178" width="19" bestFit="1" customWidth="1"/>
    <col min="179" max="179" width="9.85546875" bestFit="1" customWidth="1"/>
    <col min="180" max="180" width="7.5703125" bestFit="1" customWidth="1"/>
    <col min="181" max="181" width="10.85546875" bestFit="1" customWidth="1"/>
    <col min="182" max="182" width="15.5703125" bestFit="1" customWidth="1"/>
    <col min="183" max="183" width="9.85546875" bestFit="1" customWidth="1"/>
    <col min="184" max="184" width="14.85546875" bestFit="1" customWidth="1"/>
    <col min="185" max="185" width="6.7109375" bestFit="1" customWidth="1"/>
    <col min="186" max="186" width="6.42578125" bestFit="1" customWidth="1"/>
    <col min="187" max="187" width="15" bestFit="1" customWidth="1"/>
    <col min="188" max="188" width="11.85546875" bestFit="1" customWidth="1"/>
    <col min="189" max="189" width="7.42578125" bestFit="1" customWidth="1"/>
    <col min="190" max="190" width="10.7109375" bestFit="1" customWidth="1"/>
    <col min="191" max="191" width="2.5703125" bestFit="1" customWidth="1"/>
    <col min="192" max="192" width="11.140625" bestFit="1" customWidth="1"/>
    <col min="193" max="193" width="7.85546875" bestFit="1" customWidth="1"/>
    <col min="194" max="194" width="12.5703125" bestFit="1" customWidth="1"/>
    <col min="195" max="195" width="13.42578125" bestFit="1" customWidth="1"/>
    <col min="196" max="196" width="13.140625" bestFit="1" customWidth="1"/>
    <col min="197" max="197" width="19" bestFit="1" customWidth="1"/>
    <col min="198" max="198" width="9.85546875" bestFit="1" customWidth="1"/>
    <col min="199" max="199" width="7.5703125" bestFit="1" customWidth="1"/>
    <col min="200" max="200" width="10.85546875" bestFit="1" customWidth="1"/>
    <col min="201" max="201" width="7.42578125" bestFit="1" customWidth="1"/>
    <col min="202" max="202" width="15.5703125" bestFit="1" customWidth="1"/>
    <col min="203" max="203" width="9.85546875" bestFit="1" customWidth="1"/>
    <col min="204" max="204" width="14.85546875" bestFit="1" customWidth="1"/>
    <col min="205" max="205" width="6.7109375" bestFit="1" customWidth="1"/>
    <col min="206" max="206" width="12" bestFit="1" customWidth="1"/>
    <col min="207" max="207" width="8" bestFit="1" customWidth="1"/>
    <col min="208" max="208" width="15" bestFit="1" customWidth="1"/>
    <col min="210" max="210" width="12.140625" bestFit="1" customWidth="1"/>
    <col min="211" max="211" width="27.28515625" bestFit="1" customWidth="1"/>
    <col min="212" max="212" width="7.42578125" bestFit="1" customWidth="1"/>
    <col min="213" max="213" width="10.7109375" bestFit="1" customWidth="1"/>
    <col min="214" max="214" width="2.5703125" bestFit="1" customWidth="1"/>
    <col min="215" max="215" width="11.140625" bestFit="1" customWidth="1"/>
    <col min="216" max="216" width="7.85546875" bestFit="1" customWidth="1"/>
    <col min="217" max="217" width="12.5703125" bestFit="1" customWidth="1"/>
    <col min="218" max="218" width="13.42578125" bestFit="1" customWidth="1"/>
    <col min="219" max="219" width="13.140625" bestFit="1" customWidth="1"/>
    <col min="220" max="220" width="19" bestFit="1" customWidth="1"/>
    <col min="221" max="221" width="9.85546875" bestFit="1" customWidth="1"/>
    <col min="222" max="222" width="7.5703125" bestFit="1" customWidth="1"/>
    <col min="223" max="223" width="10.85546875" bestFit="1" customWidth="1"/>
    <col min="224" max="224" width="7.42578125" bestFit="1" customWidth="1"/>
    <col min="225" max="225" width="15.5703125" bestFit="1" customWidth="1"/>
    <col min="226" max="226" width="9.85546875" bestFit="1" customWidth="1"/>
    <col min="227" max="227" width="14.85546875" bestFit="1" customWidth="1"/>
    <col min="228" max="228" width="6.7109375" bestFit="1" customWidth="1"/>
    <col min="229" max="229" width="9.7109375" bestFit="1" customWidth="1"/>
    <col min="230" max="230" width="6.42578125" bestFit="1" customWidth="1"/>
    <col min="231" max="231" width="15" bestFit="1" customWidth="1"/>
    <col min="232" max="232" width="11.85546875" bestFit="1" customWidth="1"/>
    <col min="233" max="233" width="7.42578125" bestFit="1" customWidth="1"/>
    <col min="234" max="234" width="10.7109375" bestFit="1" customWidth="1"/>
    <col min="235" max="235" width="2.5703125" bestFit="1" customWidth="1"/>
    <col min="236" max="236" width="11.140625" bestFit="1" customWidth="1"/>
    <col min="237" max="237" width="7.85546875" bestFit="1" customWidth="1"/>
    <col min="238" max="238" width="12.5703125" bestFit="1" customWidth="1"/>
    <col min="239" max="239" width="13.42578125" bestFit="1" customWidth="1"/>
    <col min="240" max="240" width="13.140625" bestFit="1" customWidth="1"/>
    <col min="241" max="241" width="19" bestFit="1" customWidth="1"/>
    <col min="242" max="242" width="9.85546875" bestFit="1" customWidth="1"/>
    <col min="243" max="243" width="7.5703125" bestFit="1" customWidth="1"/>
    <col min="244" max="244" width="10.85546875" bestFit="1" customWidth="1"/>
    <col min="245" max="245" width="7.42578125" bestFit="1" customWidth="1"/>
    <col min="246" max="246" width="15.5703125" bestFit="1" customWidth="1"/>
    <col min="247" max="247" width="9.85546875" bestFit="1" customWidth="1"/>
    <col min="248" max="248" width="14.85546875" bestFit="1" customWidth="1"/>
    <col min="249" max="249" width="6.7109375" bestFit="1" customWidth="1"/>
    <col min="250" max="250" width="9.7109375" bestFit="1" customWidth="1"/>
    <col min="251" max="251" width="6.42578125" bestFit="1" customWidth="1"/>
    <col min="252" max="252" width="15" bestFit="1" customWidth="1"/>
    <col min="253" max="253" width="11.85546875" bestFit="1" customWidth="1"/>
    <col min="254" max="254" width="7.42578125" bestFit="1" customWidth="1"/>
    <col min="255" max="255" width="10.7109375" bestFit="1" customWidth="1"/>
    <col min="256" max="256" width="2.5703125" bestFit="1" customWidth="1"/>
    <col min="257" max="257" width="11.140625" bestFit="1" customWidth="1"/>
    <col min="258" max="258" width="7.85546875" bestFit="1" customWidth="1"/>
    <col min="259" max="259" width="12.5703125" bestFit="1" customWidth="1"/>
    <col min="260" max="260" width="13.42578125" bestFit="1" customWidth="1"/>
    <col min="261" max="261" width="13.140625" bestFit="1" customWidth="1"/>
    <col min="262" max="262" width="19" bestFit="1" customWidth="1"/>
    <col min="263" max="263" width="9.85546875" bestFit="1" customWidth="1"/>
    <col min="264" max="264" width="7.5703125" bestFit="1" customWidth="1"/>
    <col min="265" max="265" width="10.85546875" bestFit="1" customWidth="1"/>
    <col min="266" max="266" width="15.5703125" bestFit="1" customWidth="1"/>
    <col min="267" max="267" width="9.85546875" bestFit="1" customWidth="1"/>
    <col min="268" max="268" width="14.85546875" bestFit="1" customWidth="1"/>
    <col min="269" max="269" width="6.7109375" bestFit="1" customWidth="1"/>
    <col min="270" max="270" width="6.42578125" bestFit="1" customWidth="1"/>
    <col min="271" max="271" width="15" bestFit="1" customWidth="1"/>
    <col min="272" max="272" width="11.85546875" bestFit="1" customWidth="1"/>
    <col min="273" max="273" width="7.42578125" bestFit="1" customWidth="1"/>
    <col min="274" max="274" width="10.7109375" bestFit="1" customWidth="1"/>
    <col min="275" max="275" width="2.5703125" bestFit="1" customWidth="1"/>
    <col min="276" max="276" width="11.140625" bestFit="1" customWidth="1"/>
    <col min="277" max="277" width="7.85546875" bestFit="1" customWidth="1"/>
    <col min="278" max="278" width="12.5703125" bestFit="1" customWidth="1"/>
    <col min="279" max="279" width="13.42578125" bestFit="1" customWidth="1"/>
    <col min="280" max="280" width="13.140625" bestFit="1" customWidth="1"/>
    <col min="281" max="281" width="19" bestFit="1" customWidth="1"/>
    <col min="282" max="282" width="9.85546875" bestFit="1" customWidth="1"/>
    <col min="283" max="283" width="7.5703125" bestFit="1" customWidth="1"/>
    <col min="284" max="284" width="10.85546875" bestFit="1" customWidth="1"/>
    <col min="285" max="285" width="7.42578125" bestFit="1" customWidth="1"/>
    <col min="286" max="286" width="15.5703125" bestFit="1" customWidth="1"/>
    <col min="287" max="287" width="9.85546875" bestFit="1" customWidth="1"/>
    <col min="288" max="288" width="14.85546875" bestFit="1" customWidth="1"/>
    <col min="289" max="289" width="6.7109375" bestFit="1" customWidth="1"/>
    <col min="290" max="290" width="9.7109375" bestFit="1" customWidth="1"/>
    <col min="291" max="291" width="6.42578125" bestFit="1" customWidth="1"/>
    <col min="292" max="292" width="15" bestFit="1" customWidth="1"/>
    <col min="294" max="294" width="12.140625" bestFit="1" customWidth="1"/>
    <col min="295" max="295" width="12" bestFit="1" customWidth="1"/>
    <col min="296" max="296" width="11" bestFit="1" customWidth="1"/>
    <col min="297" max="297" width="10.7109375" bestFit="1" customWidth="1"/>
    <col min="298" max="298" width="11" bestFit="1" customWidth="1"/>
    <col min="299" max="299" width="11.140625" bestFit="1" customWidth="1"/>
    <col min="300" max="300" width="11" bestFit="1" customWidth="1"/>
    <col min="301" max="301" width="12.5703125" bestFit="1" customWidth="1"/>
    <col min="302" max="302" width="13.42578125" bestFit="1" customWidth="1"/>
    <col min="303" max="303" width="13.140625" bestFit="1" customWidth="1"/>
    <col min="304" max="304" width="19" bestFit="1" customWidth="1"/>
    <col min="305" max="305" width="11" bestFit="1" customWidth="1"/>
    <col min="306" max="306" width="12" bestFit="1" customWidth="1"/>
    <col min="307" max="308" width="11" bestFit="1" customWidth="1"/>
    <col min="309" max="309" width="15.5703125" bestFit="1" customWidth="1"/>
    <col min="310" max="310" width="11" bestFit="1" customWidth="1"/>
    <col min="311" max="311" width="14.85546875" bestFit="1" customWidth="1"/>
    <col min="312" max="312" width="11" bestFit="1" customWidth="1"/>
    <col min="313" max="313" width="9.7109375" bestFit="1" customWidth="1"/>
    <col min="314" max="314" width="12" bestFit="1" customWidth="1"/>
    <col min="315" max="315" width="15" bestFit="1" customWidth="1"/>
    <col min="316" max="316" width="12" bestFit="1" customWidth="1"/>
    <col min="317" max="317" width="11" bestFit="1" customWidth="1"/>
    <col min="318" max="318" width="10.7109375" bestFit="1" customWidth="1"/>
    <col min="319" max="319" width="11" bestFit="1" customWidth="1"/>
    <col min="320" max="320" width="11.140625" bestFit="1" customWidth="1"/>
    <col min="321" max="321" width="11" bestFit="1" customWidth="1"/>
    <col min="322" max="322" width="12.5703125" bestFit="1" customWidth="1"/>
    <col min="323" max="323" width="13.42578125" bestFit="1" customWidth="1"/>
    <col min="324" max="324" width="13.140625" bestFit="1" customWidth="1"/>
    <col min="325" max="325" width="19" bestFit="1" customWidth="1"/>
    <col min="326" max="326" width="11" bestFit="1" customWidth="1"/>
    <col min="327" max="327" width="12" bestFit="1" customWidth="1"/>
    <col min="328" max="329" width="11" bestFit="1" customWidth="1"/>
    <col min="330" max="330" width="15.5703125" bestFit="1" customWidth="1"/>
    <col min="331" max="331" width="11" bestFit="1" customWidth="1"/>
    <col min="332" max="332" width="14.85546875" bestFit="1" customWidth="1"/>
    <col min="333" max="333" width="11" bestFit="1" customWidth="1"/>
    <col min="334" max="334" width="9.7109375" bestFit="1" customWidth="1"/>
    <col min="335" max="335" width="12" bestFit="1" customWidth="1"/>
    <col min="336" max="336" width="15" bestFit="1" customWidth="1"/>
    <col min="337" max="337" width="12" bestFit="1" customWidth="1"/>
    <col min="338" max="338" width="11" bestFit="1" customWidth="1"/>
    <col min="339" max="339" width="10.7109375" bestFit="1" customWidth="1"/>
    <col min="340" max="340" width="11" bestFit="1" customWidth="1"/>
    <col min="341" max="341" width="11.140625" bestFit="1" customWidth="1"/>
    <col min="342" max="342" width="11" bestFit="1" customWidth="1"/>
    <col min="343" max="343" width="12.5703125" bestFit="1" customWidth="1"/>
    <col min="344" max="344" width="13.42578125" bestFit="1" customWidth="1"/>
    <col min="345" max="345" width="13.140625" bestFit="1" customWidth="1"/>
    <col min="346" max="346" width="19" bestFit="1" customWidth="1"/>
    <col min="347" max="347" width="11" bestFit="1" customWidth="1"/>
    <col min="348" max="348" width="12" bestFit="1" customWidth="1"/>
    <col min="349" max="349" width="11" bestFit="1" customWidth="1"/>
    <col min="350" max="350" width="15.5703125" bestFit="1" customWidth="1"/>
    <col min="351" max="351" width="11" bestFit="1" customWidth="1"/>
    <col min="352" max="352" width="14.85546875" bestFit="1" customWidth="1"/>
    <col min="353" max="354" width="11" bestFit="1" customWidth="1"/>
    <col min="355" max="355" width="15" bestFit="1" customWidth="1"/>
    <col min="356" max="356" width="12" bestFit="1" customWidth="1"/>
    <col min="357" max="357" width="11" bestFit="1" customWidth="1"/>
    <col min="358" max="358" width="10.7109375" bestFit="1" customWidth="1"/>
    <col min="359" max="359" width="11" bestFit="1" customWidth="1"/>
    <col min="360" max="360" width="11.140625" bestFit="1" customWidth="1"/>
    <col min="361" max="361" width="11" bestFit="1" customWidth="1"/>
    <col min="362" max="362" width="12.5703125" bestFit="1" customWidth="1"/>
    <col min="363" max="363" width="13.42578125" bestFit="1" customWidth="1"/>
    <col min="364" max="364" width="13.140625" bestFit="1" customWidth="1"/>
    <col min="365" max="365" width="19" bestFit="1" customWidth="1"/>
    <col min="366" max="366" width="11" bestFit="1" customWidth="1"/>
    <col min="367" max="367" width="12" bestFit="1" customWidth="1"/>
    <col min="368" max="369" width="11" bestFit="1" customWidth="1"/>
    <col min="370" max="370" width="15.5703125" bestFit="1" customWidth="1"/>
    <col min="371" max="371" width="11" bestFit="1" customWidth="1"/>
    <col min="372" max="372" width="14.85546875" bestFit="1" customWidth="1"/>
    <col min="373" max="373" width="11" bestFit="1" customWidth="1"/>
    <col min="374" max="374" width="9.7109375" bestFit="1" customWidth="1"/>
    <col min="375" max="375" width="12" bestFit="1" customWidth="1"/>
    <col min="376" max="376" width="15" bestFit="1" customWidth="1"/>
    <col min="378" max="378" width="12.140625" bestFit="1" customWidth="1"/>
    <col min="379" max="379" width="12.5703125" bestFit="1" customWidth="1"/>
    <col min="380" max="380" width="7.42578125" bestFit="1" customWidth="1"/>
    <col min="381" max="381" width="10.7109375" bestFit="1" customWidth="1"/>
    <col min="382" max="382" width="3" bestFit="1" customWidth="1"/>
    <col min="383" max="383" width="11.140625" bestFit="1" customWidth="1"/>
    <col min="384" max="384" width="7.85546875" bestFit="1" customWidth="1"/>
    <col min="385" max="385" width="12.5703125" bestFit="1" customWidth="1"/>
    <col min="386" max="386" width="13.42578125" bestFit="1" customWidth="1"/>
    <col min="387" max="387" width="13.140625" bestFit="1" customWidth="1"/>
    <col min="388" max="388" width="19" bestFit="1" customWidth="1"/>
    <col min="389" max="389" width="9.85546875" bestFit="1" customWidth="1"/>
    <col min="390" max="390" width="7.5703125" bestFit="1" customWidth="1"/>
    <col min="391" max="391" width="10.85546875" bestFit="1" customWidth="1"/>
    <col min="392" max="392" width="7.42578125" bestFit="1" customWidth="1"/>
    <col min="393" max="393" width="15.5703125" bestFit="1" customWidth="1"/>
    <col min="394" max="394" width="9.85546875" bestFit="1" customWidth="1"/>
    <col min="395" max="395" width="14.85546875" bestFit="1" customWidth="1"/>
    <col min="396" max="396" width="9" bestFit="1" customWidth="1"/>
    <col min="397" max="397" width="11" bestFit="1" customWidth="1"/>
    <col min="398" max="398" width="6.42578125" bestFit="1" customWidth="1"/>
    <col min="399" max="399" width="15" bestFit="1" customWidth="1"/>
    <col min="400" max="400" width="11.85546875" bestFit="1" customWidth="1"/>
    <col min="401" max="401" width="7.42578125" bestFit="1" customWidth="1"/>
    <col min="402" max="402" width="10.7109375" bestFit="1" customWidth="1"/>
    <col min="403" max="403" width="3" bestFit="1" customWidth="1"/>
    <col min="404" max="404" width="11.140625" bestFit="1" customWidth="1"/>
    <col min="405" max="405" width="7.85546875" bestFit="1" customWidth="1"/>
    <col min="406" max="406" width="12.5703125" bestFit="1" customWidth="1"/>
    <col min="407" max="407" width="13.42578125" bestFit="1" customWidth="1"/>
    <col min="408" max="408" width="13.140625" bestFit="1" customWidth="1"/>
    <col min="409" max="409" width="19" bestFit="1" customWidth="1"/>
    <col min="410" max="410" width="9.85546875" bestFit="1" customWidth="1"/>
    <col min="411" max="411" width="7.5703125" bestFit="1" customWidth="1"/>
    <col min="412" max="412" width="10.85546875" bestFit="1" customWidth="1"/>
    <col min="413" max="413" width="7.42578125" bestFit="1" customWidth="1"/>
    <col min="414" max="414" width="15.5703125" bestFit="1" customWidth="1"/>
    <col min="415" max="415" width="9.85546875" bestFit="1" customWidth="1"/>
    <col min="416" max="416" width="14.85546875" bestFit="1" customWidth="1"/>
    <col min="417" max="417" width="9" bestFit="1" customWidth="1"/>
    <col min="418" max="418" width="9.7109375" bestFit="1" customWidth="1"/>
    <col min="419" max="419" width="6.42578125" bestFit="1" customWidth="1"/>
    <col min="420" max="420" width="15" bestFit="1" customWidth="1"/>
    <col min="421" max="421" width="12" bestFit="1" customWidth="1"/>
    <col min="422" max="422" width="7.42578125" bestFit="1" customWidth="1"/>
    <col min="423" max="423" width="10.7109375" bestFit="1" customWidth="1"/>
    <col min="424" max="424" width="3" bestFit="1" customWidth="1"/>
    <col min="425" max="425" width="11.140625" bestFit="1" customWidth="1"/>
    <col min="426" max="426" width="7.85546875" bestFit="1" customWidth="1"/>
    <col min="427" max="427" width="12.5703125" bestFit="1" customWidth="1"/>
    <col min="428" max="428" width="13.42578125" bestFit="1" customWidth="1"/>
    <col min="429" max="429" width="13.140625" bestFit="1" customWidth="1"/>
    <col min="430" max="430" width="19" bestFit="1" customWidth="1"/>
    <col min="431" max="431" width="9.85546875" bestFit="1" customWidth="1"/>
    <col min="432" max="432" width="7.5703125" bestFit="1" customWidth="1"/>
    <col min="433" max="433" width="10.85546875" bestFit="1" customWidth="1"/>
    <col min="434" max="434" width="15.5703125" bestFit="1" customWidth="1"/>
    <col min="435" max="435" width="9.85546875" bestFit="1" customWidth="1"/>
    <col min="436" max="436" width="14.85546875" bestFit="1" customWidth="1"/>
    <col min="437" max="437" width="9" bestFit="1" customWidth="1"/>
    <col min="438" max="438" width="6.42578125" bestFit="1" customWidth="1"/>
    <col min="439" max="439" width="15" bestFit="1" customWidth="1"/>
    <col min="440" max="440" width="12" bestFit="1" customWidth="1"/>
    <col min="441" max="441" width="7.42578125" bestFit="1" customWidth="1"/>
    <col min="442" max="442" width="10.7109375" bestFit="1" customWidth="1"/>
    <col min="443" max="443" width="3" bestFit="1" customWidth="1"/>
    <col min="444" max="444" width="11.140625" bestFit="1" customWidth="1"/>
    <col min="445" max="445" width="7.85546875" bestFit="1" customWidth="1"/>
    <col min="446" max="446" width="12.5703125" bestFit="1" customWidth="1"/>
    <col min="447" max="447" width="13.42578125" bestFit="1" customWidth="1"/>
    <col min="448" max="448" width="13.140625" bestFit="1" customWidth="1"/>
    <col min="449" max="449" width="19" bestFit="1" customWidth="1"/>
    <col min="450" max="450" width="9.85546875" bestFit="1" customWidth="1"/>
    <col min="451" max="451" width="7.5703125" bestFit="1" customWidth="1"/>
    <col min="452" max="452" width="10.85546875" bestFit="1" customWidth="1"/>
    <col min="453" max="453" width="7.42578125" bestFit="1" customWidth="1"/>
    <col min="454" max="454" width="15.5703125" bestFit="1" customWidth="1"/>
    <col min="455" max="455" width="9.85546875" bestFit="1" customWidth="1"/>
    <col min="456" max="456" width="14.85546875" bestFit="1" customWidth="1"/>
    <col min="457" max="457" width="9" bestFit="1" customWidth="1"/>
    <col min="458" max="458" width="9.7109375" bestFit="1" customWidth="1"/>
    <col min="459" max="459" width="6.42578125" bestFit="1" customWidth="1"/>
    <col min="460" max="460" width="15" bestFit="1" customWidth="1"/>
    <col min="462" max="462" width="12.140625" bestFit="1" customWidth="1"/>
    <col min="463" max="463" width="12.5703125" bestFit="1" customWidth="1"/>
    <col min="464" max="464" width="12" bestFit="1" customWidth="1"/>
    <col min="465" max="465" width="11" bestFit="1" customWidth="1"/>
    <col min="466" max="466" width="12" bestFit="1" customWidth="1"/>
    <col min="467" max="467" width="11.140625" bestFit="1" customWidth="1"/>
    <col min="468" max="468" width="11" bestFit="1" customWidth="1"/>
    <col min="469" max="469" width="12.5703125" bestFit="1" customWidth="1"/>
    <col min="470" max="470" width="13.42578125" bestFit="1" customWidth="1"/>
    <col min="471" max="471" width="13.140625" bestFit="1" customWidth="1"/>
    <col min="472" max="472" width="19" bestFit="1" customWidth="1"/>
    <col min="473" max="475" width="12" bestFit="1" customWidth="1"/>
    <col min="476" max="476" width="11" bestFit="1" customWidth="1"/>
    <col min="477" max="477" width="15.5703125" bestFit="1" customWidth="1"/>
    <col min="478" max="478" width="12" bestFit="1" customWidth="1"/>
    <col min="479" max="479" width="14.85546875" bestFit="1" customWidth="1"/>
    <col min="480" max="482" width="12" bestFit="1" customWidth="1"/>
    <col min="483" max="483" width="15" bestFit="1" customWidth="1"/>
    <col min="484" max="487" width="12" bestFit="1" customWidth="1"/>
    <col min="488" max="488" width="11.140625" bestFit="1" customWidth="1"/>
    <col min="489" max="489" width="11" bestFit="1" customWidth="1"/>
    <col min="490" max="490" width="12.5703125" bestFit="1" customWidth="1"/>
    <col min="491" max="491" width="13.42578125" bestFit="1" customWidth="1"/>
    <col min="492" max="492" width="13.140625" bestFit="1" customWidth="1"/>
    <col min="493" max="493" width="19" bestFit="1" customWidth="1"/>
    <col min="494" max="496" width="12" bestFit="1" customWidth="1"/>
    <col min="497" max="497" width="11" bestFit="1" customWidth="1"/>
    <col min="498" max="498" width="15.5703125" bestFit="1" customWidth="1"/>
    <col min="499" max="499" width="11" bestFit="1" customWidth="1"/>
    <col min="500" max="500" width="14.85546875" bestFit="1" customWidth="1"/>
    <col min="501" max="501" width="12" bestFit="1" customWidth="1"/>
    <col min="502" max="502" width="9.7109375" bestFit="1" customWidth="1"/>
    <col min="503" max="503" width="12" bestFit="1" customWidth="1"/>
    <col min="504" max="504" width="15" bestFit="1" customWidth="1"/>
    <col min="505" max="508" width="12" bestFit="1" customWidth="1"/>
    <col min="509" max="509" width="11.140625" bestFit="1" customWidth="1"/>
    <col min="510" max="510" width="11" bestFit="1" customWidth="1"/>
    <col min="511" max="511" width="12.5703125" bestFit="1" customWidth="1"/>
    <col min="512" max="512" width="13.42578125" bestFit="1" customWidth="1"/>
    <col min="513" max="513" width="13.140625" bestFit="1" customWidth="1"/>
    <col min="514" max="514" width="19" bestFit="1" customWidth="1"/>
    <col min="515" max="517" width="12" bestFit="1" customWidth="1"/>
    <col min="518" max="518" width="15.5703125" bestFit="1" customWidth="1"/>
    <col min="519" max="519" width="12" bestFit="1" customWidth="1"/>
    <col min="520" max="520" width="14.85546875" bestFit="1" customWidth="1"/>
    <col min="521" max="522" width="12" bestFit="1" customWidth="1"/>
    <col min="523" max="523" width="15" bestFit="1" customWidth="1"/>
    <col min="524" max="527" width="12" bestFit="1" customWidth="1"/>
    <col min="528" max="528" width="11.140625" bestFit="1" customWidth="1"/>
    <col min="529" max="529" width="11" bestFit="1" customWidth="1"/>
    <col min="530" max="530" width="12.5703125" bestFit="1" customWidth="1"/>
    <col min="531" max="531" width="13.42578125" bestFit="1" customWidth="1"/>
    <col min="532" max="532" width="13.140625" bestFit="1" customWidth="1"/>
    <col min="533" max="533" width="19" bestFit="1" customWidth="1"/>
    <col min="534" max="536" width="12" bestFit="1" customWidth="1"/>
    <col min="537" max="537" width="11" bestFit="1" customWidth="1"/>
    <col min="538" max="538" width="15.5703125" bestFit="1" customWidth="1"/>
    <col min="539" max="539" width="12" bestFit="1" customWidth="1"/>
    <col min="540" max="540" width="14.85546875" bestFit="1" customWidth="1"/>
    <col min="541" max="541" width="12" bestFit="1" customWidth="1"/>
    <col min="542" max="542" width="9.7109375" bestFit="1" customWidth="1"/>
    <col min="543" max="543" width="12" bestFit="1" customWidth="1"/>
    <col min="544" max="544" width="15" bestFit="1" customWidth="1"/>
    <col min="546" max="546" width="12.140625" bestFit="1" customWidth="1"/>
    <col min="547" max="547" width="14.5703125" bestFit="1" customWidth="1"/>
    <col min="548" max="548" width="7.42578125" bestFit="1" customWidth="1"/>
    <col min="549" max="549" width="10.7109375" bestFit="1" customWidth="1"/>
    <col min="550" max="550" width="3" bestFit="1" customWidth="1"/>
    <col min="551" max="551" width="11.140625" bestFit="1" customWidth="1"/>
    <col min="552" max="552" width="7.85546875" bestFit="1" customWidth="1"/>
    <col min="553" max="553" width="12.5703125" bestFit="1" customWidth="1"/>
    <col min="554" max="554" width="13.42578125" bestFit="1" customWidth="1"/>
    <col min="555" max="555" width="13.140625" bestFit="1" customWidth="1"/>
    <col min="556" max="556" width="19" bestFit="1" customWidth="1"/>
    <col min="557" max="557" width="9.85546875" bestFit="1" customWidth="1"/>
    <col min="558" max="558" width="7.5703125" bestFit="1" customWidth="1"/>
    <col min="559" max="559" width="10.85546875" bestFit="1" customWidth="1"/>
    <col min="560" max="560" width="7.42578125" bestFit="1" customWidth="1"/>
    <col min="561" max="561" width="15.5703125" bestFit="1" customWidth="1"/>
    <col min="562" max="562" width="9.85546875" bestFit="1" customWidth="1"/>
    <col min="563" max="563" width="14.85546875" bestFit="1" customWidth="1"/>
    <col min="564" max="564" width="6.7109375" bestFit="1" customWidth="1"/>
    <col min="565" max="565" width="9.7109375" bestFit="1" customWidth="1"/>
    <col min="566" max="566" width="6.42578125" bestFit="1" customWidth="1"/>
    <col min="567" max="567" width="15" bestFit="1" customWidth="1"/>
    <col min="568" max="568" width="11.85546875" bestFit="1" customWidth="1"/>
    <col min="569" max="569" width="7.42578125" bestFit="1" customWidth="1"/>
    <col min="570" max="570" width="10.7109375" bestFit="1" customWidth="1"/>
    <col min="571" max="571" width="3" bestFit="1" customWidth="1"/>
    <col min="572" max="572" width="11.140625" bestFit="1" customWidth="1"/>
    <col min="573" max="573" width="7.85546875" bestFit="1" customWidth="1"/>
    <col min="574" max="574" width="12.5703125" bestFit="1" customWidth="1"/>
    <col min="575" max="575" width="13.42578125" bestFit="1" customWidth="1"/>
    <col min="576" max="576" width="13.140625" bestFit="1" customWidth="1"/>
    <col min="577" max="577" width="19" bestFit="1" customWidth="1"/>
    <col min="578" max="578" width="9.85546875" bestFit="1" customWidth="1"/>
    <col min="579" max="579" width="7.5703125" bestFit="1" customWidth="1"/>
    <col min="580" max="580" width="10.85546875" bestFit="1" customWidth="1"/>
    <col min="581" max="581" width="7.42578125" bestFit="1" customWidth="1"/>
    <col min="582" max="582" width="15.5703125" bestFit="1" customWidth="1"/>
    <col min="583" max="583" width="9.85546875" bestFit="1" customWidth="1"/>
    <col min="584" max="584" width="14.85546875" bestFit="1" customWidth="1"/>
    <col min="585" max="585" width="6.7109375" bestFit="1" customWidth="1"/>
    <col min="586" max="586" width="9.7109375" bestFit="1" customWidth="1"/>
    <col min="587" max="587" width="6.42578125" bestFit="1" customWidth="1"/>
    <col min="588" max="588" width="15" bestFit="1" customWidth="1"/>
    <col min="589" max="589" width="11.85546875" bestFit="1" customWidth="1"/>
    <col min="590" max="590" width="7.42578125" bestFit="1" customWidth="1"/>
    <col min="591" max="591" width="10.7109375" bestFit="1" customWidth="1"/>
    <col min="592" max="592" width="3" bestFit="1" customWidth="1"/>
    <col min="593" max="593" width="11.140625" bestFit="1" customWidth="1"/>
    <col min="594" max="594" width="7.85546875" bestFit="1" customWidth="1"/>
    <col min="595" max="595" width="12.5703125" bestFit="1" customWidth="1"/>
    <col min="596" max="596" width="13.42578125" bestFit="1" customWidth="1"/>
    <col min="597" max="597" width="13.140625" bestFit="1" customWidth="1"/>
    <col min="598" max="598" width="19" bestFit="1" customWidth="1"/>
    <col min="599" max="599" width="9.85546875" bestFit="1" customWidth="1"/>
    <col min="600" max="600" width="7.5703125" bestFit="1" customWidth="1"/>
    <col min="601" max="601" width="10.85546875" bestFit="1" customWidth="1"/>
    <col min="602" max="602" width="15.5703125" bestFit="1" customWidth="1"/>
    <col min="603" max="603" width="9.85546875" bestFit="1" customWidth="1"/>
    <col min="604" max="604" width="14.85546875" bestFit="1" customWidth="1"/>
    <col min="605" max="605" width="6.7109375" bestFit="1" customWidth="1"/>
    <col min="606" max="606" width="6.42578125" bestFit="1" customWidth="1"/>
    <col min="607" max="607" width="15" bestFit="1" customWidth="1"/>
    <col min="608" max="608" width="11.85546875" bestFit="1" customWidth="1"/>
    <col min="609" max="609" width="7.42578125" bestFit="1" customWidth="1"/>
    <col min="610" max="610" width="10.7109375" bestFit="1" customWidth="1"/>
    <col min="611" max="611" width="3" bestFit="1" customWidth="1"/>
    <col min="612" max="612" width="11.140625" bestFit="1" customWidth="1"/>
    <col min="613" max="613" width="7.85546875" bestFit="1" customWidth="1"/>
    <col min="614" max="614" width="12.5703125" bestFit="1" customWidth="1"/>
    <col min="615" max="615" width="13.42578125" bestFit="1" customWidth="1"/>
    <col min="616" max="616" width="13.140625" bestFit="1" customWidth="1"/>
    <col min="617" max="617" width="19" bestFit="1" customWidth="1"/>
    <col min="618" max="618" width="9.85546875" bestFit="1" customWidth="1"/>
    <col min="619" max="619" width="7.5703125" bestFit="1" customWidth="1"/>
    <col min="620" max="620" width="10.85546875" bestFit="1" customWidth="1"/>
    <col min="621" max="621" width="7.42578125" bestFit="1" customWidth="1"/>
    <col min="622" max="622" width="15.5703125" bestFit="1" customWidth="1"/>
    <col min="623" max="623" width="9.85546875" bestFit="1" customWidth="1"/>
    <col min="624" max="624" width="14.85546875" bestFit="1" customWidth="1"/>
    <col min="625" max="625" width="6.7109375" bestFit="1" customWidth="1"/>
    <col min="626" max="626" width="9.7109375" bestFit="1" customWidth="1"/>
    <col min="627" max="627" width="6.42578125" bestFit="1" customWidth="1"/>
    <col min="628" max="628" width="15" bestFit="1" customWidth="1"/>
    <col min="630" max="630" width="12.140625" bestFit="1" customWidth="1"/>
    <col min="631" max="631" width="16.42578125" bestFit="1" customWidth="1"/>
    <col min="632" max="632" width="7.42578125" bestFit="1" customWidth="1"/>
    <col min="633" max="633" width="10.7109375" bestFit="1" customWidth="1"/>
    <col min="634" max="634" width="3" bestFit="1" customWidth="1"/>
    <col min="635" max="635" width="11.140625" bestFit="1" customWidth="1"/>
    <col min="636" max="636" width="7.85546875" bestFit="1" customWidth="1"/>
    <col min="637" max="637" width="12.5703125" bestFit="1" customWidth="1"/>
    <col min="638" max="638" width="13.42578125" bestFit="1" customWidth="1"/>
    <col min="639" max="639" width="13.140625" bestFit="1" customWidth="1"/>
    <col min="640" max="640" width="19" bestFit="1" customWidth="1"/>
    <col min="641" max="641" width="9.85546875" bestFit="1" customWidth="1"/>
    <col min="642" max="642" width="7.5703125" bestFit="1" customWidth="1"/>
    <col min="643" max="643" width="10.85546875" bestFit="1" customWidth="1"/>
    <col min="644" max="644" width="7.42578125" bestFit="1" customWidth="1"/>
    <col min="645" max="645" width="15.5703125" bestFit="1" customWidth="1"/>
    <col min="646" max="646" width="9.85546875" bestFit="1" customWidth="1"/>
    <col min="647" max="647" width="14.85546875" bestFit="1" customWidth="1"/>
    <col min="648" max="648" width="6.7109375" bestFit="1" customWidth="1"/>
    <col min="649" max="649" width="9.7109375" bestFit="1" customWidth="1"/>
    <col min="650" max="650" width="6.42578125" bestFit="1" customWidth="1"/>
    <col min="651" max="651" width="15" bestFit="1" customWidth="1"/>
    <col min="652" max="652" width="11.85546875" bestFit="1" customWidth="1"/>
    <col min="653" max="653" width="7.42578125" bestFit="1" customWidth="1"/>
    <col min="654" max="654" width="10.7109375" bestFit="1" customWidth="1"/>
    <col min="655" max="655" width="3" bestFit="1" customWidth="1"/>
    <col min="656" max="656" width="11.140625" bestFit="1" customWidth="1"/>
    <col min="657" max="657" width="7.85546875" bestFit="1" customWidth="1"/>
    <col min="658" max="658" width="12.5703125" bestFit="1" customWidth="1"/>
    <col min="659" max="659" width="13.42578125" bestFit="1" customWidth="1"/>
    <col min="660" max="660" width="13.140625" bestFit="1" customWidth="1"/>
    <col min="661" max="661" width="19" bestFit="1" customWidth="1"/>
    <col min="662" max="662" width="9.85546875" bestFit="1" customWidth="1"/>
    <col min="663" max="663" width="7.5703125" bestFit="1" customWidth="1"/>
    <col min="664" max="664" width="10.85546875" bestFit="1" customWidth="1"/>
    <col min="665" max="665" width="7.42578125" bestFit="1" customWidth="1"/>
    <col min="666" max="666" width="15.5703125" bestFit="1" customWidth="1"/>
    <col min="667" max="667" width="9.85546875" bestFit="1" customWidth="1"/>
    <col min="668" max="668" width="14.85546875" bestFit="1" customWidth="1"/>
    <col min="669" max="669" width="6.7109375" bestFit="1" customWidth="1"/>
    <col min="670" max="670" width="9.7109375" bestFit="1" customWidth="1"/>
    <col min="671" max="671" width="6.42578125" bestFit="1" customWidth="1"/>
    <col min="672" max="672" width="15" bestFit="1" customWidth="1"/>
    <col min="673" max="673" width="11.85546875" bestFit="1" customWidth="1"/>
    <col min="674" max="674" width="7.42578125" bestFit="1" customWidth="1"/>
    <col min="675" max="675" width="10.7109375" bestFit="1" customWidth="1"/>
    <col min="676" max="676" width="3" bestFit="1" customWidth="1"/>
    <col min="677" max="677" width="11.140625" bestFit="1" customWidth="1"/>
    <col min="678" max="678" width="7.85546875" bestFit="1" customWidth="1"/>
    <col min="679" max="679" width="12.5703125" bestFit="1" customWidth="1"/>
    <col min="680" max="680" width="13.42578125" bestFit="1" customWidth="1"/>
    <col min="681" max="681" width="13.140625" bestFit="1" customWidth="1"/>
    <col min="682" max="682" width="19" bestFit="1" customWidth="1"/>
    <col min="683" max="683" width="9.85546875" bestFit="1" customWidth="1"/>
    <col min="684" max="684" width="7.5703125" bestFit="1" customWidth="1"/>
    <col min="685" max="685" width="10.85546875" bestFit="1" customWidth="1"/>
    <col min="686" max="686" width="15.5703125" bestFit="1" customWidth="1"/>
    <col min="687" max="687" width="9.85546875" bestFit="1" customWidth="1"/>
    <col min="688" max="688" width="14.85546875" bestFit="1" customWidth="1"/>
    <col min="689" max="689" width="6.7109375" bestFit="1" customWidth="1"/>
    <col min="690" max="690" width="6.42578125" bestFit="1" customWidth="1"/>
    <col min="691" max="691" width="15" bestFit="1" customWidth="1"/>
    <col min="692" max="692" width="11.85546875" bestFit="1" customWidth="1"/>
    <col min="693" max="693" width="7.42578125" bestFit="1" customWidth="1"/>
    <col min="694" max="694" width="10.7109375" bestFit="1" customWidth="1"/>
    <col min="695" max="695" width="3" bestFit="1" customWidth="1"/>
    <col min="696" max="696" width="11.140625" bestFit="1" customWidth="1"/>
    <col min="697" max="697" width="7.85546875" bestFit="1" customWidth="1"/>
    <col min="698" max="698" width="12.5703125" bestFit="1" customWidth="1"/>
    <col min="699" max="699" width="13.42578125" bestFit="1" customWidth="1"/>
    <col min="700" max="700" width="13.140625" bestFit="1" customWidth="1"/>
    <col min="701" max="701" width="19" bestFit="1" customWidth="1"/>
    <col min="702" max="702" width="9.85546875" bestFit="1" customWidth="1"/>
    <col min="703" max="703" width="7.5703125" bestFit="1" customWidth="1"/>
    <col min="704" max="704" width="10.85546875" bestFit="1" customWidth="1"/>
    <col min="705" max="705" width="7.42578125" bestFit="1" customWidth="1"/>
    <col min="706" max="706" width="15.5703125" bestFit="1" customWidth="1"/>
    <col min="707" max="707" width="9.85546875" bestFit="1" customWidth="1"/>
    <col min="708" max="708" width="14.85546875" bestFit="1" customWidth="1"/>
    <col min="709" max="709" width="6.7109375" bestFit="1" customWidth="1"/>
    <col min="710" max="710" width="9.7109375" bestFit="1" customWidth="1"/>
    <col min="711" max="711" width="6.42578125" bestFit="1" customWidth="1"/>
    <col min="712" max="712" width="15" bestFit="1" customWidth="1"/>
    <col min="714" max="714" width="12.140625" bestFit="1" customWidth="1"/>
    <col min="715" max="715" width="16.5703125" bestFit="1" customWidth="1"/>
    <col min="716" max="716" width="7.42578125" bestFit="1" customWidth="1"/>
    <col min="717" max="717" width="10.7109375" bestFit="1" customWidth="1"/>
    <col min="718" max="718" width="3" bestFit="1" customWidth="1"/>
    <col min="719" max="719" width="11.140625" bestFit="1" customWidth="1"/>
    <col min="720" max="720" width="7.85546875" bestFit="1" customWidth="1"/>
    <col min="721" max="721" width="12.5703125" bestFit="1" customWidth="1"/>
    <col min="722" max="722" width="13.42578125" bestFit="1" customWidth="1"/>
    <col min="723" max="723" width="13.140625" bestFit="1" customWidth="1"/>
    <col min="724" max="724" width="19" bestFit="1" customWidth="1"/>
    <col min="725" max="725" width="9.85546875" bestFit="1" customWidth="1"/>
    <col min="726" max="726" width="7.5703125" bestFit="1" customWidth="1"/>
    <col min="727" max="727" width="10.85546875" bestFit="1" customWidth="1"/>
    <col min="728" max="728" width="7.42578125" bestFit="1" customWidth="1"/>
    <col min="729" max="729" width="15.5703125" bestFit="1" customWidth="1"/>
    <col min="730" max="730" width="9.85546875" bestFit="1" customWidth="1"/>
    <col min="731" max="731" width="14.85546875" bestFit="1" customWidth="1"/>
    <col min="732" max="732" width="6.7109375" bestFit="1" customWidth="1"/>
    <col min="733" max="733" width="9.7109375" bestFit="1" customWidth="1"/>
    <col min="734" max="734" width="6.42578125" bestFit="1" customWidth="1"/>
    <col min="735" max="735" width="15" bestFit="1" customWidth="1"/>
    <col min="736" max="736" width="11.85546875" bestFit="1" customWidth="1"/>
    <col min="737" max="737" width="7.42578125" bestFit="1" customWidth="1"/>
    <col min="738" max="738" width="10.7109375" bestFit="1" customWidth="1"/>
    <col min="739" max="739" width="3" bestFit="1" customWidth="1"/>
    <col min="740" max="740" width="11.140625" bestFit="1" customWidth="1"/>
    <col min="741" max="741" width="7.85546875" bestFit="1" customWidth="1"/>
    <col min="742" max="742" width="12.5703125" bestFit="1" customWidth="1"/>
    <col min="743" max="743" width="13.42578125" bestFit="1" customWidth="1"/>
    <col min="744" max="744" width="13.140625" bestFit="1" customWidth="1"/>
    <col min="745" max="745" width="19" bestFit="1" customWidth="1"/>
    <col min="746" max="746" width="9.85546875" bestFit="1" customWidth="1"/>
    <col min="747" max="747" width="7.5703125" bestFit="1" customWidth="1"/>
    <col min="748" max="748" width="10.85546875" bestFit="1" customWidth="1"/>
    <col min="749" max="749" width="7.42578125" bestFit="1" customWidth="1"/>
    <col min="750" max="750" width="15.5703125" bestFit="1" customWidth="1"/>
    <col min="751" max="751" width="9.85546875" bestFit="1" customWidth="1"/>
    <col min="752" max="752" width="14.85546875" bestFit="1" customWidth="1"/>
    <col min="753" max="753" width="6.7109375" bestFit="1" customWidth="1"/>
    <col min="754" max="754" width="9.7109375" bestFit="1" customWidth="1"/>
    <col min="755" max="755" width="6.42578125" bestFit="1" customWidth="1"/>
    <col min="756" max="756" width="15" bestFit="1" customWidth="1"/>
    <col min="757" max="757" width="11.85546875" bestFit="1" customWidth="1"/>
    <col min="758" max="758" width="7.42578125" bestFit="1" customWidth="1"/>
    <col min="759" max="759" width="10.7109375" bestFit="1" customWidth="1"/>
    <col min="760" max="760" width="3" bestFit="1" customWidth="1"/>
    <col min="761" max="761" width="11.140625" bestFit="1" customWidth="1"/>
    <col min="762" max="762" width="7.85546875" bestFit="1" customWidth="1"/>
    <col min="763" max="763" width="12.5703125" bestFit="1" customWidth="1"/>
    <col min="764" max="764" width="13.42578125" bestFit="1" customWidth="1"/>
    <col min="765" max="765" width="13.140625" bestFit="1" customWidth="1"/>
    <col min="766" max="766" width="19" bestFit="1" customWidth="1"/>
    <col min="767" max="767" width="9.85546875" bestFit="1" customWidth="1"/>
    <col min="768" max="768" width="7.5703125" bestFit="1" customWidth="1"/>
    <col min="769" max="769" width="10.85546875" bestFit="1" customWidth="1"/>
    <col min="770" max="770" width="15.5703125" bestFit="1" customWidth="1"/>
    <col min="771" max="771" width="9.85546875" bestFit="1" customWidth="1"/>
    <col min="772" max="772" width="14.85546875" bestFit="1" customWidth="1"/>
    <col min="773" max="773" width="6.7109375" bestFit="1" customWidth="1"/>
    <col min="774" max="774" width="6.42578125" bestFit="1" customWidth="1"/>
    <col min="775" max="775" width="15" bestFit="1" customWidth="1"/>
    <col min="776" max="776" width="11.85546875" bestFit="1" customWidth="1"/>
    <col min="777" max="777" width="7.42578125" bestFit="1" customWidth="1"/>
    <col min="778" max="778" width="10.7109375" bestFit="1" customWidth="1"/>
    <col min="779" max="779" width="3" bestFit="1" customWidth="1"/>
    <col min="780" max="780" width="11.140625" bestFit="1" customWidth="1"/>
    <col min="781" max="781" width="7.85546875" bestFit="1" customWidth="1"/>
    <col min="782" max="782" width="12.5703125" bestFit="1" customWidth="1"/>
    <col min="783" max="783" width="13.42578125" bestFit="1" customWidth="1"/>
    <col min="784" max="784" width="13.140625" bestFit="1" customWidth="1"/>
    <col min="785" max="785" width="19" bestFit="1" customWidth="1"/>
    <col min="786" max="786" width="9.85546875" bestFit="1" customWidth="1"/>
    <col min="787" max="787" width="7.5703125" bestFit="1" customWidth="1"/>
    <col min="788" max="788" width="10.85546875" bestFit="1" customWidth="1"/>
    <col min="789" max="789" width="7.42578125" bestFit="1" customWidth="1"/>
    <col min="790" max="790" width="15.5703125" bestFit="1" customWidth="1"/>
    <col min="791" max="791" width="9.85546875" bestFit="1" customWidth="1"/>
    <col min="792" max="792" width="14.85546875" bestFit="1" customWidth="1"/>
    <col min="793" max="793" width="6.7109375" bestFit="1" customWidth="1"/>
    <col min="794" max="794" width="9.7109375" bestFit="1" customWidth="1"/>
    <col min="795" max="795" width="6.42578125" bestFit="1" customWidth="1"/>
    <col min="796" max="796" width="15" bestFit="1" customWidth="1"/>
    <col min="798" max="798" width="12.140625" bestFit="1" customWidth="1"/>
    <col min="799" max="799" width="17.5703125" bestFit="1" customWidth="1"/>
    <col min="800" max="800" width="7.42578125" bestFit="1" customWidth="1"/>
    <col min="801" max="801" width="10.7109375" bestFit="1" customWidth="1"/>
    <col min="802" max="802" width="3" bestFit="1" customWidth="1"/>
    <col min="803" max="803" width="11.140625" bestFit="1" customWidth="1"/>
    <col min="804" max="804" width="7.85546875" bestFit="1" customWidth="1"/>
    <col min="805" max="805" width="12.5703125" bestFit="1" customWidth="1"/>
    <col min="806" max="806" width="13.42578125" bestFit="1" customWidth="1"/>
    <col min="807" max="807" width="13.140625" bestFit="1" customWidth="1"/>
    <col min="808" max="808" width="19" bestFit="1" customWidth="1"/>
    <col min="809" max="809" width="9.85546875" bestFit="1" customWidth="1"/>
    <col min="810" max="810" width="7.5703125" bestFit="1" customWidth="1"/>
    <col min="811" max="811" width="10.85546875" bestFit="1" customWidth="1"/>
    <col min="812" max="812" width="7.42578125" bestFit="1" customWidth="1"/>
    <col min="813" max="813" width="15.5703125" bestFit="1" customWidth="1"/>
    <col min="814" max="814" width="9.85546875" bestFit="1" customWidth="1"/>
    <col min="815" max="815" width="14.85546875" bestFit="1" customWidth="1"/>
    <col min="816" max="816" width="6.7109375" bestFit="1" customWidth="1"/>
    <col min="817" max="817" width="9.7109375" bestFit="1" customWidth="1"/>
    <col min="818" max="818" width="6.42578125" bestFit="1" customWidth="1"/>
    <col min="819" max="819" width="15" bestFit="1" customWidth="1"/>
    <col min="820" max="820" width="11.85546875" bestFit="1" customWidth="1"/>
    <col min="821" max="821" width="7.42578125" bestFit="1" customWidth="1"/>
    <col min="822" max="822" width="10.7109375" bestFit="1" customWidth="1"/>
    <col min="823" max="823" width="3" bestFit="1" customWidth="1"/>
    <col min="824" max="824" width="11.140625" bestFit="1" customWidth="1"/>
    <col min="825" max="825" width="7.85546875" bestFit="1" customWidth="1"/>
    <col min="826" max="826" width="12.5703125" bestFit="1" customWidth="1"/>
    <col min="827" max="827" width="13.42578125" bestFit="1" customWidth="1"/>
    <col min="828" max="828" width="13.140625" bestFit="1" customWidth="1"/>
    <col min="829" max="829" width="19" bestFit="1" customWidth="1"/>
    <col min="830" max="830" width="9.85546875" bestFit="1" customWidth="1"/>
    <col min="831" max="831" width="7.5703125" bestFit="1" customWidth="1"/>
    <col min="832" max="832" width="10.85546875" bestFit="1" customWidth="1"/>
    <col min="833" max="833" width="7.42578125" bestFit="1" customWidth="1"/>
    <col min="834" max="834" width="15.5703125" bestFit="1" customWidth="1"/>
    <col min="835" max="835" width="9.85546875" bestFit="1" customWidth="1"/>
    <col min="836" max="836" width="14.85546875" bestFit="1" customWidth="1"/>
    <col min="837" max="837" width="6.7109375" bestFit="1" customWidth="1"/>
    <col min="838" max="838" width="9.7109375" bestFit="1" customWidth="1"/>
    <col min="839" max="839" width="6.42578125" bestFit="1" customWidth="1"/>
    <col min="840" max="840" width="15" bestFit="1" customWidth="1"/>
    <col min="841" max="841" width="11.85546875" bestFit="1" customWidth="1"/>
    <col min="842" max="842" width="7.42578125" bestFit="1" customWidth="1"/>
    <col min="843" max="843" width="10.7109375" bestFit="1" customWidth="1"/>
    <col min="844" max="844" width="3" bestFit="1" customWidth="1"/>
    <col min="845" max="845" width="11.140625" bestFit="1" customWidth="1"/>
    <col min="846" max="846" width="7.85546875" bestFit="1" customWidth="1"/>
    <col min="847" max="847" width="12.5703125" bestFit="1" customWidth="1"/>
    <col min="848" max="848" width="13.42578125" bestFit="1" customWidth="1"/>
    <col min="849" max="849" width="13.140625" bestFit="1" customWidth="1"/>
    <col min="850" max="850" width="19" bestFit="1" customWidth="1"/>
    <col min="851" max="851" width="9.85546875" bestFit="1" customWidth="1"/>
    <col min="852" max="852" width="7.5703125" bestFit="1" customWidth="1"/>
    <col min="853" max="853" width="10.85546875" bestFit="1" customWidth="1"/>
    <col min="854" max="854" width="15.5703125" bestFit="1" customWidth="1"/>
    <col min="855" max="855" width="9.85546875" bestFit="1" customWidth="1"/>
    <col min="856" max="856" width="14.85546875" bestFit="1" customWidth="1"/>
    <col min="857" max="857" width="6.7109375" bestFit="1" customWidth="1"/>
    <col min="858" max="858" width="6.42578125" bestFit="1" customWidth="1"/>
    <col min="859" max="859" width="15" bestFit="1" customWidth="1"/>
    <col min="860" max="860" width="11.85546875" bestFit="1" customWidth="1"/>
    <col min="861" max="861" width="7.42578125" bestFit="1" customWidth="1"/>
    <col min="862" max="862" width="10.7109375" bestFit="1" customWidth="1"/>
    <col min="863" max="863" width="3" bestFit="1" customWidth="1"/>
    <col min="864" max="864" width="11.140625" bestFit="1" customWidth="1"/>
    <col min="865" max="865" width="7.85546875" bestFit="1" customWidth="1"/>
    <col min="866" max="866" width="12.5703125" bestFit="1" customWidth="1"/>
    <col min="867" max="867" width="13.42578125" bestFit="1" customWidth="1"/>
    <col min="868" max="868" width="13.140625" bestFit="1" customWidth="1"/>
    <col min="869" max="869" width="19" bestFit="1" customWidth="1"/>
    <col min="870" max="870" width="9.85546875" bestFit="1" customWidth="1"/>
    <col min="871" max="871" width="7.5703125" bestFit="1" customWidth="1"/>
    <col min="872" max="872" width="10.85546875" bestFit="1" customWidth="1"/>
    <col min="873" max="873" width="7.42578125" bestFit="1" customWidth="1"/>
    <col min="874" max="874" width="15.5703125" bestFit="1" customWidth="1"/>
    <col min="875" max="875" width="9.85546875" bestFit="1" customWidth="1"/>
    <col min="876" max="876" width="14.85546875" bestFit="1" customWidth="1"/>
    <col min="877" max="877" width="6.7109375" bestFit="1" customWidth="1"/>
    <col min="878" max="878" width="9.7109375" bestFit="1" customWidth="1"/>
    <col min="879" max="879" width="6.42578125" bestFit="1" customWidth="1"/>
    <col min="880" max="880" width="15" bestFit="1" customWidth="1"/>
    <col min="882" max="882" width="12.140625" bestFit="1" customWidth="1"/>
    <col min="883" max="883" width="24.28515625" bestFit="1" customWidth="1"/>
    <col min="884" max="884" width="22.28515625" bestFit="1" customWidth="1"/>
    <col min="885" max="885" width="21.7109375" bestFit="1" customWidth="1"/>
    <col min="886" max="886" width="32.28515625" bestFit="1" customWidth="1"/>
    <col min="887" max="887" width="16" bestFit="1" customWidth="1"/>
    <col min="888" max="889" width="17.7109375" bestFit="1" customWidth="1"/>
    <col min="890" max="890" width="19.5703125" bestFit="1" customWidth="1"/>
    <col min="891" max="891" width="21.5703125" bestFit="1" customWidth="1"/>
    <col min="892" max="892" width="21.7109375" bestFit="1" customWidth="1"/>
    <col min="893" max="893" width="22.5703125" bestFit="1" customWidth="1"/>
  </cols>
  <sheetData>
    <row r="1" spans="1:10" x14ac:dyDescent="0.25">
      <c r="A1" s="16" t="str">
        <f>_xlfn.CONCAT(Input!B2,":  ",Input!B3, " - ",Input!B4)</f>
        <v>Winter Storm Fern:  North America - 1/30/26</v>
      </c>
    </row>
    <row r="2" spans="1:10" x14ac:dyDescent="0.25">
      <c r="A2" s="85" t="str">
        <f>_xlfn.CONCAT("As-Of ",Input!B5)</f>
        <v>As-Of 1/1/26</v>
      </c>
    </row>
    <row r="3" spans="1:10" x14ac:dyDescent="0.25">
      <c r="A3" s="17" t="s">
        <v>0</v>
      </c>
    </row>
    <row r="4" spans="1:10" x14ac:dyDescent="0.25">
      <c r="B4" s="110" t="s">
        <v>1</v>
      </c>
      <c r="C4" s="111"/>
      <c r="D4" s="111"/>
      <c r="E4" s="111"/>
      <c r="F4" s="111"/>
      <c r="G4" s="111"/>
      <c r="H4" s="111"/>
      <c r="I4" s="112"/>
    </row>
    <row r="5" spans="1:10" x14ac:dyDescent="0.25">
      <c r="A5" s="17"/>
      <c r="B5" s="86" t="s">
        <v>2</v>
      </c>
      <c r="C5" s="86" t="s">
        <v>3</v>
      </c>
      <c r="D5" s="96" t="s">
        <v>4</v>
      </c>
      <c r="E5" s="87" t="s">
        <v>5</v>
      </c>
      <c r="F5" s="86" t="s">
        <v>6</v>
      </c>
      <c r="G5" s="87" t="s">
        <v>7</v>
      </c>
      <c r="H5" s="86" t="s">
        <v>8</v>
      </c>
    </row>
    <row r="6" spans="1:10" x14ac:dyDescent="0.25">
      <c r="A6" s="78"/>
      <c r="B6" s="107">
        <v>280066590</v>
      </c>
      <c r="C6" t="s">
        <v>837</v>
      </c>
      <c r="D6" s="3">
        <v>3280.0940773799998</v>
      </c>
      <c r="E6" s="105">
        <v>18391370.078309178</v>
      </c>
      <c r="F6" s="106">
        <v>5.6069642042094799E-3</v>
      </c>
      <c r="G6" s="105">
        <v>15727875.350097539</v>
      </c>
      <c r="H6" s="106">
        <v>4.7949464189332948E-3</v>
      </c>
    </row>
    <row r="7" spans="1:10" x14ac:dyDescent="0.25">
      <c r="B7" s="107">
        <v>280047328</v>
      </c>
      <c r="C7" t="s">
        <v>838</v>
      </c>
      <c r="D7" s="3">
        <v>3966.6571371199998</v>
      </c>
      <c r="E7" s="105">
        <v>27624612.339108381</v>
      </c>
      <c r="F7" s="106">
        <v>6.9642047155013985E-3</v>
      </c>
      <c r="G7" s="105">
        <v>25066035.220729455</v>
      </c>
      <c r="H7" s="106">
        <v>6.3191837242904999E-3</v>
      </c>
    </row>
    <row r="8" spans="1:10" x14ac:dyDescent="0.25">
      <c r="B8" s="107">
        <v>280014790</v>
      </c>
      <c r="C8" t="s">
        <v>836</v>
      </c>
      <c r="D8" s="3">
        <v>4781.60363426</v>
      </c>
      <c r="E8" s="105">
        <v>33600852.768370017</v>
      </c>
      <c r="F8" s="106">
        <v>7.0271095930288414E-3</v>
      </c>
      <c r="G8" s="105">
        <v>30089166.00976282</v>
      </c>
      <c r="H8" s="106">
        <v>6.2926934792702479E-3</v>
      </c>
    </row>
    <row r="12" spans="1:10" x14ac:dyDescent="0.25">
      <c r="J12" s="106"/>
    </row>
    <row r="13" spans="1:10" x14ac:dyDescent="0.25">
      <c r="J13" s="106"/>
    </row>
    <row r="14" spans="1:10" x14ac:dyDescent="0.25">
      <c r="C14" s="107"/>
      <c r="F14" s="3"/>
      <c r="G14" s="105"/>
      <c r="H14" s="106"/>
      <c r="I14" s="105"/>
      <c r="J14" s="106"/>
    </row>
    <row r="15" spans="1:10" x14ac:dyDescent="0.25">
      <c r="C15" s="107"/>
      <c r="F15" s="3"/>
      <c r="G15" s="105"/>
      <c r="H15" s="106"/>
      <c r="I15" s="105"/>
      <c r="J15" s="106"/>
    </row>
    <row r="16" spans="1:10" x14ac:dyDescent="0.25">
      <c r="C16" s="110" t="s">
        <v>9</v>
      </c>
      <c r="D16" s="111"/>
      <c r="E16" s="111"/>
      <c r="F16" s="112"/>
    </row>
    <row r="17" spans="2:6" x14ac:dyDescent="0.25">
      <c r="B17" s="17"/>
      <c r="C17" s="120" t="s">
        <v>10</v>
      </c>
      <c r="D17" s="121" t="s">
        <v>2</v>
      </c>
      <c r="E17" s="121"/>
      <c r="F17" s="121"/>
    </row>
    <row r="18" spans="2:6" x14ac:dyDescent="0.25">
      <c r="C18" s="122" t="s">
        <v>11</v>
      </c>
      <c r="D18" s="120">
        <v>280066590</v>
      </c>
      <c r="E18" s="120">
        <v>280037801</v>
      </c>
      <c r="F18" s="120">
        <v>280014790</v>
      </c>
    </row>
    <row r="19" spans="2:6" x14ac:dyDescent="0.25">
      <c r="C19" s="123" t="s">
        <v>12</v>
      </c>
      <c r="D19" s="124">
        <v>1519442.62602863</v>
      </c>
      <c r="E19" s="124">
        <v>2264368.94856804</v>
      </c>
      <c r="F19" s="124">
        <v>2815625.9689655104</v>
      </c>
    </row>
    <row r="20" spans="2:6" x14ac:dyDescent="0.25">
      <c r="C20" s="125" t="s">
        <v>14</v>
      </c>
      <c r="D20" s="124">
        <v>1445270.2305286299</v>
      </c>
      <c r="E20" s="124">
        <v>2217320.6845680401</v>
      </c>
      <c r="F20" s="124">
        <v>2720541.4477155101</v>
      </c>
    </row>
    <row r="21" spans="2:6" x14ac:dyDescent="0.25">
      <c r="C21" s="125" t="s">
        <v>16</v>
      </c>
      <c r="D21" s="124">
        <v>74172.395499999984</v>
      </c>
      <c r="E21" s="124">
        <v>47048.263999999996</v>
      </c>
      <c r="F21" s="124">
        <v>95084.521250000005</v>
      </c>
    </row>
    <row r="22" spans="2:6" x14ac:dyDescent="0.25">
      <c r="C22" s="123" t="s">
        <v>15</v>
      </c>
      <c r="D22" s="124">
        <v>7063.00918748</v>
      </c>
      <c r="E22" s="124">
        <v>11407.930745360001</v>
      </c>
      <c r="F22" s="124">
        <v>11741.20795271</v>
      </c>
    </row>
    <row r="23" spans="2:6" x14ac:dyDescent="0.25">
      <c r="C23" s="125" t="s">
        <v>14</v>
      </c>
      <c r="D23" s="124">
        <v>5260.4904823400002</v>
      </c>
      <c r="E23" s="124">
        <v>7498.6765356100004</v>
      </c>
      <c r="F23" s="124">
        <v>8705.3390276299997</v>
      </c>
    </row>
    <row r="24" spans="2:6" x14ac:dyDescent="0.25">
      <c r="C24" s="125" t="s">
        <v>16</v>
      </c>
      <c r="D24" s="124">
        <v>1802.5187051399998</v>
      </c>
      <c r="E24" s="124">
        <v>3909.25420975</v>
      </c>
      <c r="F24" s="124">
        <v>3035.8689250799998</v>
      </c>
    </row>
    <row r="25" spans="2:6" x14ac:dyDescent="0.25">
      <c r="C25" s="123" t="s">
        <v>17</v>
      </c>
      <c r="D25" s="124">
        <v>116661.55451002</v>
      </c>
      <c r="E25" s="124">
        <v>156694.22077213999</v>
      </c>
      <c r="F25" s="124">
        <v>167704.60568261001</v>
      </c>
    </row>
    <row r="26" spans="2:6" x14ac:dyDescent="0.25">
      <c r="C26" s="125" t="s">
        <v>14</v>
      </c>
      <c r="D26" s="124">
        <v>116661.55451002</v>
      </c>
      <c r="E26" s="124">
        <v>156694.22077213999</v>
      </c>
      <c r="F26" s="124">
        <v>167704.60568261001</v>
      </c>
    </row>
    <row r="27" spans="2:6" x14ac:dyDescent="0.25">
      <c r="C27" s="123" t="s">
        <v>18</v>
      </c>
      <c r="D27" s="124">
        <v>0</v>
      </c>
      <c r="E27" s="124">
        <v>0</v>
      </c>
      <c r="F27" s="124">
        <v>0</v>
      </c>
    </row>
    <row r="28" spans="2:6" x14ac:dyDescent="0.25">
      <c r="C28" s="125" t="s">
        <v>14</v>
      </c>
      <c r="D28" s="124">
        <v>0</v>
      </c>
      <c r="E28" s="124">
        <v>0</v>
      </c>
      <c r="F28" s="124">
        <v>0</v>
      </c>
    </row>
    <row r="29" spans="2:6" x14ac:dyDescent="0.25">
      <c r="C29" s="125" t="s">
        <v>16</v>
      </c>
      <c r="D29" s="124">
        <v>0</v>
      </c>
      <c r="E29" s="124">
        <v>0</v>
      </c>
      <c r="F29" s="124">
        <v>0</v>
      </c>
    </row>
    <row r="30" spans="2:6" x14ac:dyDescent="0.25">
      <c r="C30" s="123" t="s">
        <v>19</v>
      </c>
      <c r="D30" s="124">
        <v>1151330.2898734701</v>
      </c>
      <c r="E30" s="124">
        <v>1399890.9537804201</v>
      </c>
      <c r="F30" s="124">
        <v>2018897.0840372208</v>
      </c>
    </row>
    <row r="31" spans="2:6" x14ac:dyDescent="0.25">
      <c r="C31" s="125" t="s">
        <v>14</v>
      </c>
      <c r="D31" s="124">
        <v>102142.61001943999</v>
      </c>
      <c r="E31" s="124">
        <v>223433.65692158003</v>
      </c>
      <c r="F31" s="124">
        <v>285741.10236506007</v>
      </c>
    </row>
    <row r="32" spans="2:6" x14ac:dyDescent="0.25">
      <c r="C32" s="125" t="s">
        <v>16</v>
      </c>
      <c r="D32" s="124">
        <v>1049187.67985403</v>
      </c>
      <c r="E32" s="124">
        <v>1176457.2968588402</v>
      </c>
      <c r="F32" s="124">
        <v>1733155.9816721608</v>
      </c>
    </row>
    <row r="33" spans="3:6" x14ac:dyDescent="0.25">
      <c r="C33" s="123" t="s">
        <v>20</v>
      </c>
      <c r="D33" s="124">
        <v>3775779.1100000003</v>
      </c>
      <c r="E33" s="124">
        <v>3930833.2799999993</v>
      </c>
      <c r="F33" s="124">
        <v>6216546.0199999996</v>
      </c>
    </row>
    <row r="34" spans="3:6" x14ac:dyDescent="0.25">
      <c r="C34" s="125" t="s">
        <v>14</v>
      </c>
      <c r="D34" s="124">
        <v>3775779.1100000003</v>
      </c>
      <c r="E34" s="124">
        <v>3930833.2799999993</v>
      </c>
      <c r="F34" s="124">
        <v>6216546.0199999996</v>
      </c>
    </row>
    <row r="35" spans="3:6" x14ac:dyDescent="0.25">
      <c r="C35" s="125" t="s">
        <v>16</v>
      </c>
      <c r="D35" s="124">
        <v>0</v>
      </c>
      <c r="E35" s="124">
        <v>0</v>
      </c>
      <c r="F35" s="124">
        <v>0</v>
      </c>
    </row>
    <row r="36" spans="3:6" x14ac:dyDescent="0.25">
      <c r="C36" s="123" t="s">
        <v>21</v>
      </c>
      <c r="D36" s="124">
        <v>328700.05720856995</v>
      </c>
      <c r="E36" s="124">
        <v>317761.03777707001</v>
      </c>
      <c r="F36" s="124">
        <v>479127.79110897001</v>
      </c>
    </row>
    <row r="37" spans="3:6" x14ac:dyDescent="0.25">
      <c r="C37" s="125" t="s">
        <v>14</v>
      </c>
      <c r="D37" s="124">
        <v>328700.05720856995</v>
      </c>
      <c r="E37" s="124">
        <v>317761.03777707001</v>
      </c>
      <c r="F37" s="124">
        <v>479127.79110897001</v>
      </c>
    </row>
    <row r="38" spans="3:6" x14ac:dyDescent="0.25">
      <c r="C38" s="123" t="s">
        <v>22</v>
      </c>
      <c r="D38" s="124">
        <v>2339.63</v>
      </c>
      <c r="E38" s="124">
        <v>2226.3409999999999</v>
      </c>
      <c r="F38" s="124">
        <v>2681.8609999999999</v>
      </c>
    </row>
    <row r="39" spans="3:6" x14ac:dyDescent="0.25">
      <c r="C39" s="125" t="s">
        <v>14</v>
      </c>
      <c r="D39" s="124">
        <v>2339.63</v>
      </c>
      <c r="E39" s="124">
        <v>2226.3409999999999</v>
      </c>
      <c r="F39" s="124">
        <v>2681.8609999999999</v>
      </c>
    </row>
    <row r="40" spans="3:6" x14ac:dyDescent="0.25">
      <c r="C40" s="123" t="s">
        <v>25</v>
      </c>
      <c r="D40" s="124">
        <v>11490022.357101001</v>
      </c>
      <c r="E40" s="124">
        <v>17417603.721095398</v>
      </c>
      <c r="F40" s="124">
        <v>21888495.765423</v>
      </c>
    </row>
    <row r="41" spans="3:6" x14ac:dyDescent="0.25">
      <c r="C41" s="125" t="s">
        <v>24</v>
      </c>
      <c r="D41" s="124">
        <v>14.565799999999999</v>
      </c>
      <c r="E41" s="124">
        <v>1188156.88035</v>
      </c>
      <c r="F41" s="124">
        <v>1255.5558000000001</v>
      </c>
    </row>
    <row r="42" spans="3:6" x14ac:dyDescent="0.25">
      <c r="C42" s="125" t="s">
        <v>13</v>
      </c>
      <c r="D42" s="124">
        <v>2349169.3754750001</v>
      </c>
      <c r="E42" s="124">
        <v>2004790.1829499998</v>
      </c>
      <c r="F42" s="124">
        <v>3670099.4927500002</v>
      </c>
    </row>
    <row r="43" spans="3:6" x14ac:dyDescent="0.25">
      <c r="C43" s="125" t="s">
        <v>14</v>
      </c>
      <c r="D43" s="124">
        <v>8592866.0589260012</v>
      </c>
      <c r="E43" s="124">
        <v>13556663.0867454</v>
      </c>
      <c r="F43" s="124">
        <v>17262417.947747998</v>
      </c>
    </row>
    <row r="44" spans="3:6" x14ac:dyDescent="0.25">
      <c r="C44" s="125" t="s">
        <v>16</v>
      </c>
      <c r="D44" s="124">
        <v>547972.3568999999</v>
      </c>
      <c r="E44" s="124">
        <v>667993.57104999991</v>
      </c>
      <c r="F44" s="124">
        <v>954722.76912499976</v>
      </c>
    </row>
    <row r="45" spans="3:6" x14ac:dyDescent="0.25">
      <c r="C45" s="123" t="s">
        <v>802</v>
      </c>
      <c r="D45" s="124">
        <v>31.444400000000002</v>
      </c>
      <c r="E45" s="124">
        <v>26.368600000000001</v>
      </c>
      <c r="F45" s="124">
        <v>32.464199999999998</v>
      </c>
    </row>
    <row r="46" spans="3:6" x14ac:dyDescent="0.25">
      <c r="C46" s="125" t="s">
        <v>16</v>
      </c>
      <c r="D46" s="124">
        <v>31.444400000000002</v>
      </c>
      <c r="E46" s="124">
        <v>26.368600000000001</v>
      </c>
      <c r="F46" s="124">
        <v>32.464199999999998</v>
      </c>
    </row>
    <row r="47" spans="3:6" x14ac:dyDescent="0.25">
      <c r="C47" s="123" t="s">
        <v>26</v>
      </c>
      <c r="D47" s="124">
        <v>0</v>
      </c>
      <c r="E47" s="124">
        <v>0</v>
      </c>
      <c r="F47" s="124">
        <v>0</v>
      </c>
    </row>
    <row r="48" spans="3:6" x14ac:dyDescent="0.25">
      <c r="C48" s="125" t="s">
        <v>14</v>
      </c>
      <c r="D48" s="124">
        <v>0</v>
      </c>
      <c r="E48" s="124">
        <v>0</v>
      </c>
      <c r="F48" s="124">
        <v>0</v>
      </c>
    </row>
    <row r="49" spans="3:6" x14ac:dyDescent="0.25">
      <c r="C49" s="126" t="s">
        <v>28</v>
      </c>
      <c r="D49" s="127">
        <v>18391370.078309171</v>
      </c>
      <c r="E49" s="127">
        <v>25500812.802338429</v>
      </c>
      <c r="F49" s="127">
        <v>33600852.768370017</v>
      </c>
    </row>
  </sheetData>
  <mergeCells count="2">
    <mergeCell ref="B4:I4"/>
    <mergeCell ref="C16:F16"/>
  </mergeCell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255AB-20D7-4449-9344-31DFDE291FC9}">
  <dimension ref="A1:P363"/>
  <sheetViews>
    <sheetView topLeftCell="D1" zoomScale="105" zoomScaleNormal="105" workbookViewId="0">
      <selection activeCell="C7" sqref="C7:C364"/>
      <pivotSelection pane="bottomRight" showHeader="1" dimension="1" activeRow="5" activeCol="2" click="1" r:id="rId1">
        <pivotArea dataOnly="0" labelOnly="1" outline="0" fieldPosition="0">
          <references count="1">
            <reference field="2" count="0"/>
          </references>
        </pivotArea>
      </pivotSelection>
    </sheetView>
  </sheetViews>
  <sheetFormatPr defaultRowHeight="15" x14ac:dyDescent="0.25"/>
  <cols>
    <col min="1" max="1" width="15" bestFit="1" customWidth="1"/>
    <col min="2" max="2" width="13.28515625" bestFit="1" customWidth="1"/>
    <col min="3" max="3" width="14.28515625" bestFit="1" customWidth="1"/>
    <col min="4" max="4" width="38.140625" customWidth="1"/>
    <col min="5" max="5" width="11" bestFit="1" customWidth="1"/>
    <col min="6" max="6" width="19.42578125" bestFit="1" customWidth="1"/>
    <col min="7" max="7" width="18.5703125" bestFit="1" customWidth="1"/>
    <col min="8" max="8" width="16.5703125" bestFit="1" customWidth="1"/>
    <col min="9" max="9" width="17.85546875" bestFit="1" customWidth="1"/>
    <col min="10" max="10" width="24.42578125" bestFit="1" customWidth="1"/>
    <col min="11" max="11" width="27.140625" bestFit="1" customWidth="1"/>
    <col min="12" max="13" width="8.7109375" bestFit="1" customWidth="1"/>
    <col min="14" max="21" width="12.28515625" bestFit="1" customWidth="1"/>
  </cols>
  <sheetData>
    <row r="1" spans="1:16" x14ac:dyDescent="0.25">
      <c r="A1" s="16" t="str">
        <f>_xlfn.CONCAT(Input!B2,":  ",Input!B3, " - ",Input!B4)</f>
        <v>Winter Storm Fern:  North America - 1/30/26</v>
      </c>
      <c r="G1" s="1">
        <f>1000000000</f>
        <v>1000000000</v>
      </c>
    </row>
    <row r="2" spans="1:16" x14ac:dyDescent="0.25">
      <c r="A2" s="85" t="str">
        <f>_xlfn.CONCAT("As-Of ",Input!B5)</f>
        <v>As-Of 1/1/26</v>
      </c>
    </row>
    <row r="3" spans="1:16" x14ac:dyDescent="0.25">
      <c r="A3" s="17" t="s">
        <v>0</v>
      </c>
    </row>
    <row r="4" spans="1:16" x14ac:dyDescent="0.25">
      <c r="B4" s="110" t="s">
        <v>29</v>
      </c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2"/>
    </row>
    <row r="5" spans="1:16" x14ac:dyDescent="0.25">
      <c r="B5" s="120" t="s">
        <v>10</v>
      </c>
      <c r="C5" s="120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8" t="s">
        <v>30</v>
      </c>
      <c r="O5" s="128"/>
      <c r="P5" s="128"/>
    </row>
    <row r="6" spans="1:16" x14ac:dyDescent="0.25">
      <c r="B6" s="128" t="s">
        <v>31</v>
      </c>
      <c r="C6" s="128" t="s">
        <v>11</v>
      </c>
      <c r="D6" s="128" t="s">
        <v>32</v>
      </c>
      <c r="E6" s="128" t="s">
        <v>33</v>
      </c>
      <c r="F6" s="128" t="s">
        <v>34</v>
      </c>
      <c r="G6" s="128" t="s">
        <v>35</v>
      </c>
      <c r="H6" s="128" t="s">
        <v>36</v>
      </c>
      <c r="I6" s="128" t="s">
        <v>37</v>
      </c>
      <c r="J6" s="128" t="s">
        <v>38</v>
      </c>
      <c r="K6" s="128" t="s">
        <v>39</v>
      </c>
      <c r="L6" s="128" t="s">
        <v>40</v>
      </c>
      <c r="M6" s="128" t="s">
        <v>41</v>
      </c>
      <c r="N6" s="129">
        <v>280066590</v>
      </c>
      <c r="O6" s="129">
        <v>280037801</v>
      </c>
      <c r="P6" s="129">
        <v>280014790</v>
      </c>
    </row>
    <row r="7" spans="1:16" x14ac:dyDescent="0.25">
      <c r="B7" s="78">
        <v>442927</v>
      </c>
      <c r="C7" s="78" t="s">
        <v>94</v>
      </c>
      <c r="D7" s="78" t="s">
        <v>419</v>
      </c>
      <c r="E7" s="78" t="s">
        <v>14</v>
      </c>
      <c r="F7" s="78" t="s">
        <v>420</v>
      </c>
      <c r="G7" s="130">
        <v>4000000</v>
      </c>
      <c r="H7" s="130">
        <v>40000000</v>
      </c>
      <c r="I7" s="130">
        <v>0</v>
      </c>
      <c r="J7" s="130">
        <v>0</v>
      </c>
      <c r="K7" s="78" t="s">
        <v>400</v>
      </c>
      <c r="L7" s="131">
        <v>3.10336597</v>
      </c>
      <c r="M7" s="131">
        <v>0.1</v>
      </c>
      <c r="N7" s="124">
        <v>1079249.3319999999</v>
      </c>
      <c r="O7" s="124">
        <v>2499422.7629999998</v>
      </c>
      <c r="P7" s="124">
        <v>3151509.0210000002</v>
      </c>
    </row>
    <row r="8" spans="1:16" x14ac:dyDescent="0.25">
      <c r="B8" s="78">
        <v>48044</v>
      </c>
      <c r="C8" s="78" t="s">
        <v>87</v>
      </c>
      <c r="D8" s="78" t="s">
        <v>226</v>
      </c>
      <c r="E8" s="78" t="s">
        <v>14</v>
      </c>
      <c r="F8" s="78" t="s">
        <v>227</v>
      </c>
      <c r="G8" s="130">
        <v>324867092.31</v>
      </c>
      <c r="H8" s="130">
        <v>324867092.31</v>
      </c>
      <c r="I8" s="130">
        <v>0</v>
      </c>
      <c r="J8" s="130">
        <v>0</v>
      </c>
      <c r="K8" s="78" t="s">
        <v>14</v>
      </c>
      <c r="L8" s="131">
        <v>0.55811878999999998</v>
      </c>
      <c r="M8" s="131">
        <v>1</v>
      </c>
      <c r="N8" s="124">
        <v>1372082.6</v>
      </c>
      <c r="O8" s="124">
        <v>1564884.85</v>
      </c>
      <c r="P8" s="124">
        <v>2145993.09</v>
      </c>
    </row>
    <row r="9" spans="1:16" x14ac:dyDescent="0.25">
      <c r="B9" s="78">
        <v>139885</v>
      </c>
      <c r="C9" s="78" t="s">
        <v>87</v>
      </c>
      <c r="D9" s="78" t="s">
        <v>123</v>
      </c>
      <c r="E9" s="78" t="s">
        <v>14</v>
      </c>
      <c r="F9" s="78" t="s">
        <v>124</v>
      </c>
      <c r="G9" s="130">
        <v>1127187540.1500001</v>
      </c>
      <c r="H9" s="130">
        <v>1127187540.1500001</v>
      </c>
      <c r="I9" s="130">
        <v>0</v>
      </c>
      <c r="J9" s="130">
        <v>0</v>
      </c>
      <c r="K9" s="78" t="s">
        <v>14</v>
      </c>
      <c r="L9" s="131">
        <v>0.10623199</v>
      </c>
      <c r="M9" s="131">
        <v>1</v>
      </c>
      <c r="N9" s="124">
        <v>1069808.08</v>
      </c>
      <c r="O9" s="124">
        <v>903607</v>
      </c>
      <c r="P9" s="124">
        <v>1699063.55</v>
      </c>
    </row>
    <row r="10" spans="1:16" x14ac:dyDescent="0.25">
      <c r="B10" s="78">
        <v>468438</v>
      </c>
      <c r="C10" s="78" t="s">
        <v>94</v>
      </c>
      <c r="D10" s="78" t="s">
        <v>764</v>
      </c>
      <c r="E10" s="78" t="s">
        <v>13</v>
      </c>
      <c r="F10" s="78" t="s">
        <v>765</v>
      </c>
      <c r="G10" s="130">
        <v>1050000</v>
      </c>
      <c r="H10" s="130">
        <v>30000000</v>
      </c>
      <c r="I10" s="130">
        <v>20000000</v>
      </c>
      <c r="J10" s="130">
        <v>0</v>
      </c>
      <c r="K10" s="78" t="s">
        <v>766</v>
      </c>
      <c r="L10" s="131">
        <v>0.215</v>
      </c>
      <c r="M10" s="131">
        <v>3.5000000000000003E-2</v>
      </c>
      <c r="N10" s="124">
        <v>1050000</v>
      </c>
      <c r="O10" s="124">
        <v>1050000</v>
      </c>
      <c r="P10" s="124">
        <v>1050000</v>
      </c>
    </row>
    <row r="11" spans="1:16" x14ac:dyDescent="0.25">
      <c r="B11" s="78">
        <v>475911</v>
      </c>
      <c r="C11" s="78" t="s">
        <v>94</v>
      </c>
      <c r="D11" s="78" t="s">
        <v>690</v>
      </c>
      <c r="E11" s="78" t="s">
        <v>14</v>
      </c>
      <c r="F11" s="78" t="s">
        <v>691</v>
      </c>
      <c r="G11" s="130">
        <v>73500000</v>
      </c>
      <c r="H11" s="130">
        <v>490000000</v>
      </c>
      <c r="I11" s="130">
        <v>0</v>
      </c>
      <c r="J11" s="130">
        <v>0</v>
      </c>
      <c r="K11" s="78" t="s">
        <v>692</v>
      </c>
      <c r="L11" s="131">
        <v>0.46938775999999999</v>
      </c>
      <c r="M11" s="131">
        <v>0.15</v>
      </c>
      <c r="N11" s="124">
        <v>615849.63150000002</v>
      </c>
      <c r="O11" s="124">
        <v>1118858.148</v>
      </c>
      <c r="P11" s="124">
        <v>1246002.4454999999</v>
      </c>
    </row>
    <row r="12" spans="1:16" x14ac:dyDescent="0.25">
      <c r="B12" s="78">
        <v>439462</v>
      </c>
      <c r="C12" s="78" t="s">
        <v>94</v>
      </c>
      <c r="D12" s="78" t="s">
        <v>500</v>
      </c>
      <c r="E12" s="78" t="s">
        <v>14</v>
      </c>
      <c r="F12" s="78" t="s">
        <v>501</v>
      </c>
      <c r="G12" s="130">
        <v>8000000</v>
      </c>
      <c r="H12" s="130">
        <v>40000000</v>
      </c>
      <c r="I12" s="130">
        <v>0</v>
      </c>
      <c r="J12" s="130">
        <v>0</v>
      </c>
      <c r="K12" s="78" t="s">
        <v>400</v>
      </c>
      <c r="L12" s="131">
        <v>2.62402522</v>
      </c>
      <c r="M12" s="131">
        <v>0.2</v>
      </c>
      <c r="N12" s="124">
        <v>621789.6</v>
      </c>
      <c r="O12" s="124">
        <v>1084153.6359999999</v>
      </c>
      <c r="P12" s="124">
        <v>1078488.906</v>
      </c>
    </row>
    <row r="13" spans="1:16" x14ac:dyDescent="0.25">
      <c r="B13" s="78">
        <v>469888</v>
      </c>
      <c r="C13" s="78" t="s">
        <v>94</v>
      </c>
      <c r="D13" s="78" t="s">
        <v>667</v>
      </c>
      <c r="E13" s="78" t="s">
        <v>14</v>
      </c>
      <c r="F13" s="78" t="s">
        <v>668</v>
      </c>
      <c r="G13" s="130">
        <v>13500000</v>
      </c>
      <c r="H13" s="130">
        <v>90000000</v>
      </c>
      <c r="I13" s="130">
        <v>0</v>
      </c>
      <c r="J13" s="130">
        <v>0</v>
      </c>
      <c r="K13" s="78" t="s">
        <v>122</v>
      </c>
      <c r="L13" s="131">
        <v>0.2555907</v>
      </c>
      <c r="M13" s="131">
        <v>0.15</v>
      </c>
      <c r="N13" s="124">
        <v>543596.08499999996</v>
      </c>
      <c r="O13" s="124">
        <v>1105657.4685</v>
      </c>
      <c r="P13" s="124">
        <v>1078274.1435</v>
      </c>
    </row>
    <row r="14" spans="1:16" x14ac:dyDescent="0.25">
      <c r="B14" s="78">
        <v>471373</v>
      </c>
      <c r="C14" s="78" t="s">
        <v>94</v>
      </c>
      <c r="D14" s="78" t="s">
        <v>655</v>
      </c>
      <c r="E14" s="78" t="s">
        <v>14</v>
      </c>
      <c r="F14" s="78" t="s">
        <v>656</v>
      </c>
      <c r="G14" s="130">
        <v>19175000</v>
      </c>
      <c r="H14" s="130">
        <v>295000000</v>
      </c>
      <c r="I14" s="130">
        <v>0</v>
      </c>
      <c r="J14" s="130">
        <v>0</v>
      </c>
      <c r="K14" s="78" t="s">
        <v>122</v>
      </c>
      <c r="L14" s="131">
        <v>0.89590168999999997</v>
      </c>
      <c r="M14" s="131">
        <v>6.5000000000000002E-2</v>
      </c>
      <c r="N14" s="124">
        <v>592485.88165</v>
      </c>
      <c r="O14" s="124">
        <v>909176.57609999995</v>
      </c>
      <c r="P14" s="124">
        <v>897697.35900000005</v>
      </c>
    </row>
    <row r="15" spans="1:16" x14ac:dyDescent="0.25">
      <c r="B15" s="78">
        <v>463414</v>
      </c>
      <c r="C15" s="78" t="s">
        <v>94</v>
      </c>
      <c r="D15" s="78" t="s">
        <v>547</v>
      </c>
      <c r="E15" s="78" t="s">
        <v>14</v>
      </c>
      <c r="F15" s="78" t="s">
        <v>548</v>
      </c>
      <c r="G15" s="130">
        <v>15000000</v>
      </c>
      <c r="H15" s="130">
        <v>100000000</v>
      </c>
      <c r="I15" s="130">
        <v>0</v>
      </c>
      <c r="J15" s="130">
        <v>0</v>
      </c>
      <c r="K15" s="78" t="s">
        <v>335</v>
      </c>
      <c r="L15" s="131">
        <v>12.70729618</v>
      </c>
      <c r="M15" s="131">
        <v>0.15</v>
      </c>
      <c r="N15" s="124">
        <v>455498.21850000002</v>
      </c>
      <c r="O15" s="124">
        <v>941016.19200000004</v>
      </c>
      <c r="P15" s="124">
        <v>829631.73450000002</v>
      </c>
    </row>
    <row r="16" spans="1:16" x14ac:dyDescent="0.25">
      <c r="B16" s="78">
        <v>428943</v>
      </c>
      <c r="C16" s="78" t="s">
        <v>12</v>
      </c>
      <c r="D16" s="78" t="s">
        <v>262</v>
      </c>
      <c r="E16" s="78" t="s">
        <v>14</v>
      </c>
      <c r="F16" s="78" t="s">
        <v>263</v>
      </c>
      <c r="G16" s="130">
        <v>65700000</v>
      </c>
      <c r="H16" s="130">
        <v>1314000000</v>
      </c>
      <c r="I16" s="130">
        <v>0</v>
      </c>
      <c r="J16" s="130">
        <v>0</v>
      </c>
      <c r="K16" s="78" t="s">
        <v>162</v>
      </c>
      <c r="L16" s="131">
        <v>2.9524310800000002</v>
      </c>
      <c r="M16" s="131">
        <v>0.05</v>
      </c>
      <c r="N16" s="124">
        <v>412113.25750000001</v>
      </c>
      <c r="O16" s="124">
        <v>652430.17649999994</v>
      </c>
      <c r="P16" s="124">
        <v>829417.86300000001</v>
      </c>
    </row>
    <row r="17" spans="2:16" x14ac:dyDescent="0.25">
      <c r="B17" s="78">
        <v>439105</v>
      </c>
      <c r="C17" s="78" t="s">
        <v>94</v>
      </c>
      <c r="D17" s="78" t="s">
        <v>371</v>
      </c>
      <c r="E17" s="78" t="s">
        <v>14</v>
      </c>
      <c r="F17" s="78" t="s">
        <v>372</v>
      </c>
      <c r="G17" s="130">
        <v>4500000</v>
      </c>
      <c r="H17" s="130">
        <v>30000000</v>
      </c>
      <c r="I17" s="130">
        <v>0</v>
      </c>
      <c r="J17" s="130">
        <v>0</v>
      </c>
      <c r="K17" s="78" t="s">
        <v>373</v>
      </c>
      <c r="L17" s="131">
        <v>1.79433752</v>
      </c>
      <c r="M17" s="131">
        <v>0.15</v>
      </c>
      <c r="N17" s="124">
        <v>352422.34950000001</v>
      </c>
      <c r="O17" s="124">
        <v>619859.11349999998</v>
      </c>
      <c r="P17" s="124">
        <v>753902.36849999998</v>
      </c>
    </row>
    <row r="18" spans="2:16" x14ac:dyDescent="0.25">
      <c r="B18" s="78">
        <v>438656</v>
      </c>
      <c r="C18" s="78" t="s">
        <v>94</v>
      </c>
      <c r="D18" s="78" t="s">
        <v>788</v>
      </c>
      <c r="E18" s="78" t="s">
        <v>14</v>
      </c>
      <c r="F18" s="78" t="s">
        <v>789</v>
      </c>
      <c r="G18" s="130">
        <v>2900000</v>
      </c>
      <c r="H18" s="130">
        <v>40000000</v>
      </c>
      <c r="I18" s="130">
        <v>0</v>
      </c>
      <c r="J18" s="130">
        <v>0</v>
      </c>
      <c r="K18" s="78" t="s">
        <v>400</v>
      </c>
      <c r="L18" s="131">
        <v>16.782877500000001</v>
      </c>
      <c r="M18" s="131">
        <v>7.2499999999999995E-2</v>
      </c>
      <c r="N18" s="124">
        <v>198295.11322500001</v>
      </c>
      <c r="O18" s="124">
        <v>629035.67949999997</v>
      </c>
      <c r="P18" s="124">
        <v>869155.73895000003</v>
      </c>
    </row>
    <row r="19" spans="2:16" x14ac:dyDescent="0.25">
      <c r="B19" s="78">
        <v>441909</v>
      </c>
      <c r="C19" s="78" t="s">
        <v>94</v>
      </c>
      <c r="D19" s="78" t="s">
        <v>398</v>
      </c>
      <c r="E19" s="78" t="s">
        <v>14</v>
      </c>
      <c r="F19" s="78" t="s">
        <v>399</v>
      </c>
      <c r="G19" s="130">
        <v>12000000</v>
      </c>
      <c r="H19" s="130">
        <v>40000000</v>
      </c>
      <c r="I19" s="130">
        <v>0</v>
      </c>
      <c r="J19" s="130">
        <v>0</v>
      </c>
      <c r="K19" s="78" t="s">
        <v>400</v>
      </c>
      <c r="L19" s="131">
        <v>8.8791679999999999</v>
      </c>
      <c r="M19" s="131">
        <v>0.3</v>
      </c>
      <c r="N19" s="124">
        <v>484896.24</v>
      </c>
      <c r="O19" s="124">
        <v>358084.91399999999</v>
      </c>
      <c r="P19" s="124">
        <v>763014.73199999996</v>
      </c>
    </row>
    <row r="20" spans="2:16" x14ac:dyDescent="0.25">
      <c r="B20" s="78">
        <v>432034</v>
      </c>
      <c r="C20" s="78" t="s">
        <v>94</v>
      </c>
      <c r="D20" s="78" t="s">
        <v>279</v>
      </c>
      <c r="E20" s="78" t="s">
        <v>14</v>
      </c>
      <c r="F20" s="78" t="s">
        <v>280</v>
      </c>
      <c r="G20" s="130">
        <v>16877119</v>
      </c>
      <c r="H20" s="130">
        <v>241101700</v>
      </c>
      <c r="I20" s="130">
        <v>0</v>
      </c>
      <c r="J20" s="130">
        <v>0</v>
      </c>
      <c r="K20" s="78" t="s">
        <v>281</v>
      </c>
      <c r="L20" s="131">
        <v>1.5384615399999999</v>
      </c>
      <c r="M20" s="131">
        <v>7.0000000000000007E-2</v>
      </c>
      <c r="N20" s="124">
        <v>289406.4572</v>
      </c>
      <c r="O20" s="124">
        <v>550247.49569999997</v>
      </c>
      <c r="P20" s="124">
        <v>632050.5527</v>
      </c>
    </row>
    <row r="21" spans="2:16" x14ac:dyDescent="0.25">
      <c r="B21" s="78">
        <v>444256</v>
      </c>
      <c r="C21" s="78" t="s">
        <v>94</v>
      </c>
      <c r="D21" s="78" t="s">
        <v>814</v>
      </c>
      <c r="E21" s="78" t="s">
        <v>13</v>
      </c>
      <c r="F21" s="78" t="s">
        <v>815</v>
      </c>
      <c r="G21" s="130">
        <v>4000000</v>
      </c>
      <c r="H21" s="130">
        <v>50000000</v>
      </c>
      <c r="I21" s="130">
        <v>10000000</v>
      </c>
      <c r="J21" s="130">
        <v>0</v>
      </c>
      <c r="K21" s="78" t="s">
        <v>816</v>
      </c>
      <c r="L21" s="131">
        <v>0.2</v>
      </c>
      <c r="M21" s="131">
        <v>0.08</v>
      </c>
      <c r="N21" s="124"/>
      <c r="O21" s="124">
        <v>408260.97759999998</v>
      </c>
      <c r="P21" s="124">
        <v>910599.48320000002</v>
      </c>
    </row>
    <row r="22" spans="2:16" x14ac:dyDescent="0.25">
      <c r="B22" s="78">
        <v>434862</v>
      </c>
      <c r="C22" s="78" t="s">
        <v>94</v>
      </c>
      <c r="D22" s="78" t="s">
        <v>384</v>
      </c>
      <c r="E22" s="78" t="s">
        <v>14</v>
      </c>
      <c r="F22" s="78" t="s">
        <v>385</v>
      </c>
      <c r="G22" s="130">
        <v>6975000</v>
      </c>
      <c r="H22" s="130">
        <v>465000000</v>
      </c>
      <c r="I22" s="130">
        <v>0</v>
      </c>
      <c r="J22" s="130">
        <v>0</v>
      </c>
      <c r="K22" s="78" t="s">
        <v>386</v>
      </c>
      <c r="L22" s="131">
        <v>0.99832902999999995</v>
      </c>
      <c r="M22" s="131">
        <v>1.4999999999999999E-2</v>
      </c>
      <c r="N22" s="124">
        <v>316276.50180000003</v>
      </c>
      <c r="O22" s="124">
        <v>322035.76964999997</v>
      </c>
      <c r="P22" s="124">
        <v>622464.44744999998</v>
      </c>
    </row>
    <row r="23" spans="2:16" x14ac:dyDescent="0.25">
      <c r="B23" s="78">
        <v>445806</v>
      </c>
      <c r="C23" s="78" t="s">
        <v>94</v>
      </c>
      <c r="D23" s="78" t="s">
        <v>844</v>
      </c>
      <c r="E23" s="78" t="s">
        <v>13</v>
      </c>
      <c r="F23" s="78" t="s">
        <v>845</v>
      </c>
      <c r="G23" s="130">
        <v>2500000</v>
      </c>
      <c r="H23" s="130">
        <v>50000000</v>
      </c>
      <c r="I23" s="130">
        <v>0</v>
      </c>
      <c r="J23" s="130">
        <v>0</v>
      </c>
      <c r="K23" s="78" t="s">
        <v>846</v>
      </c>
      <c r="L23" s="131">
        <v>0.12</v>
      </c>
      <c r="M23" s="131">
        <v>0.05</v>
      </c>
      <c r="N23" s="124">
        <v>1242642.0475000001</v>
      </c>
      <c r="O23" s="124"/>
      <c r="P23" s="124"/>
    </row>
    <row r="24" spans="2:16" x14ac:dyDescent="0.25">
      <c r="B24" s="78">
        <v>485132</v>
      </c>
      <c r="C24" s="78" t="s">
        <v>94</v>
      </c>
      <c r="D24" s="78" t="s">
        <v>857</v>
      </c>
      <c r="E24" s="78" t="s">
        <v>24</v>
      </c>
      <c r="F24" s="78" t="s">
        <v>858</v>
      </c>
      <c r="G24" s="130">
        <v>12500000</v>
      </c>
      <c r="H24" s="130">
        <v>500000000</v>
      </c>
      <c r="I24" s="130">
        <v>0</v>
      </c>
      <c r="J24" s="130">
        <v>0</v>
      </c>
      <c r="K24" s="78" t="s">
        <v>859</v>
      </c>
      <c r="L24" s="131">
        <v>0.34</v>
      </c>
      <c r="M24" s="131">
        <v>2.5000000000000001E-2</v>
      </c>
      <c r="N24" s="124"/>
      <c r="O24" s="124">
        <v>1187286.6187499999</v>
      </c>
      <c r="P24" s="124"/>
    </row>
    <row r="25" spans="2:16" x14ac:dyDescent="0.25">
      <c r="B25" s="78">
        <v>480246</v>
      </c>
      <c r="C25" s="78" t="s">
        <v>94</v>
      </c>
      <c r="D25" s="78" t="s">
        <v>704</v>
      </c>
      <c r="E25" s="78" t="s">
        <v>14</v>
      </c>
      <c r="F25" s="78" t="s">
        <v>705</v>
      </c>
      <c r="G25" s="130">
        <v>40000000</v>
      </c>
      <c r="H25" s="130">
        <v>800000000</v>
      </c>
      <c r="I25" s="130">
        <v>0</v>
      </c>
      <c r="J25" s="130">
        <v>0</v>
      </c>
      <c r="K25" s="78" t="s">
        <v>159</v>
      </c>
      <c r="L25" s="131">
        <v>1.67317144</v>
      </c>
      <c r="M25" s="131">
        <v>0.05</v>
      </c>
      <c r="N25" s="124">
        <v>332634.04749999999</v>
      </c>
      <c r="O25" s="124">
        <v>312787.86849999998</v>
      </c>
      <c r="P25" s="124">
        <v>496136.97100000002</v>
      </c>
    </row>
    <row r="26" spans="2:16" x14ac:dyDescent="0.25">
      <c r="B26" s="78">
        <v>475727</v>
      </c>
      <c r="C26" s="78" t="s">
        <v>12</v>
      </c>
      <c r="D26" s="78" t="s">
        <v>681</v>
      </c>
      <c r="E26" s="78" t="s">
        <v>14</v>
      </c>
      <c r="F26" s="78" t="s">
        <v>682</v>
      </c>
      <c r="G26" s="130">
        <v>31500000</v>
      </c>
      <c r="H26" s="130">
        <v>900000000</v>
      </c>
      <c r="I26" s="130">
        <v>0</v>
      </c>
      <c r="J26" s="130">
        <v>0</v>
      </c>
      <c r="K26" s="78" t="s">
        <v>122</v>
      </c>
      <c r="L26" s="131">
        <v>0.65800000000000003</v>
      </c>
      <c r="M26" s="131">
        <v>3.5000000000000003E-2</v>
      </c>
      <c r="N26" s="124">
        <v>230663.65979999999</v>
      </c>
      <c r="O26" s="124">
        <v>393097.22934999998</v>
      </c>
      <c r="P26" s="124">
        <v>482533.43914999999</v>
      </c>
    </row>
    <row r="27" spans="2:16" x14ac:dyDescent="0.25">
      <c r="B27" s="78">
        <v>427334</v>
      </c>
      <c r="C27" s="78" t="s">
        <v>94</v>
      </c>
      <c r="D27" s="78" t="s">
        <v>236</v>
      </c>
      <c r="E27" s="78" t="s">
        <v>14</v>
      </c>
      <c r="F27" s="78" t="s">
        <v>237</v>
      </c>
      <c r="G27" s="130">
        <v>3920000</v>
      </c>
      <c r="H27" s="130">
        <v>39200000</v>
      </c>
      <c r="I27" s="130">
        <v>0</v>
      </c>
      <c r="J27" s="130">
        <v>0</v>
      </c>
      <c r="K27" s="78" t="s">
        <v>238</v>
      </c>
      <c r="L27" s="131">
        <v>0.5000502</v>
      </c>
      <c r="M27" s="131">
        <v>0.1</v>
      </c>
      <c r="N27" s="124">
        <v>91007.48</v>
      </c>
      <c r="O27" s="124">
        <v>301553.21100000001</v>
      </c>
      <c r="P27" s="124">
        <v>653162.22600000002</v>
      </c>
    </row>
    <row r="28" spans="2:16" x14ac:dyDescent="0.25">
      <c r="B28" s="78">
        <v>388129</v>
      </c>
      <c r="C28" s="78" t="s">
        <v>87</v>
      </c>
      <c r="D28" s="78" t="s">
        <v>228</v>
      </c>
      <c r="E28" s="78" t="s">
        <v>14</v>
      </c>
      <c r="F28" s="78" t="s">
        <v>229</v>
      </c>
      <c r="G28" s="130">
        <v>281765820.48000002</v>
      </c>
      <c r="H28" s="130">
        <v>281765820.48000002</v>
      </c>
      <c r="I28" s="130">
        <v>0</v>
      </c>
      <c r="J28" s="130">
        <v>0</v>
      </c>
      <c r="K28" s="78" t="s">
        <v>14</v>
      </c>
      <c r="L28" s="131">
        <v>2.1294279999999999E-2</v>
      </c>
      <c r="M28" s="131">
        <v>1</v>
      </c>
      <c r="N28" s="124">
        <v>164248.14000000001</v>
      </c>
      <c r="O28" s="124">
        <v>354110.97</v>
      </c>
      <c r="P28" s="124">
        <v>488481.91</v>
      </c>
    </row>
    <row r="29" spans="2:16" x14ac:dyDescent="0.25">
      <c r="B29" s="78">
        <v>484776</v>
      </c>
      <c r="C29" s="78" t="s">
        <v>12</v>
      </c>
      <c r="D29" s="78" t="s">
        <v>744</v>
      </c>
      <c r="E29" s="78" t="s">
        <v>14</v>
      </c>
      <c r="F29" s="78" t="s">
        <v>745</v>
      </c>
      <c r="G29" s="130">
        <v>12114900</v>
      </c>
      <c r="H29" s="130">
        <v>210000000</v>
      </c>
      <c r="I29" s="130">
        <v>0</v>
      </c>
      <c r="J29" s="130">
        <v>0</v>
      </c>
      <c r="K29" s="78" t="s">
        <v>122</v>
      </c>
      <c r="L29" s="131">
        <v>1.73333333</v>
      </c>
      <c r="M29" s="131">
        <v>5.7689999999999998E-2</v>
      </c>
      <c r="N29" s="124">
        <v>191004.49932209999</v>
      </c>
      <c r="O29" s="124">
        <v>349171.39720080001</v>
      </c>
      <c r="P29" s="124">
        <v>443540.18691360002</v>
      </c>
    </row>
    <row r="30" spans="2:16" x14ac:dyDescent="0.25">
      <c r="B30" s="78">
        <v>435835</v>
      </c>
      <c r="C30" s="78" t="s">
        <v>94</v>
      </c>
      <c r="D30" s="78" t="s">
        <v>167</v>
      </c>
      <c r="E30" s="78" t="s">
        <v>14</v>
      </c>
      <c r="F30" s="78" t="s">
        <v>168</v>
      </c>
      <c r="G30" s="130">
        <v>26250000</v>
      </c>
      <c r="H30" s="130">
        <v>375000000</v>
      </c>
      <c r="I30" s="130">
        <v>0</v>
      </c>
      <c r="J30" s="130">
        <v>0</v>
      </c>
      <c r="K30" s="78" t="s">
        <v>169</v>
      </c>
      <c r="L30" s="131">
        <v>0.95251441000000003</v>
      </c>
      <c r="M30" s="131">
        <v>7.0000000000000007E-2</v>
      </c>
      <c r="N30" s="124">
        <v>248856.38399999999</v>
      </c>
      <c r="O30" s="124">
        <v>285081.48830000003</v>
      </c>
      <c r="P30" s="124">
        <v>433970.73090000002</v>
      </c>
    </row>
    <row r="31" spans="2:16" x14ac:dyDescent="0.25">
      <c r="B31" s="78">
        <v>468726</v>
      </c>
      <c r="C31" s="78" t="s">
        <v>94</v>
      </c>
      <c r="D31" s="78" t="s">
        <v>600</v>
      </c>
      <c r="E31" s="78" t="s">
        <v>14</v>
      </c>
      <c r="F31" s="78" t="s">
        <v>601</v>
      </c>
      <c r="G31" s="130">
        <v>20000000</v>
      </c>
      <c r="H31" s="130">
        <v>2000000000</v>
      </c>
      <c r="I31" s="130">
        <v>0</v>
      </c>
      <c r="J31" s="130">
        <v>0</v>
      </c>
      <c r="K31" s="78" t="s">
        <v>122</v>
      </c>
      <c r="L31" s="131">
        <v>0.72499999999999998</v>
      </c>
      <c r="M31" s="131">
        <v>0.01</v>
      </c>
      <c r="N31" s="124">
        <v>261543.04569999999</v>
      </c>
      <c r="O31" s="124">
        <v>234217.8363</v>
      </c>
      <c r="P31" s="124">
        <v>341014.43930000003</v>
      </c>
    </row>
    <row r="32" spans="2:16" x14ac:dyDescent="0.25">
      <c r="B32" s="78">
        <v>197195</v>
      </c>
      <c r="C32" s="78" t="s">
        <v>87</v>
      </c>
      <c r="D32" s="78" t="s">
        <v>232</v>
      </c>
      <c r="E32" s="78" t="s">
        <v>14</v>
      </c>
      <c r="F32" s="78" t="s">
        <v>233</v>
      </c>
      <c r="G32" s="130">
        <v>188117955.44999999</v>
      </c>
      <c r="H32" s="130">
        <v>188117955.44999999</v>
      </c>
      <c r="I32" s="130">
        <v>0</v>
      </c>
      <c r="J32" s="130">
        <v>0</v>
      </c>
      <c r="K32" s="78" t="s">
        <v>14</v>
      </c>
      <c r="L32" s="131">
        <v>0.45928629999999998</v>
      </c>
      <c r="M32" s="131">
        <v>1</v>
      </c>
      <c r="N32" s="124">
        <v>287677.98</v>
      </c>
      <c r="O32" s="124">
        <v>164517.15</v>
      </c>
      <c r="P32" s="124">
        <v>372207.34</v>
      </c>
    </row>
    <row r="33" spans="2:16" x14ac:dyDescent="0.25">
      <c r="B33" s="78">
        <v>297486</v>
      </c>
      <c r="C33" s="78" t="s">
        <v>130</v>
      </c>
      <c r="D33" s="78" t="s">
        <v>138</v>
      </c>
      <c r="E33" s="78" t="s">
        <v>14</v>
      </c>
      <c r="F33" s="78" t="s">
        <v>139</v>
      </c>
      <c r="G33" s="130">
        <v>465335789.79000002</v>
      </c>
      <c r="H33" s="130">
        <v>465335789.79000002</v>
      </c>
      <c r="I33" s="130">
        <v>0</v>
      </c>
      <c r="J33" s="130">
        <v>0</v>
      </c>
      <c r="K33" s="78" t="s">
        <v>14</v>
      </c>
      <c r="L33" s="131">
        <v>1.074493E-2</v>
      </c>
      <c r="M33" s="131">
        <v>1</v>
      </c>
      <c r="N33" s="124">
        <v>261489.02</v>
      </c>
      <c r="O33" s="124">
        <v>166470.53</v>
      </c>
      <c r="P33" s="124">
        <v>384427.02</v>
      </c>
    </row>
    <row r="34" spans="2:16" x14ac:dyDescent="0.25">
      <c r="B34" s="78">
        <v>434259</v>
      </c>
      <c r="C34" s="78" t="s">
        <v>94</v>
      </c>
      <c r="D34" s="78" t="s">
        <v>309</v>
      </c>
      <c r="E34" s="78" t="s">
        <v>14</v>
      </c>
      <c r="F34" s="78" t="s">
        <v>310</v>
      </c>
      <c r="G34" s="130">
        <v>875000</v>
      </c>
      <c r="H34" s="130">
        <v>35000000</v>
      </c>
      <c r="I34" s="130">
        <v>0</v>
      </c>
      <c r="J34" s="130">
        <v>0</v>
      </c>
      <c r="K34" s="78" t="s">
        <v>311</v>
      </c>
      <c r="L34" s="131">
        <v>3.97226846</v>
      </c>
      <c r="M34" s="131">
        <v>2.5000000000000001E-2</v>
      </c>
      <c r="N34" s="124">
        <v>238221.07949999999</v>
      </c>
      <c r="O34" s="124">
        <v>179541.0055</v>
      </c>
      <c r="P34" s="124">
        <v>391341.1875</v>
      </c>
    </row>
    <row r="35" spans="2:16" x14ac:dyDescent="0.25">
      <c r="B35" s="78">
        <v>443180</v>
      </c>
      <c r="C35" s="78" t="s">
        <v>94</v>
      </c>
      <c r="D35" s="78" t="s">
        <v>425</v>
      </c>
      <c r="E35" s="78" t="s">
        <v>14</v>
      </c>
      <c r="F35" s="78" t="s">
        <v>426</v>
      </c>
      <c r="G35" s="130">
        <v>67500000</v>
      </c>
      <c r="H35" s="130">
        <v>750000000</v>
      </c>
      <c r="I35" s="130">
        <v>0</v>
      </c>
      <c r="J35" s="130">
        <v>0</v>
      </c>
      <c r="K35" s="78" t="s">
        <v>122</v>
      </c>
      <c r="L35" s="131">
        <v>1.93333333</v>
      </c>
      <c r="M35" s="131">
        <v>0.09</v>
      </c>
      <c r="N35" s="124">
        <v>248979.13200000001</v>
      </c>
      <c r="O35" s="124">
        <v>244412.96040000001</v>
      </c>
      <c r="P35" s="124">
        <v>307393.86959999998</v>
      </c>
    </row>
    <row r="36" spans="2:16" x14ac:dyDescent="0.25">
      <c r="B36" s="78">
        <v>468497</v>
      </c>
      <c r="C36" s="78" t="s">
        <v>12</v>
      </c>
      <c r="D36" s="78" t="s">
        <v>631</v>
      </c>
      <c r="E36" s="78" t="s">
        <v>14</v>
      </c>
      <c r="F36" s="78" t="s">
        <v>632</v>
      </c>
      <c r="G36" s="130">
        <v>6750000</v>
      </c>
      <c r="H36" s="130">
        <v>135000000</v>
      </c>
      <c r="I36" s="130">
        <v>0</v>
      </c>
      <c r="J36" s="130">
        <v>0</v>
      </c>
      <c r="K36" s="78" t="s">
        <v>155</v>
      </c>
      <c r="L36" s="131">
        <v>0.94444444000000005</v>
      </c>
      <c r="M36" s="131">
        <v>0.05</v>
      </c>
      <c r="N36" s="124">
        <v>246492.864</v>
      </c>
      <c r="O36" s="124">
        <v>202669.397</v>
      </c>
      <c r="P36" s="124">
        <v>293547.91450000001</v>
      </c>
    </row>
    <row r="37" spans="2:16" x14ac:dyDescent="0.25">
      <c r="B37" s="78">
        <v>437010</v>
      </c>
      <c r="C37" s="78" t="s">
        <v>94</v>
      </c>
      <c r="D37" s="78" t="s">
        <v>818</v>
      </c>
      <c r="E37" s="78" t="s">
        <v>13</v>
      </c>
      <c r="F37" s="78" t="s">
        <v>819</v>
      </c>
      <c r="G37" s="130">
        <v>2062500</v>
      </c>
      <c r="H37" s="130">
        <v>37500000</v>
      </c>
      <c r="I37" s="130">
        <v>22500000</v>
      </c>
      <c r="J37" s="130">
        <v>0</v>
      </c>
      <c r="K37" s="78" t="s">
        <v>820</v>
      </c>
      <c r="L37" s="131">
        <v>0.16250000000000001</v>
      </c>
      <c r="M37" s="131">
        <v>5.5E-2</v>
      </c>
      <c r="N37" s="124"/>
      <c r="O37" s="124"/>
      <c r="P37" s="124">
        <v>668773.16165000002</v>
      </c>
    </row>
    <row r="38" spans="2:16" x14ac:dyDescent="0.25">
      <c r="B38" s="78">
        <v>448596</v>
      </c>
      <c r="C38" s="78" t="s">
        <v>94</v>
      </c>
      <c r="D38" s="78" t="s">
        <v>183</v>
      </c>
      <c r="E38" s="78" t="s">
        <v>14</v>
      </c>
      <c r="F38" s="78" t="s">
        <v>184</v>
      </c>
      <c r="G38" s="130">
        <v>20904000</v>
      </c>
      <c r="H38" s="130">
        <v>402000000</v>
      </c>
      <c r="I38" s="130">
        <v>0</v>
      </c>
      <c r="J38" s="130">
        <v>0</v>
      </c>
      <c r="K38" s="78" t="s">
        <v>185</v>
      </c>
      <c r="L38" s="131">
        <v>0.90540511999999995</v>
      </c>
      <c r="M38" s="131">
        <v>5.1999999999999998E-2</v>
      </c>
      <c r="N38" s="124">
        <v>190572.50367999999</v>
      </c>
      <c r="O38" s="124">
        <v>193663.66084</v>
      </c>
      <c r="P38" s="124">
        <v>281376.19068</v>
      </c>
    </row>
    <row r="39" spans="2:16" x14ac:dyDescent="0.25">
      <c r="B39" s="78">
        <v>145</v>
      </c>
      <c r="C39" s="78" t="s">
        <v>45</v>
      </c>
      <c r="D39" s="78" t="s">
        <v>46</v>
      </c>
      <c r="E39" s="78" t="s">
        <v>16</v>
      </c>
      <c r="F39" s="78" t="s">
        <v>46</v>
      </c>
      <c r="G39" s="130">
        <v>1930756483</v>
      </c>
      <c r="H39" s="130">
        <v>0</v>
      </c>
      <c r="I39" s="130">
        <v>0</v>
      </c>
      <c r="J39" s="130">
        <v>0</v>
      </c>
      <c r="K39" s="78" t="s">
        <v>44</v>
      </c>
      <c r="L39" s="131">
        <v>0</v>
      </c>
      <c r="M39" s="131">
        <v>1</v>
      </c>
      <c r="N39" s="124">
        <v>213795.51026000001</v>
      </c>
      <c r="O39" s="124">
        <v>133528.73061599999</v>
      </c>
      <c r="P39" s="124">
        <v>285654.67478100001</v>
      </c>
    </row>
    <row r="40" spans="2:16" x14ac:dyDescent="0.25">
      <c r="B40" s="78">
        <v>441612</v>
      </c>
      <c r="C40" s="78" t="s">
        <v>94</v>
      </c>
      <c r="D40" s="78" t="s">
        <v>811</v>
      </c>
      <c r="E40" s="78" t="s">
        <v>13</v>
      </c>
      <c r="F40" s="78" t="s">
        <v>817</v>
      </c>
      <c r="G40" s="130">
        <v>285000</v>
      </c>
      <c r="H40" s="130">
        <v>6000000</v>
      </c>
      <c r="I40" s="130">
        <v>4000000</v>
      </c>
      <c r="J40" s="130">
        <v>0</v>
      </c>
      <c r="K40" s="78" t="s">
        <v>611</v>
      </c>
      <c r="L40" s="131">
        <v>0.47</v>
      </c>
      <c r="M40" s="131">
        <v>4.7500000000000001E-2</v>
      </c>
      <c r="N40" s="124">
        <v>56527.327975</v>
      </c>
      <c r="O40" s="124">
        <v>279964.65324999997</v>
      </c>
      <c r="P40" s="124">
        <v>285000</v>
      </c>
    </row>
    <row r="41" spans="2:16" x14ac:dyDescent="0.25">
      <c r="B41" s="78">
        <v>326485</v>
      </c>
      <c r="C41" s="78" t="s">
        <v>87</v>
      </c>
      <c r="D41" s="78" t="s">
        <v>234</v>
      </c>
      <c r="E41" s="78" t="s">
        <v>14</v>
      </c>
      <c r="F41" s="78" t="s">
        <v>235</v>
      </c>
      <c r="G41" s="130">
        <v>226363672.53999999</v>
      </c>
      <c r="H41" s="130">
        <v>226363672.53999999</v>
      </c>
      <c r="I41" s="130">
        <v>0</v>
      </c>
      <c r="J41" s="130">
        <v>0</v>
      </c>
      <c r="K41" s="78" t="s">
        <v>14</v>
      </c>
      <c r="L41" s="131">
        <v>5.74297E-3</v>
      </c>
      <c r="M41" s="131">
        <v>1</v>
      </c>
      <c r="N41" s="124">
        <v>144906.29</v>
      </c>
      <c r="O41" s="124">
        <v>171771.86</v>
      </c>
      <c r="P41" s="124">
        <v>284937.17</v>
      </c>
    </row>
    <row r="42" spans="2:16" x14ac:dyDescent="0.25">
      <c r="B42" s="78">
        <v>486179</v>
      </c>
      <c r="C42" s="78" t="s">
        <v>12</v>
      </c>
      <c r="D42" s="78" t="s">
        <v>752</v>
      </c>
      <c r="E42" s="78" t="s">
        <v>14</v>
      </c>
      <c r="F42" s="78" t="s">
        <v>753</v>
      </c>
      <c r="G42" s="130">
        <v>14700000</v>
      </c>
      <c r="H42" s="130">
        <v>490000000</v>
      </c>
      <c r="I42" s="130">
        <v>0</v>
      </c>
      <c r="J42" s="130">
        <v>0</v>
      </c>
      <c r="K42" s="78" t="s">
        <v>692</v>
      </c>
      <c r="L42" s="131">
        <v>0.46938775999999999</v>
      </c>
      <c r="M42" s="131">
        <v>0.03</v>
      </c>
      <c r="N42" s="124">
        <v>123171.75750000001</v>
      </c>
      <c r="O42" s="124">
        <v>223774.9566</v>
      </c>
      <c r="P42" s="124">
        <v>249204.19500000001</v>
      </c>
    </row>
    <row r="43" spans="2:16" x14ac:dyDescent="0.25">
      <c r="B43" s="78">
        <v>388108</v>
      </c>
      <c r="C43" s="78" t="s">
        <v>133</v>
      </c>
      <c r="D43" s="78" t="s">
        <v>140</v>
      </c>
      <c r="E43" s="78" t="s">
        <v>14</v>
      </c>
      <c r="F43" s="78" t="s">
        <v>141</v>
      </c>
      <c r="G43" s="130">
        <v>394874353.98000002</v>
      </c>
      <c r="H43" s="130">
        <v>394874353.98000002</v>
      </c>
      <c r="I43" s="130">
        <v>0</v>
      </c>
      <c r="J43" s="130">
        <v>0</v>
      </c>
      <c r="K43" s="78" t="s">
        <v>14</v>
      </c>
      <c r="L43" s="131">
        <v>2.5325E-4</v>
      </c>
      <c r="M43" s="131">
        <v>1</v>
      </c>
      <c r="N43" s="124">
        <v>136249.64000000001</v>
      </c>
      <c r="O43" s="124">
        <v>219340.09</v>
      </c>
      <c r="P43" s="124">
        <v>237785.81</v>
      </c>
    </row>
    <row r="44" spans="2:16" x14ac:dyDescent="0.25">
      <c r="B44" s="78">
        <v>147</v>
      </c>
      <c r="C44" s="78" t="s">
        <v>45</v>
      </c>
      <c r="D44" s="78" t="s">
        <v>46</v>
      </c>
      <c r="E44" s="78" t="s">
        <v>16</v>
      </c>
      <c r="F44" s="78" t="s">
        <v>46</v>
      </c>
      <c r="G44" s="130">
        <v>1347147300</v>
      </c>
      <c r="H44" s="130">
        <v>0</v>
      </c>
      <c r="I44" s="130">
        <v>0</v>
      </c>
      <c r="J44" s="130">
        <v>0</v>
      </c>
      <c r="K44" s="78" t="s">
        <v>44</v>
      </c>
      <c r="L44" s="131">
        <v>0</v>
      </c>
      <c r="M44" s="131">
        <v>1</v>
      </c>
      <c r="N44" s="124">
        <v>113432.381733</v>
      </c>
      <c r="O44" s="124">
        <v>204435.21922200001</v>
      </c>
      <c r="P44" s="124">
        <v>247623.38931900001</v>
      </c>
    </row>
    <row r="45" spans="2:16" x14ac:dyDescent="0.25">
      <c r="B45" s="78">
        <v>443278</v>
      </c>
      <c r="C45" s="78" t="s">
        <v>45</v>
      </c>
      <c r="D45" s="78" t="s">
        <v>433</v>
      </c>
      <c r="E45" s="78" t="s">
        <v>16</v>
      </c>
      <c r="F45" s="78" t="s">
        <v>434</v>
      </c>
      <c r="G45" s="130">
        <v>500000</v>
      </c>
      <c r="H45" s="130">
        <v>1000000</v>
      </c>
      <c r="I45" s="130">
        <v>0</v>
      </c>
      <c r="J45" s="130">
        <v>0</v>
      </c>
      <c r="K45" s="78" t="s">
        <v>435</v>
      </c>
      <c r="L45" s="131">
        <v>0.82499999999999996</v>
      </c>
      <c r="M45" s="131">
        <v>0.5</v>
      </c>
      <c r="N45" s="124">
        <v>97805.664999999994</v>
      </c>
      <c r="O45" s="124">
        <v>213832.16</v>
      </c>
      <c r="P45" s="124">
        <v>250595.345</v>
      </c>
    </row>
    <row r="46" spans="2:16" x14ac:dyDescent="0.25">
      <c r="B46" s="78">
        <v>486037</v>
      </c>
      <c r="C46" s="78" t="s">
        <v>127</v>
      </c>
      <c r="D46" s="78" t="s">
        <v>737</v>
      </c>
      <c r="E46" s="78" t="s">
        <v>14</v>
      </c>
      <c r="F46" s="78" t="s">
        <v>136</v>
      </c>
      <c r="G46" s="130">
        <v>1012412391.53</v>
      </c>
      <c r="H46" s="130">
        <v>1012412391.53</v>
      </c>
      <c r="I46" s="130">
        <v>0</v>
      </c>
      <c r="J46" s="130">
        <v>0</v>
      </c>
      <c r="K46" s="78" t="s">
        <v>14</v>
      </c>
      <c r="L46" s="131">
        <v>2.1730299999999998E-3</v>
      </c>
      <c r="M46" s="131">
        <v>1</v>
      </c>
      <c r="N46" s="124">
        <v>159305.76999999999</v>
      </c>
      <c r="O46" s="124">
        <v>120325.72</v>
      </c>
      <c r="P46" s="124">
        <v>282147.67</v>
      </c>
    </row>
    <row r="47" spans="2:16" x14ac:dyDescent="0.25">
      <c r="B47" s="78">
        <v>144</v>
      </c>
      <c r="C47" s="78" t="s">
        <v>45</v>
      </c>
      <c r="D47" s="78" t="s">
        <v>46</v>
      </c>
      <c r="E47" s="78" t="s">
        <v>16</v>
      </c>
      <c r="F47" s="78" t="s">
        <v>46</v>
      </c>
      <c r="G47" s="130">
        <v>1313664008</v>
      </c>
      <c r="H47" s="130">
        <v>0</v>
      </c>
      <c r="I47" s="130">
        <v>0</v>
      </c>
      <c r="J47" s="130">
        <v>0</v>
      </c>
      <c r="K47" s="78" t="s">
        <v>44</v>
      </c>
      <c r="L47" s="131">
        <v>0</v>
      </c>
      <c r="M47" s="131">
        <v>1</v>
      </c>
      <c r="N47" s="124">
        <v>153002.074826</v>
      </c>
      <c r="O47" s="124">
        <v>136175.42381099999</v>
      </c>
      <c r="P47" s="124">
        <v>261430.44341400001</v>
      </c>
    </row>
    <row r="48" spans="2:16" x14ac:dyDescent="0.25">
      <c r="B48" s="78">
        <v>441843</v>
      </c>
      <c r="C48" s="78" t="s">
        <v>94</v>
      </c>
      <c r="D48" s="78" t="s">
        <v>388</v>
      </c>
      <c r="E48" s="78" t="s">
        <v>14</v>
      </c>
      <c r="F48" s="78" t="s">
        <v>389</v>
      </c>
      <c r="G48" s="130">
        <v>3750000</v>
      </c>
      <c r="H48" s="130">
        <v>50000000</v>
      </c>
      <c r="I48" s="130">
        <v>0</v>
      </c>
      <c r="J48" s="130">
        <v>0</v>
      </c>
      <c r="K48" s="78" t="s">
        <v>166</v>
      </c>
      <c r="L48" s="131">
        <v>1.63716916</v>
      </c>
      <c r="M48" s="131">
        <v>7.4999999999999997E-2</v>
      </c>
      <c r="N48" s="124">
        <v>70140.524999999994</v>
      </c>
      <c r="O48" s="124">
        <v>207492.55124999999</v>
      </c>
      <c r="P48" s="124">
        <v>246542.77499999999</v>
      </c>
    </row>
    <row r="49" spans="2:16" x14ac:dyDescent="0.25">
      <c r="B49" s="78">
        <v>476710</v>
      </c>
      <c r="C49" s="78" t="s">
        <v>94</v>
      </c>
      <c r="D49" s="78" t="s">
        <v>824</v>
      </c>
      <c r="E49" s="78" t="s">
        <v>13</v>
      </c>
      <c r="F49" s="78" t="s">
        <v>825</v>
      </c>
      <c r="G49" s="130">
        <v>1050000</v>
      </c>
      <c r="H49" s="130">
        <v>30000000</v>
      </c>
      <c r="I49" s="130">
        <v>30000000</v>
      </c>
      <c r="J49" s="130">
        <v>0</v>
      </c>
      <c r="K49" s="78" t="s">
        <v>823</v>
      </c>
      <c r="L49" s="131">
        <v>0.24</v>
      </c>
      <c r="M49" s="131">
        <v>3.5000000000000003E-2</v>
      </c>
      <c r="N49" s="124"/>
      <c r="O49" s="124">
        <v>266564.55209999997</v>
      </c>
      <c r="P49" s="124">
        <v>233529.02439999999</v>
      </c>
    </row>
    <row r="50" spans="2:16" x14ac:dyDescent="0.25">
      <c r="B50" s="78">
        <v>475611</v>
      </c>
      <c r="C50" s="78" t="s">
        <v>21</v>
      </c>
      <c r="D50" s="78" t="s">
        <v>673</v>
      </c>
      <c r="E50" s="78" t="s">
        <v>14</v>
      </c>
      <c r="F50" s="78" t="s">
        <v>674</v>
      </c>
      <c r="G50" s="130">
        <v>14875000</v>
      </c>
      <c r="H50" s="130">
        <v>350000000</v>
      </c>
      <c r="I50" s="130">
        <v>0</v>
      </c>
      <c r="J50" s="130">
        <v>0</v>
      </c>
      <c r="K50" s="78" t="s">
        <v>160</v>
      </c>
      <c r="L50" s="131">
        <v>3.34565891</v>
      </c>
      <c r="M50" s="131">
        <v>4.2500000000000003E-2</v>
      </c>
      <c r="N50" s="124">
        <v>143861.18547500001</v>
      </c>
      <c r="O50" s="124">
        <v>132217.24797500001</v>
      </c>
      <c r="P50" s="124">
        <v>202533.9472</v>
      </c>
    </row>
    <row r="51" spans="2:16" x14ac:dyDescent="0.25">
      <c r="B51" s="78">
        <v>437594</v>
      </c>
      <c r="C51" s="78" t="s">
        <v>94</v>
      </c>
      <c r="D51" s="78" t="s">
        <v>347</v>
      </c>
      <c r="E51" s="78" t="s">
        <v>14</v>
      </c>
      <c r="F51" s="78" t="s">
        <v>348</v>
      </c>
      <c r="G51" s="130">
        <v>1875000</v>
      </c>
      <c r="H51" s="130">
        <v>30000000</v>
      </c>
      <c r="I51" s="130">
        <v>0</v>
      </c>
      <c r="J51" s="130">
        <v>0</v>
      </c>
      <c r="K51" s="78" t="s">
        <v>122</v>
      </c>
      <c r="L51" s="131">
        <v>5.3494280099999996</v>
      </c>
      <c r="M51" s="131">
        <v>6.25E-2</v>
      </c>
      <c r="N51" s="124">
        <v>65143.026875000003</v>
      </c>
      <c r="O51" s="124">
        <v>182103.170625</v>
      </c>
      <c r="P51" s="124">
        <v>228491.044375</v>
      </c>
    </row>
    <row r="52" spans="2:16" x14ac:dyDescent="0.25">
      <c r="B52" s="78">
        <v>480314</v>
      </c>
      <c r="C52" s="78" t="s">
        <v>94</v>
      </c>
      <c r="D52" s="78" t="s">
        <v>713</v>
      </c>
      <c r="E52" s="78" t="s">
        <v>14</v>
      </c>
      <c r="F52" s="78" t="s">
        <v>714</v>
      </c>
      <c r="G52" s="130">
        <v>9800000</v>
      </c>
      <c r="H52" s="130">
        <v>700000000</v>
      </c>
      <c r="I52" s="130">
        <v>0</v>
      </c>
      <c r="J52" s="130">
        <v>0</v>
      </c>
      <c r="K52" s="78" t="s">
        <v>122</v>
      </c>
      <c r="L52" s="131">
        <v>0.8</v>
      </c>
      <c r="M52" s="131">
        <v>1.4E-2</v>
      </c>
      <c r="N52" s="124">
        <v>125479.24704</v>
      </c>
      <c r="O52" s="124">
        <v>142388.00813999999</v>
      </c>
      <c r="P52" s="124">
        <v>186104.66252000001</v>
      </c>
    </row>
    <row r="53" spans="2:16" x14ac:dyDescent="0.25">
      <c r="B53" s="78">
        <v>432368</v>
      </c>
      <c r="C53" s="78" t="s">
        <v>12</v>
      </c>
      <c r="D53" s="78" t="s">
        <v>172</v>
      </c>
      <c r="E53" s="78" t="s">
        <v>14</v>
      </c>
      <c r="F53" s="78" t="s">
        <v>173</v>
      </c>
      <c r="G53" s="130">
        <v>7800000</v>
      </c>
      <c r="H53" s="130">
        <v>390000000</v>
      </c>
      <c r="I53" s="130">
        <v>0</v>
      </c>
      <c r="J53" s="130">
        <v>0</v>
      </c>
      <c r="K53" s="78" t="s">
        <v>122</v>
      </c>
      <c r="L53" s="131">
        <v>1.1220538499999999</v>
      </c>
      <c r="M53" s="131">
        <v>0.02</v>
      </c>
      <c r="N53" s="124">
        <v>123799.8642</v>
      </c>
      <c r="O53" s="124">
        <v>133526.50899999999</v>
      </c>
      <c r="P53" s="124">
        <v>175694.4572</v>
      </c>
    </row>
    <row r="54" spans="2:16" x14ac:dyDescent="0.25">
      <c r="B54" s="78">
        <v>426913</v>
      </c>
      <c r="C54" s="78" t="s">
        <v>94</v>
      </c>
      <c r="D54" s="78" t="s">
        <v>336</v>
      </c>
      <c r="E54" s="78" t="s">
        <v>14</v>
      </c>
      <c r="F54" s="78" t="s">
        <v>337</v>
      </c>
      <c r="G54" s="130">
        <v>22732750</v>
      </c>
      <c r="H54" s="130">
        <v>227327500</v>
      </c>
      <c r="I54" s="130">
        <v>0</v>
      </c>
      <c r="J54" s="130">
        <v>0</v>
      </c>
      <c r="K54" s="78" t="s">
        <v>251</v>
      </c>
      <c r="L54" s="131">
        <v>0.8</v>
      </c>
      <c r="M54" s="131">
        <v>0.1</v>
      </c>
      <c r="N54" s="124">
        <v>104808.458</v>
      </c>
      <c r="O54" s="124">
        <v>96514.76</v>
      </c>
      <c r="P54" s="124">
        <v>141446.83199999999</v>
      </c>
    </row>
    <row r="55" spans="2:16" x14ac:dyDescent="0.25">
      <c r="B55" s="78">
        <v>146</v>
      </c>
      <c r="C55" s="78" t="s">
        <v>45</v>
      </c>
      <c r="D55" s="78" t="s">
        <v>46</v>
      </c>
      <c r="E55" s="78" t="s">
        <v>16</v>
      </c>
      <c r="F55" s="78" t="s">
        <v>46</v>
      </c>
      <c r="G55" s="130">
        <v>1299970306</v>
      </c>
      <c r="H55" s="130">
        <v>0</v>
      </c>
      <c r="I55" s="130">
        <v>0</v>
      </c>
      <c r="J55" s="130">
        <v>0</v>
      </c>
      <c r="K55" s="78" t="s">
        <v>44</v>
      </c>
      <c r="L55" s="131">
        <v>0</v>
      </c>
      <c r="M55" s="131">
        <v>1</v>
      </c>
      <c r="N55" s="124">
        <v>86417.704555999997</v>
      </c>
      <c r="O55" s="124">
        <v>98715.492524000001</v>
      </c>
      <c r="P55" s="124">
        <v>135998.40811300001</v>
      </c>
    </row>
    <row r="56" spans="2:16" x14ac:dyDescent="0.25">
      <c r="B56" s="78">
        <v>329067</v>
      </c>
      <c r="C56" s="78" t="s">
        <v>127</v>
      </c>
      <c r="D56" s="78" t="s">
        <v>128</v>
      </c>
      <c r="E56" s="78" t="s">
        <v>14</v>
      </c>
      <c r="F56" s="78" t="s">
        <v>129</v>
      </c>
      <c r="G56" s="130">
        <v>100178784.83</v>
      </c>
      <c r="H56" s="130">
        <v>100178784.83</v>
      </c>
      <c r="I56" s="130">
        <v>0</v>
      </c>
      <c r="J56" s="130">
        <v>0</v>
      </c>
      <c r="K56" s="78" t="s">
        <v>14</v>
      </c>
      <c r="L56" s="131">
        <v>2.4955379999999999E-2</v>
      </c>
      <c r="M56" s="131">
        <v>1</v>
      </c>
      <c r="N56" s="124">
        <v>63148.02</v>
      </c>
      <c r="O56" s="124">
        <v>125610.92</v>
      </c>
      <c r="P56" s="124">
        <v>123548.93</v>
      </c>
    </row>
    <row r="57" spans="2:16" x14ac:dyDescent="0.25">
      <c r="B57" s="78">
        <v>485405</v>
      </c>
      <c r="C57" s="78" t="s">
        <v>94</v>
      </c>
      <c r="D57" s="78" t="s">
        <v>734</v>
      </c>
      <c r="E57" s="78" t="s">
        <v>14</v>
      </c>
      <c r="F57" s="78" t="s">
        <v>735</v>
      </c>
      <c r="G57" s="130">
        <v>8400000</v>
      </c>
      <c r="H57" s="130">
        <v>280000000</v>
      </c>
      <c r="I57" s="130">
        <v>0</v>
      </c>
      <c r="J57" s="130">
        <v>0</v>
      </c>
      <c r="K57" s="78" t="s">
        <v>122</v>
      </c>
      <c r="L57" s="131">
        <v>1.3674022100000001</v>
      </c>
      <c r="M57" s="131">
        <v>0.03</v>
      </c>
      <c r="N57" s="124">
        <v>87108.800099999993</v>
      </c>
      <c r="O57" s="124">
        <v>81936.390299999999</v>
      </c>
      <c r="P57" s="124">
        <v>132199.34969999999</v>
      </c>
    </row>
    <row r="58" spans="2:16" x14ac:dyDescent="0.25">
      <c r="B58" s="78">
        <v>109</v>
      </c>
      <c r="C58" s="78" t="s">
        <v>86</v>
      </c>
      <c r="D58" s="78" t="s">
        <v>217</v>
      </c>
      <c r="E58" s="78" t="s">
        <v>16</v>
      </c>
      <c r="F58" s="78" t="s">
        <v>217</v>
      </c>
      <c r="G58" s="130">
        <v>87372584.063106105</v>
      </c>
      <c r="H58" s="130">
        <v>0</v>
      </c>
      <c r="I58" s="130">
        <v>0</v>
      </c>
      <c r="J58" s="130">
        <v>0</v>
      </c>
      <c r="K58" s="78" t="s">
        <v>44</v>
      </c>
      <c r="L58" s="131">
        <v>0</v>
      </c>
      <c r="M58" s="131">
        <v>1</v>
      </c>
      <c r="N58" s="124">
        <v>77687.884229999996</v>
      </c>
      <c r="O58" s="124">
        <v>83435.016518999997</v>
      </c>
      <c r="P58" s="124">
        <v>132655.62963400001</v>
      </c>
    </row>
    <row r="59" spans="2:16" x14ac:dyDescent="0.25">
      <c r="B59" s="78">
        <v>484547</v>
      </c>
      <c r="C59" s="78" t="s">
        <v>94</v>
      </c>
      <c r="D59" s="78" t="s">
        <v>702</v>
      </c>
      <c r="E59" s="78" t="s">
        <v>14</v>
      </c>
      <c r="F59" s="78" t="s">
        <v>703</v>
      </c>
      <c r="G59" s="130">
        <v>1125000</v>
      </c>
      <c r="H59" s="130">
        <v>10000000</v>
      </c>
      <c r="I59" s="130">
        <v>0</v>
      </c>
      <c r="J59" s="130">
        <v>0</v>
      </c>
      <c r="K59" s="78" t="s">
        <v>122</v>
      </c>
      <c r="L59" s="131">
        <v>6.0607328100000002</v>
      </c>
      <c r="M59" s="131">
        <v>0.1125</v>
      </c>
      <c r="N59" s="124">
        <v>95549.981625</v>
      </c>
      <c r="O59" s="124">
        <v>29340.367875</v>
      </c>
      <c r="P59" s="124">
        <v>168264.378</v>
      </c>
    </row>
    <row r="60" spans="2:16" x14ac:dyDescent="0.25">
      <c r="B60" s="78">
        <v>439158</v>
      </c>
      <c r="C60" s="78" t="s">
        <v>94</v>
      </c>
      <c r="D60" s="78" t="s">
        <v>494</v>
      </c>
      <c r="E60" s="78" t="s">
        <v>14</v>
      </c>
      <c r="F60" s="78" t="s">
        <v>495</v>
      </c>
      <c r="G60" s="130">
        <v>500000</v>
      </c>
      <c r="H60" s="130">
        <v>10000000</v>
      </c>
      <c r="I60" s="130">
        <v>0</v>
      </c>
      <c r="J60" s="130">
        <v>0</v>
      </c>
      <c r="K60" s="78" t="s">
        <v>176</v>
      </c>
      <c r="L60" s="131">
        <v>3.8129113000000001</v>
      </c>
      <c r="M60" s="131">
        <v>0.05</v>
      </c>
      <c r="N60" s="124">
        <v>57020.695</v>
      </c>
      <c r="O60" s="124">
        <v>107802.34149999999</v>
      </c>
      <c r="P60" s="124">
        <v>128044.01300000001</v>
      </c>
    </row>
    <row r="61" spans="2:16" x14ac:dyDescent="0.25">
      <c r="B61" s="78">
        <v>438407</v>
      </c>
      <c r="C61" s="78" t="s">
        <v>94</v>
      </c>
      <c r="D61" s="78" t="s">
        <v>478</v>
      </c>
      <c r="E61" s="78" t="s">
        <v>14</v>
      </c>
      <c r="F61" s="78" t="s">
        <v>479</v>
      </c>
      <c r="G61" s="130">
        <v>3000000</v>
      </c>
      <c r="H61" s="130">
        <v>200000000</v>
      </c>
      <c r="I61" s="130">
        <v>0</v>
      </c>
      <c r="J61" s="130">
        <v>0</v>
      </c>
      <c r="K61" s="78" t="s">
        <v>142</v>
      </c>
      <c r="L61" s="131">
        <v>1.0506402500000001</v>
      </c>
      <c r="M61" s="131">
        <v>1.4999999999999999E-2</v>
      </c>
      <c r="N61" s="124">
        <v>88414.165649999995</v>
      </c>
      <c r="O61" s="124">
        <v>81176.157449999999</v>
      </c>
      <c r="P61" s="124">
        <v>113174.64449999999</v>
      </c>
    </row>
    <row r="62" spans="2:16" x14ac:dyDescent="0.25">
      <c r="B62" s="78">
        <v>464924</v>
      </c>
      <c r="C62" s="78" t="s">
        <v>94</v>
      </c>
      <c r="D62" s="78" t="s">
        <v>616</v>
      </c>
      <c r="E62" s="78" t="s">
        <v>14</v>
      </c>
      <c r="F62" s="78" t="s">
        <v>617</v>
      </c>
      <c r="G62" s="130">
        <v>9600000</v>
      </c>
      <c r="H62" s="130">
        <v>160000000</v>
      </c>
      <c r="I62" s="130">
        <v>0</v>
      </c>
      <c r="J62" s="130">
        <v>0</v>
      </c>
      <c r="K62" s="78" t="s">
        <v>122</v>
      </c>
      <c r="L62" s="131">
        <v>1</v>
      </c>
      <c r="M62" s="131">
        <v>0.06</v>
      </c>
      <c r="N62" s="124">
        <v>74143.388999999996</v>
      </c>
      <c r="O62" s="124">
        <v>86632.233600000007</v>
      </c>
      <c r="P62" s="124">
        <v>119176.72319999999</v>
      </c>
    </row>
    <row r="63" spans="2:16" x14ac:dyDescent="0.25">
      <c r="B63" s="78">
        <v>441613</v>
      </c>
      <c r="C63" s="78" t="s">
        <v>94</v>
      </c>
      <c r="D63" s="78" t="s">
        <v>811</v>
      </c>
      <c r="E63" s="78" t="s">
        <v>13</v>
      </c>
      <c r="F63" s="78" t="s">
        <v>812</v>
      </c>
      <c r="G63" s="130">
        <v>475000</v>
      </c>
      <c r="H63" s="130">
        <v>10000000</v>
      </c>
      <c r="I63" s="130">
        <v>10000000</v>
      </c>
      <c r="J63" s="130">
        <v>0</v>
      </c>
      <c r="K63" s="78" t="s">
        <v>813</v>
      </c>
      <c r="L63" s="131">
        <v>0.26</v>
      </c>
      <c r="M63" s="131">
        <v>4.7500000000000001E-2</v>
      </c>
      <c r="N63" s="124"/>
      <c r="O63" s="124"/>
      <c r="P63" s="124">
        <v>270341.30239999999</v>
      </c>
    </row>
    <row r="64" spans="2:16" x14ac:dyDescent="0.25">
      <c r="B64" s="78">
        <v>106</v>
      </c>
      <c r="C64" s="78" t="s">
        <v>86</v>
      </c>
      <c r="D64" s="78" t="s">
        <v>217</v>
      </c>
      <c r="E64" s="78" t="s">
        <v>16</v>
      </c>
      <c r="F64" s="78" t="s">
        <v>217</v>
      </c>
      <c r="G64" s="130">
        <v>23293518.515325401</v>
      </c>
      <c r="H64" s="130">
        <v>0</v>
      </c>
      <c r="I64" s="130">
        <v>0</v>
      </c>
      <c r="J64" s="130">
        <v>0</v>
      </c>
      <c r="K64" s="78" t="s">
        <v>44</v>
      </c>
      <c r="L64" s="131">
        <v>0</v>
      </c>
      <c r="M64" s="131">
        <v>1</v>
      </c>
      <c r="N64" s="124">
        <v>76042.817999999999</v>
      </c>
      <c r="O64" s="124">
        <v>80703.934999999998</v>
      </c>
      <c r="P64" s="124">
        <v>111393.776</v>
      </c>
    </row>
    <row r="65" spans="2:16" x14ac:dyDescent="0.25">
      <c r="B65" s="78">
        <v>471410</v>
      </c>
      <c r="C65" s="78" t="s">
        <v>45</v>
      </c>
      <c r="D65" s="78" t="s">
        <v>675</v>
      </c>
      <c r="E65" s="78" t="s">
        <v>14</v>
      </c>
      <c r="F65" s="78" t="s">
        <v>676</v>
      </c>
      <c r="G65" s="130">
        <v>71136509.881500006</v>
      </c>
      <c r="H65" s="130">
        <v>2371216996.0500002</v>
      </c>
      <c r="I65" s="130">
        <v>0</v>
      </c>
      <c r="J65" s="130">
        <v>0</v>
      </c>
      <c r="K65" s="78" t="s">
        <v>14</v>
      </c>
      <c r="L65" s="131">
        <v>0.12172348</v>
      </c>
      <c r="M65" s="131">
        <v>0.03</v>
      </c>
      <c r="N65" s="124">
        <v>27600.109199999999</v>
      </c>
      <c r="O65" s="124">
        <v>95320.685100000002</v>
      </c>
      <c r="P65" s="124">
        <v>120224.1813</v>
      </c>
    </row>
    <row r="66" spans="2:16" x14ac:dyDescent="0.25">
      <c r="B66" s="78">
        <v>446929</v>
      </c>
      <c r="C66" s="78" t="s">
        <v>94</v>
      </c>
      <c r="D66" s="78" t="s">
        <v>468</v>
      </c>
      <c r="E66" s="78" t="s">
        <v>14</v>
      </c>
      <c r="F66" s="78" t="s">
        <v>469</v>
      </c>
      <c r="G66" s="130">
        <v>13500000</v>
      </c>
      <c r="H66" s="130">
        <v>150000000</v>
      </c>
      <c r="I66" s="130">
        <v>0</v>
      </c>
      <c r="J66" s="130">
        <v>0</v>
      </c>
      <c r="K66" s="78" t="s">
        <v>122</v>
      </c>
      <c r="L66" s="131">
        <v>1.03333333</v>
      </c>
      <c r="M66" s="131">
        <v>0.09</v>
      </c>
      <c r="N66" s="124">
        <v>65616.097500000003</v>
      </c>
      <c r="O66" s="124">
        <v>83534.255099999995</v>
      </c>
      <c r="P66" s="124">
        <v>89949.659400000004</v>
      </c>
    </row>
    <row r="67" spans="2:16" x14ac:dyDescent="0.25">
      <c r="B67" s="78">
        <v>435996</v>
      </c>
      <c r="C67" s="78" t="s">
        <v>94</v>
      </c>
      <c r="D67" s="78" t="s">
        <v>174</v>
      </c>
      <c r="E67" s="78" t="s">
        <v>14</v>
      </c>
      <c r="F67" s="78" t="s">
        <v>421</v>
      </c>
      <c r="G67" s="130">
        <v>7312500</v>
      </c>
      <c r="H67" s="130">
        <v>975000000</v>
      </c>
      <c r="I67" s="130">
        <v>0</v>
      </c>
      <c r="J67" s="130">
        <v>0</v>
      </c>
      <c r="K67" s="78" t="s">
        <v>422</v>
      </c>
      <c r="L67" s="131">
        <v>1.48010011</v>
      </c>
      <c r="M67" s="131">
        <v>7.4999999999999997E-3</v>
      </c>
      <c r="N67" s="124">
        <v>72453.662624999997</v>
      </c>
      <c r="O67" s="124">
        <v>61286.456774999999</v>
      </c>
      <c r="P67" s="124">
        <v>98244.476624999996</v>
      </c>
    </row>
    <row r="68" spans="2:16" x14ac:dyDescent="0.25">
      <c r="B68" s="78">
        <v>470053</v>
      </c>
      <c r="C68" s="78" t="s">
        <v>95</v>
      </c>
      <c r="D68" s="78" t="s">
        <v>646</v>
      </c>
      <c r="E68" s="78" t="s">
        <v>14</v>
      </c>
      <c r="F68" s="78" t="s">
        <v>647</v>
      </c>
      <c r="G68" s="130">
        <v>25000000</v>
      </c>
      <c r="H68" s="130">
        <v>250000000</v>
      </c>
      <c r="I68" s="130">
        <v>0</v>
      </c>
      <c r="J68" s="130">
        <v>0</v>
      </c>
      <c r="K68" s="78" t="s">
        <v>122</v>
      </c>
      <c r="L68" s="131">
        <v>0.98461171999999997</v>
      </c>
      <c r="M68" s="131">
        <v>0.1</v>
      </c>
      <c r="N68" s="124">
        <v>55004.985999999997</v>
      </c>
      <c r="O68" s="124">
        <v>67414.536999999997</v>
      </c>
      <c r="P68" s="124">
        <v>90591.134000000005</v>
      </c>
    </row>
    <row r="69" spans="2:16" x14ac:dyDescent="0.25">
      <c r="B69" s="78">
        <v>358575</v>
      </c>
      <c r="C69" s="78" t="s">
        <v>130</v>
      </c>
      <c r="D69" s="78" t="s">
        <v>143</v>
      </c>
      <c r="E69" s="78" t="s">
        <v>14</v>
      </c>
      <c r="F69" s="78" t="s">
        <v>144</v>
      </c>
      <c r="G69" s="130">
        <v>95285572.239999995</v>
      </c>
      <c r="H69" s="130">
        <v>95285572.239999995</v>
      </c>
      <c r="I69" s="130">
        <v>0</v>
      </c>
      <c r="J69" s="130">
        <v>0</v>
      </c>
      <c r="K69" s="78" t="s">
        <v>14</v>
      </c>
      <c r="L69" s="131">
        <v>4.19791E-3</v>
      </c>
      <c r="M69" s="131">
        <v>1</v>
      </c>
      <c r="N69" s="124">
        <v>61988.47</v>
      </c>
      <c r="O69" s="124">
        <v>66673.440000000002</v>
      </c>
      <c r="P69" s="124">
        <v>84073.86</v>
      </c>
    </row>
    <row r="70" spans="2:16" x14ac:dyDescent="0.25">
      <c r="B70" s="78">
        <v>472732</v>
      </c>
      <c r="C70" s="78" t="s">
        <v>94</v>
      </c>
      <c r="D70" s="78" t="s">
        <v>693</v>
      </c>
      <c r="E70" s="78" t="s">
        <v>14</v>
      </c>
      <c r="F70" s="78" t="s">
        <v>694</v>
      </c>
      <c r="G70" s="130">
        <v>15150393.960000001</v>
      </c>
      <c r="H70" s="130">
        <v>126253283</v>
      </c>
      <c r="I70" s="130">
        <v>0</v>
      </c>
      <c r="J70" s="130">
        <v>0</v>
      </c>
      <c r="K70" s="78" t="s">
        <v>122</v>
      </c>
      <c r="L70" s="131">
        <v>0.57142857000000002</v>
      </c>
      <c r="M70" s="131">
        <v>0.12</v>
      </c>
      <c r="N70" s="124">
        <v>52667.962800000001</v>
      </c>
      <c r="O70" s="124">
        <v>62092.523999999998</v>
      </c>
      <c r="P70" s="124">
        <v>86469.166800000006</v>
      </c>
    </row>
    <row r="71" spans="2:16" x14ac:dyDescent="0.25">
      <c r="B71" s="78">
        <v>430384</v>
      </c>
      <c r="C71" s="78" t="s">
        <v>94</v>
      </c>
      <c r="D71" s="78" t="s">
        <v>313</v>
      </c>
      <c r="E71" s="78" t="s">
        <v>16</v>
      </c>
      <c r="F71" s="78" t="s">
        <v>314</v>
      </c>
      <c r="G71" s="130">
        <v>525000</v>
      </c>
      <c r="H71" s="130">
        <v>10000000</v>
      </c>
      <c r="I71" s="130">
        <v>0</v>
      </c>
      <c r="J71" s="130">
        <v>0</v>
      </c>
      <c r="K71" s="78" t="s">
        <v>315</v>
      </c>
      <c r="L71" s="131">
        <v>0.65</v>
      </c>
      <c r="M71" s="131">
        <v>5.2499999999999998E-2</v>
      </c>
      <c r="N71" s="124">
        <v>41396.757675000001</v>
      </c>
      <c r="O71" s="124">
        <v>73348.708125000005</v>
      </c>
      <c r="P71" s="124">
        <v>79655.119424999997</v>
      </c>
    </row>
    <row r="72" spans="2:16" x14ac:dyDescent="0.25">
      <c r="B72" s="78">
        <v>438659</v>
      </c>
      <c r="C72" s="78" t="s">
        <v>94</v>
      </c>
      <c r="D72" s="78" t="s">
        <v>485</v>
      </c>
      <c r="E72" s="78" t="s">
        <v>14</v>
      </c>
      <c r="F72" s="78" t="s">
        <v>486</v>
      </c>
      <c r="G72" s="130">
        <v>9375000</v>
      </c>
      <c r="H72" s="130">
        <v>62500000</v>
      </c>
      <c r="I72" s="130">
        <v>0</v>
      </c>
      <c r="J72" s="130">
        <v>0</v>
      </c>
      <c r="K72" s="78" t="s">
        <v>122</v>
      </c>
      <c r="L72" s="131">
        <v>0.8</v>
      </c>
      <c r="M72" s="131">
        <v>0.15</v>
      </c>
      <c r="N72" s="124">
        <v>58597.74</v>
      </c>
      <c r="O72" s="124">
        <v>49536.364500000003</v>
      </c>
      <c r="P72" s="124">
        <v>75663.076499999996</v>
      </c>
    </row>
    <row r="73" spans="2:16" x14ac:dyDescent="0.25">
      <c r="B73" s="78">
        <v>483896</v>
      </c>
      <c r="C73" s="78" t="s">
        <v>45</v>
      </c>
      <c r="D73" s="78" t="s">
        <v>675</v>
      </c>
      <c r="E73" s="78" t="s">
        <v>14</v>
      </c>
      <c r="F73" s="78" t="s">
        <v>741</v>
      </c>
      <c r="G73" s="130">
        <v>53352382.411124997</v>
      </c>
      <c r="H73" s="130">
        <v>2371216996.0500002</v>
      </c>
      <c r="I73" s="130">
        <v>0</v>
      </c>
      <c r="J73" s="130">
        <v>0</v>
      </c>
      <c r="K73" s="78" t="s">
        <v>14</v>
      </c>
      <c r="L73" s="131">
        <v>0.12172348</v>
      </c>
      <c r="M73" s="131">
        <v>2.2499999999999999E-2</v>
      </c>
      <c r="N73" s="124">
        <v>20699.186849999998</v>
      </c>
      <c r="O73" s="124">
        <v>71490.513825000002</v>
      </c>
      <c r="P73" s="124">
        <v>90168.135974999997</v>
      </c>
    </row>
    <row r="74" spans="2:16" x14ac:dyDescent="0.25">
      <c r="B74" s="78">
        <v>469826</v>
      </c>
      <c r="C74" s="78" t="s">
        <v>94</v>
      </c>
      <c r="D74" s="78" t="s">
        <v>609</v>
      </c>
      <c r="E74" s="78" t="s">
        <v>13</v>
      </c>
      <c r="F74" s="78" t="s">
        <v>610</v>
      </c>
      <c r="G74" s="130">
        <v>900000</v>
      </c>
      <c r="H74" s="130">
        <v>6000000</v>
      </c>
      <c r="I74" s="130">
        <v>4000000</v>
      </c>
      <c r="J74" s="130">
        <v>0</v>
      </c>
      <c r="K74" s="78" t="s">
        <v>611</v>
      </c>
      <c r="L74" s="131">
        <v>0.17349999999999999</v>
      </c>
      <c r="M74" s="131">
        <v>0.15</v>
      </c>
      <c r="N74" s="124"/>
      <c r="O74" s="124"/>
      <c r="P74" s="124">
        <v>178877.74050000001</v>
      </c>
    </row>
    <row r="75" spans="2:16" x14ac:dyDescent="0.25">
      <c r="B75" s="78">
        <v>463040</v>
      </c>
      <c r="C75" s="78" t="s">
        <v>94</v>
      </c>
      <c r="D75" s="78" t="s">
        <v>602</v>
      </c>
      <c r="E75" s="78" t="s">
        <v>14</v>
      </c>
      <c r="F75" s="78" t="s">
        <v>603</v>
      </c>
      <c r="G75" s="130">
        <v>8250000</v>
      </c>
      <c r="H75" s="130">
        <v>110000000</v>
      </c>
      <c r="I75" s="130">
        <v>0</v>
      </c>
      <c r="J75" s="130">
        <v>0</v>
      </c>
      <c r="K75" s="78" t="s">
        <v>182</v>
      </c>
      <c r="L75" s="131">
        <v>0.49090908999999999</v>
      </c>
      <c r="M75" s="131">
        <v>7.4999999999999997E-2</v>
      </c>
      <c r="N75" s="124">
        <v>49037.712</v>
      </c>
      <c r="O75" s="124">
        <v>49700.690999999999</v>
      </c>
      <c r="P75" s="124">
        <v>72756.441749999998</v>
      </c>
    </row>
    <row r="76" spans="2:16" x14ac:dyDescent="0.25">
      <c r="B76" s="78">
        <v>438221</v>
      </c>
      <c r="C76" s="78" t="s">
        <v>12</v>
      </c>
      <c r="D76" s="78" t="s">
        <v>186</v>
      </c>
      <c r="E76" s="78" t="s">
        <v>14</v>
      </c>
      <c r="F76" s="78" t="s">
        <v>187</v>
      </c>
      <c r="G76" s="130">
        <v>22336875</v>
      </c>
      <c r="H76" s="130">
        <v>99275000</v>
      </c>
      <c r="I76" s="130">
        <v>0</v>
      </c>
      <c r="J76" s="130">
        <v>0</v>
      </c>
      <c r="K76" s="78" t="s">
        <v>122</v>
      </c>
      <c r="L76" s="131">
        <v>0.67357942000000004</v>
      </c>
      <c r="M76" s="131">
        <v>0.22500000000000001</v>
      </c>
      <c r="N76" s="124">
        <v>15746.710499999999</v>
      </c>
      <c r="O76" s="124">
        <v>40217.525999999998</v>
      </c>
      <c r="P76" s="124">
        <v>105894.738</v>
      </c>
    </row>
    <row r="77" spans="2:16" x14ac:dyDescent="0.25">
      <c r="B77" s="78">
        <v>485546</v>
      </c>
      <c r="C77" s="78" t="s">
        <v>94</v>
      </c>
      <c r="D77" s="78" t="s">
        <v>747</v>
      </c>
      <c r="E77" s="78" t="s">
        <v>14</v>
      </c>
      <c r="F77" s="78" t="s">
        <v>748</v>
      </c>
      <c r="G77" s="130">
        <v>8750000</v>
      </c>
      <c r="H77" s="130">
        <v>50000000</v>
      </c>
      <c r="I77" s="130">
        <v>0</v>
      </c>
      <c r="J77" s="130">
        <v>0</v>
      </c>
      <c r="K77" s="78" t="s">
        <v>166</v>
      </c>
      <c r="L77" s="131">
        <v>0.51867832000000003</v>
      </c>
      <c r="M77" s="131">
        <v>0.17499999999999999</v>
      </c>
      <c r="N77" s="124">
        <v>51603.502999999997</v>
      </c>
      <c r="O77" s="124">
        <v>29380.429749999999</v>
      </c>
      <c r="P77" s="124">
        <v>70221.914000000004</v>
      </c>
    </row>
    <row r="78" spans="2:16" x14ac:dyDescent="0.25">
      <c r="B78" s="78">
        <v>483530</v>
      </c>
      <c r="C78" s="78" t="s">
        <v>94</v>
      </c>
      <c r="D78" s="78" t="s">
        <v>726</v>
      </c>
      <c r="E78" s="78" t="s">
        <v>14</v>
      </c>
      <c r="F78" s="78" t="s">
        <v>727</v>
      </c>
      <c r="G78" s="130">
        <v>99996000</v>
      </c>
      <c r="H78" s="130">
        <v>1950000000</v>
      </c>
      <c r="I78" s="130">
        <v>0</v>
      </c>
      <c r="J78" s="130">
        <v>0</v>
      </c>
      <c r="K78" s="78" t="s">
        <v>122</v>
      </c>
      <c r="L78" s="131">
        <v>0.12830200999999999</v>
      </c>
      <c r="M78" s="131">
        <v>5.1279999999999999E-2</v>
      </c>
      <c r="N78" s="124">
        <v>50181.336256000002</v>
      </c>
      <c r="O78" s="124">
        <v>38316.4636904</v>
      </c>
      <c r="P78" s="124">
        <v>55889.320747999998</v>
      </c>
    </row>
    <row r="79" spans="2:16" x14ac:dyDescent="0.25">
      <c r="B79" s="78">
        <v>474032</v>
      </c>
      <c r="C79" s="78" t="s">
        <v>21</v>
      </c>
      <c r="D79" s="78" t="s">
        <v>688</v>
      </c>
      <c r="E79" s="78" t="s">
        <v>14</v>
      </c>
      <c r="F79" s="78" t="s">
        <v>689</v>
      </c>
      <c r="G79" s="130">
        <v>42500000</v>
      </c>
      <c r="H79" s="130">
        <v>500000000</v>
      </c>
      <c r="I79" s="130">
        <v>0</v>
      </c>
      <c r="J79" s="130">
        <v>0</v>
      </c>
      <c r="K79" s="78" t="s">
        <v>156</v>
      </c>
      <c r="L79" s="131">
        <v>0.47139999999999999</v>
      </c>
      <c r="M79" s="131">
        <v>8.5000000000000006E-2</v>
      </c>
      <c r="N79" s="124">
        <v>37453.89935</v>
      </c>
      <c r="O79" s="124">
        <v>43453.847049999997</v>
      </c>
      <c r="P79" s="124">
        <v>60377.405700000003</v>
      </c>
    </row>
    <row r="80" spans="2:16" x14ac:dyDescent="0.25">
      <c r="B80" s="78">
        <v>444587</v>
      </c>
      <c r="C80" s="78" t="s">
        <v>94</v>
      </c>
      <c r="D80" s="78" t="s">
        <v>395</v>
      </c>
      <c r="E80" s="78" t="s">
        <v>16</v>
      </c>
      <c r="F80" s="78" t="s">
        <v>396</v>
      </c>
      <c r="G80" s="130">
        <v>787500</v>
      </c>
      <c r="H80" s="130">
        <v>22500000</v>
      </c>
      <c r="I80" s="130">
        <v>0</v>
      </c>
      <c r="J80" s="130">
        <v>0</v>
      </c>
      <c r="K80" s="78" t="s">
        <v>397</v>
      </c>
      <c r="L80" s="131">
        <v>9.2666666699999993</v>
      </c>
      <c r="M80" s="131">
        <v>3.5000000000000003E-2</v>
      </c>
      <c r="N80" s="124">
        <v>33303.928699999997</v>
      </c>
      <c r="O80" s="124">
        <v>42507.554250000001</v>
      </c>
      <c r="P80" s="124">
        <v>61817.415800000002</v>
      </c>
    </row>
    <row r="81" spans="2:16" x14ac:dyDescent="0.25">
      <c r="B81" s="78">
        <v>420186</v>
      </c>
      <c r="C81" s="78" t="s">
        <v>94</v>
      </c>
      <c r="D81" s="78" t="s">
        <v>170</v>
      </c>
      <c r="E81" s="78" t="s">
        <v>14</v>
      </c>
      <c r="F81" s="78" t="s">
        <v>171</v>
      </c>
      <c r="G81" s="130">
        <v>2250000</v>
      </c>
      <c r="H81" s="130">
        <v>50000000</v>
      </c>
      <c r="I81" s="130">
        <v>0</v>
      </c>
      <c r="J81" s="130">
        <v>0</v>
      </c>
      <c r="K81" s="78" t="s">
        <v>166</v>
      </c>
      <c r="L81" s="131">
        <v>1.3646039999999999</v>
      </c>
      <c r="M81" s="131">
        <v>4.4999999999999998E-2</v>
      </c>
      <c r="N81" s="124">
        <v>37093.621050000002</v>
      </c>
      <c r="O81" s="124">
        <v>35403.046199999997</v>
      </c>
      <c r="P81" s="124">
        <v>52290.507599999997</v>
      </c>
    </row>
    <row r="82" spans="2:16" x14ac:dyDescent="0.25">
      <c r="B82" s="78">
        <v>468532</v>
      </c>
      <c r="C82" s="78" t="s">
        <v>95</v>
      </c>
      <c r="D82" s="78" t="s">
        <v>638</v>
      </c>
      <c r="E82" s="78" t="s">
        <v>14</v>
      </c>
      <c r="F82" s="78" t="s">
        <v>639</v>
      </c>
      <c r="G82" s="130">
        <v>39658812.313482799</v>
      </c>
      <c r="H82" s="130">
        <v>721069314.79059601</v>
      </c>
      <c r="I82" s="130">
        <v>0</v>
      </c>
      <c r="J82" s="130">
        <v>0</v>
      </c>
      <c r="K82" s="78" t="s">
        <v>122</v>
      </c>
      <c r="L82" s="131">
        <v>0.65165550000000005</v>
      </c>
      <c r="M82" s="131">
        <v>5.5E-2</v>
      </c>
      <c r="N82" s="124">
        <v>51078.084968679999</v>
      </c>
      <c r="O82" s="124">
        <v>49724.281584030003</v>
      </c>
      <c r="P82" s="124">
        <v>21822.113523619999</v>
      </c>
    </row>
    <row r="83" spans="2:16" x14ac:dyDescent="0.25">
      <c r="B83" s="78">
        <v>475589</v>
      </c>
      <c r="C83" s="78" t="s">
        <v>94</v>
      </c>
      <c r="D83" s="78" t="s">
        <v>623</v>
      </c>
      <c r="E83" s="78" t="s">
        <v>14</v>
      </c>
      <c r="F83" s="78" t="s">
        <v>624</v>
      </c>
      <c r="G83" s="130">
        <v>10500000</v>
      </c>
      <c r="H83" s="130">
        <v>105000000</v>
      </c>
      <c r="I83" s="130">
        <v>0</v>
      </c>
      <c r="J83" s="130">
        <v>0</v>
      </c>
      <c r="K83" s="78" t="s">
        <v>122</v>
      </c>
      <c r="L83" s="131">
        <v>0.45362531</v>
      </c>
      <c r="M83" s="131">
        <v>0.1</v>
      </c>
      <c r="N83" s="124">
        <v>34122.201000000001</v>
      </c>
      <c r="O83" s="124">
        <v>34989.737000000001</v>
      </c>
      <c r="P83" s="124">
        <v>52861.853000000003</v>
      </c>
    </row>
    <row r="84" spans="2:16" x14ac:dyDescent="0.25">
      <c r="B84" s="78">
        <v>433027</v>
      </c>
      <c r="C84" s="78" t="s">
        <v>94</v>
      </c>
      <c r="D84" s="78" t="s">
        <v>367</v>
      </c>
      <c r="E84" s="78" t="s">
        <v>16</v>
      </c>
      <c r="F84" s="78" t="s">
        <v>368</v>
      </c>
      <c r="G84" s="130">
        <v>2000000</v>
      </c>
      <c r="H84" s="130">
        <v>20000000</v>
      </c>
      <c r="I84" s="130">
        <v>0</v>
      </c>
      <c r="J84" s="130">
        <v>0</v>
      </c>
      <c r="K84" s="78" t="s">
        <v>248</v>
      </c>
      <c r="L84" s="131">
        <v>0.58858761999999998</v>
      </c>
      <c r="M84" s="131">
        <v>0.1</v>
      </c>
      <c r="N84" s="124">
        <v>4377.3789999999999</v>
      </c>
      <c r="O84" s="124">
        <v>51965.269</v>
      </c>
      <c r="P84" s="124">
        <v>65125.368000000002</v>
      </c>
    </row>
    <row r="85" spans="2:16" x14ac:dyDescent="0.25">
      <c r="B85" s="78">
        <v>445351</v>
      </c>
      <c r="C85" s="78" t="s">
        <v>94</v>
      </c>
      <c r="D85" s="78" t="s">
        <v>460</v>
      </c>
      <c r="E85" s="78" t="s">
        <v>14</v>
      </c>
      <c r="F85" s="78" t="s">
        <v>461</v>
      </c>
      <c r="G85" s="130">
        <v>8750000</v>
      </c>
      <c r="H85" s="130">
        <v>125000000</v>
      </c>
      <c r="I85" s="130">
        <v>0</v>
      </c>
      <c r="J85" s="130">
        <v>0</v>
      </c>
      <c r="K85" s="78" t="s">
        <v>190</v>
      </c>
      <c r="L85" s="131">
        <v>1.30571993</v>
      </c>
      <c r="M85" s="131">
        <v>7.0000000000000007E-2</v>
      </c>
      <c r="N85" s="124">
        <v>31311.612499999999</v>
      </c>
      <c r="O85" s="124">
        <v>36789.479299999999</v>
      </c>
      <c r="P85" s="124">
        <v>53346.758500000004</v>
      </c>
    </row>
    <row r="86" spans="2:16" x14ac:dyDescent="0.25">
      <c r="B86" s="78">
        <v>449403</v>
      </c>
      <c r="C86" s="78" t="s">
        <v>45</v>
      </c>
      <c r="D86" s="78" t="s">
        <v>559</v>
      </c>
      <c r="E86" s="78" t="s">
        <v>16</v>
      </c>
      <c r="F86" s="78" t="s">
        <v>560</v>
      </c>
      <c r="G86" s="130">
        <v>5625000</v>
      </c>
      <c r="H86" s="130">
        <v>37500000</v>
      </c>
      <c r="I86" s="130">
        <v>0</v>
      </c>
      <c r="J86" s="130">
        <v>0</v>
      </c>
      <c r="K86" s="78" t="s">
        <v>561</v>
      </c>
      <c r="L86" s="131">
        <v>0.10044488</v>
      </c>
      <c r="M86" s="131">
        <v>0.15</v>
      </c>
      <c r="N86" s="124">
        <v>30430.305</v>
      </c>
      <c r="O86" s="124">
        <v>49215.39</v>
      </c>
      <c r="P86" s="124">
        <v>38713.144500000002</v>
      </c>
    </row>
    <row r="87" spans="2:16" x14ac:dyDescent="0.25">
      <c r="B87" s="78">
        <v>458368</v>
      </c>
      <c r="C87" s="78" t="s">
        <v>21</v>
      </c>
      <c r="D87" s="78" t="s">
        <v>523</v>
      </c>
      <c r="E87" s="78" t="s">
        <v>14</v>
      </c>
      <c r="F87" s="78" t="s">
        <v>524</v>
      </c>
      <c r="G87" s="130">
        <v>5775000</v>
      </c>
      <c r="H87" s="130">
        <v>150000000</v>
      </c>
      <c r="I87" s="130">
        <v>0</v>
      </c>
      <c r="J87" s="130">
        <v>0</v>
      </c>
      <c r="K87" s="78" t="s">
        <v>161</v>
      </c>
      <c r="L87" s="131">
        <v>4.1666666699999997</v>
      </c>
      <c r="M87" s="131">
        <v>3.85E-2</v>
      </c>
      <c r="N87" s="124">
        <v>35391.244735</v>
      </c>
      <c r="O87" s="124">
        <v>31990.642530000001</v>
      </c>
      <c r="P87" s="124">
        <v>48849.052559999996</v>
      </c>
    </row>
    <row r="88" spans="2:16" x14ac:dyDescent="0.25">
      <c r="B88" s="78">
        <v>436977</v>
      </c>
      <c r="C88" s="78" t="s">
        <v>45</v>
      </c>
      <c r="D88" s="78" t="s">
        <v>358</v>
      </c>
      <c r="E88" s="78" t="s">
        <v>16</v>
      </c>
      <c r="F88" s="78" t="s">
        <v>359</v>
      </c>
      <c r="G88" s="130">
        <v>5174783.8514999999</v>
      </c>
      <c r="H88" s="130">
        <v>68997118.019999996</v>
      </c>
      <c r="I88" s="130">
        <v>0</v>
      </c>
      <c r="J88" s="130">
        <v>0</v>
      </c>
      <c r="K88" s="78" t="s">
        <v>360</v>
      </c>
      <c r="L88" s="131">
        <v>0.45</v>
      </c>
      <c r="M88" s="131">
        <v>7.4999999999999997E-2</v>
      </c>
      <c r="N88" s="124">
        <v>41469.978750000002</v>
      </c>
      <c r="O88" s="124">
        <v>29353.716</v>
      </c>
      <c r="P88" s="124">
        <v>39557.636250000003</v>
      </c>
    </row>
    <row r="89" spans="2:16" x14ac:dyDescent="0.25">
      <c r="B89" s="78">
        <v>476959</v>
      </c>
      <c r="C89" s="78" t="s">
        <v>94</v>
      </c>
      <c r="D89" s="78" t="s">
        <v>629</v>
      </c>
      <c r="E89" s="78" t="s">
        <v>14</v>
      </c>
      <c r="F89" s="78" t="s">
        <v>630</v>
      </c>
      <c r="G89" s="130">
        <v>7000000</v>
      </c>
      <c r="H89" s="130">
        <v>35000000</v>
      </c>
      <c r="I89" s="130">
        <v>0</v>
      </c>
      <c r="J89" s="130">
        <v>0</v>
      </c>
      <c r="K89" s="78" t="s">
        <v>122</v>
      </c>
      <c r="L89" s="131">
        <v>1.71428571</v>
      </c>
      <c r="M89" s="131">
        <v>0.2</v>
      </c>
      <c r="N89" s="124">
        <v>38268.959999999999</v>
      </c>
      <c r="O89" s="124">
        <v>30870.544000000002</v>
      </c>
      <c r="P89" s="124">
        <v>37259.415999999997</v>
      </c>
    </row>
    <row r="90" spans="2:16" x14ac:dyDescent="0.25">
      <c r="B90" s="78">
        <v>484259</v>
      </c>
      <c r="C90" s="78" t="s">
        <v>94</v>
      </c>
      <c r="D90" s="78" t="s">
        <v>686</v>
      </c>
      <c r="E90" s="78" t="s">
        <v>16</v>
      </c>
      <c r="F90" s="78" t="s">
        <v>736</v>
      </c>
      <c r="G90" s="130">
        <v>3000000</v>
      </c>
      <c r="H90" s="130">
        <v>75000000</v>
      </c>
      <c r="I90" s="130">
        <v>0</v>
      </c>
      <c r="J90" s="130">
        <v>0</v>
      </c>
      <c r="K90" s="78" t="s">
        <v>122</v>
      </c>
      <c r="L90" s="131">
        <v>2</v>
      </c>
      <c r="M90" s="131">
        <v>0.04</v>
      </c>
      <c r="N90" s="124">
        <v>47122.328800000003</v>
      </c>
      <c r="O90" s="124">
        <v>19066.129199999999</v>
      </c>
      <c r="P90" s="124">
        <v>39719.184800000003</v>
      </c>
    </row>
    <row r="91" spans="2:16" x14ac:dyDescent="0.25">
      <c r="B91" s="78">
        <v>448495</v>
      </c>
      <c r="C91" s="78" t="s">
        <v>94</v>
      </c>
      <c r="D91" s="78" t="s">
        <v>533</v>
      </c>
      <c r="E91" s="78" t="s">
        <v>16</v>
      </c>
      <c r="F91" s="78" t="s">
        <v>557</v>
      </c>
      <c r="G91" s="130">
        <v>12000000</v>
      </c>
      <c r="H91" s="130">
        <v>200000000</v>
      </c>
      <c r="I91" s="130">
        <v>0</v>
      </c>
      <c r="J91" s="130">
        <v>0</v>
      </c>
      <c r="K91" s="78" t="s">
        <v>558</v>
      </c>
      <c r="L91" s="131">
        <v>0.22500000000000001</v>
      </c>
      <c r="M91" s="131">
        <v>0.06</v>
      </c>
      <c r="N91" s="124">
        <v>37191.405599999998</v>
      </c>
      <c r="O91" s="124">
        <v>18144.785400000001</v>
      </c>
      <c r="P91" s="124">
        <v>50561.939400000003</v>
      </c>
    </row>
    <row r="92" spans="2:16" x14ac:dyDescent="0.25">
      <c r="B92" s="78">
        <v>448034</v>
      </c>
      <c r="C92" s="78" t="s">
        <v>12</v>
      </c>
      <c r="D92" s="78" t="s">
        <v>508</v>
      </c>
      <c r="E92" s="78" t="s">
        <v>16</v>
      </c>
      <c r="F92" s="78" t="s">
        <v>543</v>
      </c>
      <c r="G92" s="130">
        <v>5625000</v>
      </c>
      <c r="H92" s="130">
        <v>112500000</v>
      </c>
      <c r="I92" s="130">
        <v>0</v>
      </c>
      <c r="J92" s="130">
        <v>0</v>
      </c>
      <c r="K92" s="78" t="s">
        <v>544</v>
      </c>
      <c r="L92" s="131">
        <v>1.0266645999999999</v>
      </c>
      <c r="M92" s="131">
        <v>0.05</v>
      </c>
      <c r="N92" s="124">
        <v>36322.682000000001</v>
      </c>
      <c r="O92" s="124">
        <v>22518.0075</v>
      </c>
      <c r="P92" s="124">
        <v>44742.443500000001</v>
      </c>
    </row>
    <row r="93" spans="2:16" x14ac:dyDescent="0.25">
      <c r="B93" s="78">
        <v>430385</v>
      </c>
      <c r="C93" s="78" t="s">
        <v>94</v>
      </c>
      <c r="D93" s="78" t="s">
        <v>313</v>
      </c>
      <c r="E93" s="78" t="s">
        <v>16</v>
      </c>
      <c r="F93" s="78" t="s">
        <v>324</v>
      </c>
      <c r="G93" s="130">
        <v>1050000</v>
      </c>
      <c r="H93" s="130">
        <v>20000000</v>
      </c>
      <c r="I93" s="130">
        <v>0</v>
      </c>
      <c r="J93" s="130">
        <v>0</v>
      </c>
      <c r="K93" s="78" t="s">
        <v>325</v>
      </c>
      <c r="L93" s="131">
        <v>0.17</v>
      </c>
      <c r="M93" s="131">
        <v>5.2499999999999998E-2</v>
      </c>
      <c r="N93" s="124">
        <v>18081.460425000001</v>
      </c>
      <c r="O93" s="124">
        <v>38194.533300000003</v>
      </c>
      <c r="P93" s="124">
        <v>40582.952550000002</v>
      </c>
    </row>
    <row r="94" spans="2:16" x14ac:dyDescent="0.25">
      <c r="B94" s="78">
        <v>276751</v>
      </c>
      <c r="C94" s="78" t="s">
        <v>87</v>
      </c>
      <c r="D94" s="78" t="s">
        <v>241</v>
      </c>
      <c r="E94" s="78" t="s">
        <v>14</v>
      </c>
      <c r="F94" s="78" t="s">
        <v>222</v>
      </c>
      <c r="G94" s="130">
        <v>118073386.87</v>
      </c>
      <c r="H94" s="130">
        <v>118073386.87</v>
      </c>
      <c r="I94" s="130">
        <v>0</v>
      </c>
      <c r="J94" s="130">
        <v>0</v>
      </c>
      <c r="K94" s="78" t="s">
        <v>14</v>
      </c>
      <c r="L94" s="131">
        <v>0.11010101999999999</v>
      </c>
      <c r="M94" s="131">
        <v>1</v>
      </c>
      <c r="N94" s="124">
        <v>13131.48</v>
      </c>
      <c r="O94" s="124">
        <v>30915.66</v>
      </c>
      <c r="P94" s="124">
        <v>46166.69</v>
      </c>
    </row>
    <row r="95" spans="2:16" x14ac:dyDescent="0.25">
      <c r="B95" s="78">
        <v>427823</v>
      </c>
      <c r="C95" s="78" t="s">
        <v>94</v>
      </c>
      <c r="D95" s="78" t="s">
        <v>180</v>
      </c>
      <c r="E95" s="78" t="s">
        <v>14</v>
      </c>
      <c r="F95" s="78" t="s">
        <v>181</v>
      </c>
      <c r="G95" s="130">
        <v>2750000</v>
      </c>
      <c r="H95" s="130">
        <v>110000000</v>
      </c>
      <c r="I95" s="130">
        <v>0</v>
      </c>
      <c r="J95" s="130">
        <v>0</v>
      </c>
      <c r="K95" s="78" t="s">
        <v>182</v>
      </c>
      <c r="L95" s="131">
        <v>0.9</v>
      </c>
      <c r="M95" s="131">
        <v>2.5000000000000001E-2</v>
      </c>
      <c r="N95" s="124">
        <v>19405.940999999999</v>
      </c>
      <c r="O95" s="124">
        <v>30554.838250000001</v>
      </c>
      <c r="P95" s="124">
        <v>40189.2575</v>
      </c>
    </row>
    <row r="96" spans="2:16" x14ac:dyDescent="0.25">
      <c r="B96" s="78">
        <v>467463</v>
      </c>
      <c r="C96" s="78" t="s">
        <v>12</v>
      </c>
      <c r="D96" s="78" t="s">
        <v>625</v>
      </c>
      <c r="E96" s="78" t="s">
        <v>14</v>
      </c>
      <c r="F96" s="78" t="s">
        <v>626</v>
      </c>
      <c r="G96" s="130">
        <v>52500000</v>
      </c>
      <c r="H96" s="130">
        <v>1050000000</v>
      </c>
      <c r="I96" s="130">
        <v>0</v>
      </c>
      <c r="J96" s="130">
        <v>0</v>
      </c>
      <c r="K96" s="78" t="s">
        <v>122</v>
      </c>
      <c r="L96" s="131">
        <v>0.51428571000000001</v>
      </c>
      <c r="M96" s="131">
        <v>0.05</v>
      </c>
      <c r="N96" s="124">
        <v>22474.8855</v>
      </c>
      <c r="O96" s="124">
        <v>40547.620499999997</v>
      </c>
      <c r="P96" s="124">
        <v>22892.748500000002</v>
      </c>
    </row>
    <row r="97" spans="2:16" x14ac:dyDescent="0.25">
      <c r="B97" s="78">
        <v>427852</v>
      </c>
      <c r="C97" s="78" t="s">
        <v>12</v>
      </c>
      <c r="D97" s="78" t="s">
        <v>249</v>
      </c>
      <c r="E97" s="78" t="s">
        <v>14</v>
      </c>
      <c r="F97" s="78" t="s">
        <v>250</v>
      </c>
      <c r="G97" s="130">
        <v>5683187.5</v>
      </c>
      <c r="H97" s="130">
        <v>227327500</v>
      </c>
      <c r="I97" s="130">
        <v>0</v>
      </c>
      <c r="J97" s="130">
        <v>0</v>
      </c>
      <c r="K97" s="78" t="s">
        <v>251</v>
      </c>
      <c r="L97" s="131">
        <v>0.8</v>
      </c>
      <c r="M97" s="131">
        <v>2.5000000000000001E-2</v>
      </c>
      <c r="N97" s="124">
        <v>26232.953000000001</v>
      </c>
      <c r="O97" s="124">
        <v>24155.304749999999</v>
      </c>
      <c r="P97" s="124">
        <v>35398.604500000001</v>
      </c>
    </row>
    <row r="98" spans="2:16" x14ac:dyDescent="0.25">
      <c r="B98" s="78">
        <v>483216</v>
      </c>
      <c r="C98" s="78" t="s">
        <v>12</v>
      </c>
      <c r="D98" s="78" t="s">
        <v>722</v>
      </c>
      <c r="E98" s="78" t="s">
        <v>14</v>
      </c>
      <c r="F98" s="78" t="s">
        <v>723</v>
      </c>
      <c r="G98" s="130">
        <v>5000000</v>
      </c>
      <c r="H98" s="130">
        <v>100000000</v>
      </c>
      <c r="I98" s="130">
        <v>0</v>
      </c>
      <c r="J98" s="130">
        <v>0</v>
      </c>
      <c r="K98" s="78" t="s">
        <v>122</v>
      </c>
      <c r="L98" s="131">
        <v>0.59799999999999998</v>
      </c>
      <c r="M98" s="131">
        <v>0.05</v>
      </c>
      <c r="N98" s="124">
        <v>26308.315500000001</v>
      </c>
      <c r="O98" s="124">
        <v>22049.049500000001</v>
      </c>
      <c r="P98" s="124">
        <v>36508.058499999999</v>
      </c>
    </row>
    <row r="99" spans="2:16" x14ac:dyDescent="0.25">
      <c r="B99" s="78">
        <v>464234</v>
      </c>
      <c r="C99" s="78" t="s">
        <v>94</v>
      </c>
      <c r="D99" s="78" t="s">
        <v>555</v>
      </c>
      <c r="E99" s="78" t="s">
        <v>14</v>
      </c>
      <c r="F99" s="78" t="s">
        <v>556</v>
      </c>
      <c r="G99" s="130">
        <v>12500000</v>
      </c>
      <c r="H99" s="130">
        <v>50000000</v>
      </c>
      <c r="I99" s="130">
        <v>0</v>
      </c>
      <c r="J99" s="130">
        <v>0</v>
      </c>
      <c r="K99" s="78" t="s">
        <v>166</v>
      </c>
      <c r="L99" s="131">
        <v>0.4</v>
      </c>
      <c r="M99" s="131">
        <v>0.25</v>
      </c>
      <c r="N99" s="124">
        <v>19832.377499999999</v>
      </c>
      <c r="O99" s="124">
        <v>28272.7075</v>
      </c>
      <c r="P99" s="124">
        <v>35802.582499999997</v>
      </c>
    </row>
    <row r="100" spans="2:16" x14ac:dyDescent="0.25">
      <c r="B100" s="78">
        <v>482844</v>
      </c>
      <c r="C100" s="78" t="s">
        <v>21</v>
      </c>
      <c r="D100" s="78" t="s">
        <v>738</v>
      </c>
      <c r="E100" s="78" t="s">
        <v>14</v>
      </c>
      <c r="F100" s="78" t="s">
        <v>739</v>
      </c>
      <c r="G100" s="130">
        <v>17100000</v>
      </c>
      <c r="H100" s="130">
        <v>1140000000</v>
      </c>
      <c r="I100" s="130">
        <v>0</v>
      </c>
      <c r="J100" s="130">
        <v>0</v>
      </c>
      <c r="K100" s="78" t="s">
        <v>122</v>
      </c>
      <c r="L100" s="131">
        <v>0.33333332999999998</v>
      </c>
      <c r="M100" s="131">
        <v>1.4999999999999999E-2</v>
      </c>
      <c r="N100" s="124">
        <v>28916.796600000001</v>
      </c>
      <c r="O100" s="124">
        <v>21291.5478</v>
      </c>
      <c r="P100" s="124">
        <v>32443.814849999999</v>
      </c>
    </row>
    <row r="101" spans="2:16" x14ac:dyDescent="0.25">
      <c r="B101" s="78">
        <v>326486</v>
      </c>
      <c r="C101" s="78" t="s">
        <v>87</v>
      </c>
      <c r="D101" s="78" t="s">
        <v>239</v>
      </c>
      <c r="E101" s="78" t="s">
        <v>14</v>
      </c>
      <c r="F101" s="78" t="s">
        <v>240</v>
      </c>
      <c r="G101" s="130">
        <v>32450004.57</v>
      </c>
      <c r="H101" s="130">
        <v>32450004.57</v>
      </c>
      <c r="I101" s="130">
        <v>0</v>
      </c>
      <c r="J101" s="130">
        <v>0</v>
      </c>
      <c r="K101" s="78" t="s">
        <v>14</v>
      </c>
      <c r="L101" s="131">
        <v>6.1633269999999997E-2</v>
      </c>
      <c r="M101" s="131">
        <v>1</v>
      </c>
      <c r="N101" s="124">
        <v>21613.75</v>
      </c>
      <c r="O101" s="124">
        <v>24686.51</v>
      </c>
      <c r="P101" s="124">
        <v>35638.559999999998</v>
      </c>
    </row>
    <row r="102" spans="2:16" x14ac:dyDescent="0.25">
      <c r="B102" s="78">
        <v>436137</v>
      </c>
      <c r="C102" s="78" t="s">
        <v>94</v>
      </c>
      <c r="D102" s="78" t="s">
        <v>436</v>
      </c>
      <c r="E102" s="78" t="s">
        <v>14</v>
      </c>
      <c r="F102" s="78" t="s">
        <v>437</v>
      </c>
      <c r="G102" s="130">
        <v>2100000</v>
      </c>
      <c r="H102" s="130">
        <v>70000000</v>
      </c>
      <c r="I102" s="130">
        <v>0</v>
      </c>
      <c r="J102" s="130">
        <v>0</v>
      </c>
      <c r="K102" s="78" t="s">
        <v>122</v>
      </c>
      <c r="L102" s="131">
        <v>2.3679456700000001</v>
      </c>
      <c r="M102" s="131">
        <v>0.03</v>
      </c>
      <c r="N102" s="124">
        <v>22688.176800000001</v>
      </c>
      <c r="O102" s="124">
        <v>22723.306799999998</v>
      </c>
      <c r="P102" s="124">
        <v>35770.916100000002</v>
      </c>
    </row>
    <row r="103" spans="2:16" x14ac:dyDescent="0.25">
      <c r="B103" s="78">
        <v>448493</v>
      </c>
      <c r="C103" s="78" t="s">
        <v>94</v>
      </c>
      <c r="D103" s="78" t="s">
        <v>533</v>
      </c>
      <c r="E103" s="78" t="s">
        <v>16</v>
      </c>
      <c r="F103" s="78" t="s">
        <v>541</v>
      </c>
      <c r="G103" s="130">
        <v>24000000</v>
      </c>
      <c r="H103" s="130">
        <v>400000000</v>
      </c>
      <c r="I103" s="130">
        <v>0</v>
      </c>
      <c r="J103" s="130">
        <v>0</v>
      </c>
      <c r="K103" s="78" t="s">
        <v>542</v>
      </c>
      <c r="L103" s="131">
        <v>0.105</v>
      </c>
      <c r="M103" s="131">
        <v>0.06</v>
      </c>
      <c r="N103" s="124">
        <v>20268</v>
      </c>
      <c r="O103" s="124">
        <v>25482.1008</v>
      </c>
      <c r="P103" s="124">
        <v>34928.782200000001</v>
      </c>
    </row>
    <row r="104" spans="2:16" x14ac:dyDescent="0.25">
      <c r="B104" s="78">
        <v>436002</v>
      </c>
      <c r="C104" s="78" t="s">
        <v>94</v>
      </c>
      <c r="D104" s="78" t="s">
        <v>174</v>
      </c>
      <c r="E104" s="78" t="s">
        <v>14</v>
      </c>
      <c r="F104" s="78" t="s">
        <v>175</v>
      </c>
      <c r="G104" s="130">
        <v>2500000</v>
      </c>
      <c r="H104" s="130">
        <v>250000000</v>
      </c>
      <c r="I104" s="130">
        <v>0</v>
      </c>
      <c r="J104" s="130">
        <v>0</v>
      </c>
      <c r="K104" s="78" t="s">
        <v>150</v>
      </c>
      <c r="L104" s="131">
        <v>1.49105895</v>
      </c>
      <c r="M104" s="131">
        <v>0.01</v>
      </c>
      <c r="N104" s="124">
        <v>24035.107499999998</v>
      </c>
      <c r="O104" s="124">
        <v>22064.229599999999</v>
      </c>
      <c r="P104" s="124">
        <v>34338.101000000002</v>
      </c>
    </row>
    <row r="105" spans="2:16" x14ac:dyDescent="0.25">
      <c r="B105" s="78">
        <v>486170</v>
      </c>
      <c r="C105" s="78" t="s">
        <v>12</v>
      </c>
      <c r="D105" s="78" t="s">
        <v>853</v>
      </c>
      <c r="E105" s="78" t="s">
        <v>14</v>
      </c>
      <c r="F105" s="78" t="s">
        <v>854</v>
      </c>
      <c r="G105" s="130">
        <v>82329301.432682499</v>
      </c>
      <c r="H105" s="130">
        <v>968580016.855088</v>
      </c>
      <c r="I105" s="130">
        <v>0</v>
      </c>
      <c r="J105" s="130">
        <v>0</v>
      </c>
      <c r="K105" s="78" t="s">
        <v>855</v>
      </c>
      <c r="L105" s="131">
        <v>0.68294641</v>
      </c>
      <c r="M105" s="131">
        <v>8.5000000000000006E-2</v>
      </c>
      <c r="N105" s="124"/>
      <c r="O105" s="124">
        <v>79369.989391419993</v>
      </c>
      <c r="P105" s="124"/>
    </row>
    <row r="106" spans="2:16" x14ac:dyDescent="0.25">
      <c r="B106" s="78">
        <v>140</v>
      </c>
      <c r="C106" s="78" t="s">
        <v>45</v>
      </c>
      <c r="D106" s="78" t="s">
        <v>46</v>
      </c>
      <c r="E106" s="78" t="s">
        <v>16</v>
      </c>
      <c r="F106" s="78" t="s">
        <v>46</v>
      </c>
      <c r="G106" s="130">
        <v>58298719</v>
      </c>
      <c r="H106" s="130">
        <v>0</v>
      </c>
      <c r="I106" s="130">
        <v>0</v>
      </c>
      <c r="J106" s="130">
        <v>0</v>
      </c>
      <c r="K106" s="78" t="s">
        <v>44</v>
      </c>
      <c r="L106" s="131">
        <v>0</v>
      </c>
      <c r="M106" s="131">
        <v>1</v>
      </c>
      <c r="N106" s="124">
        <v>21434.290216000001</v>
      </c>
      <c r="O106" s="124">
        <v>24672.926019999999</v>
      </c>
      <c r="P106" s="124">
        <v>32965.540096999997</v>
      </c>
    </row>
    <row r="107" spans="2:16" x14ac:dyDescent="0.25">
      <c r="B107" s="78">
        <v>448027</v>
      </c>
      <c r="C107" s="78" t="s">
        <v>94</v>
      </c>
      <c r="D107" s="78" t="s">
        <v>395</v>
      </c>
      <c r="E107" s="78" t="s">
        <v>16</v>
      </c>
      <c r="F107" s="78" t="s">
        <v>517</v>
      </c>
      <c r="G107" s="130">
        <v>1452718.6726500001</v>
      </c>
      <c r="H107" s="130">
        <v>41506247.789999999</v>
      </c>
      <c r="I107" s="130">
        <v>0</v>
      </c>
      <c r="J107" s="130">
        <v>0</v>
      </c>
      <c r="K107" s="78" t="s">
        <v>518</v>
      </c>
      <c r="L107" s="131">
        <v>2.0799999900000001</v>
      </c>
      <c r="M107" s="131">
        <v>3.5000000000000003E-2</v>
      </c>
      <c r="N107" s="124">
        <v>18453.472099999999</v>
      </c>
      <c r="O107" s="124">
        <v>23334.372599999999</v>
      </c>
      <c r="P107" s="124">
        <v>35012.8485</v>
      </c>
    </row>
    <row r="108" spans="2:16" x14ac:dyDescent="0.25">
      <c r="B108" s="78">
        <v>448494</v>
      </c>
      <c r="C108" s="78" t="s">
        <v>94</v>
      </c>
      <c r="D108" s="78" t="s">
        <v>533</v>
      </c>
      <c r="E108" s="78" t="s">
        <v>16</v>
      </c>
      <c r="F108" s="78" t="s">
        <v>549</v>
      </c>
      <c r="G108" s="130">
        <v>35000000</v>
      </c>
      <c r="H108" s="130">
        <v>500000000</v>
      </c>
      <c r="I108" s="130">
        <v>0</v>
      </c>
      <c r="J108" s="130">
        <v>0</v>
      </c>
      <c r="K108" s="78" t="s">
        <v>550</v>
      </c>
      <c r="L108" s="131">
        <v>0.05</v>
      </c>
      <c r="M108" s="131">
        <v>7.0000000000000007E-2</v>
      </c>
      <c r="N108" s="124">
        <v>16961.265299999999</v>
      </c>
      <c r="O108" s="124">
        <v>28553.722399999999</v>
      </c>
      <c r="P108" s="124">
        <v>29354.962</v>
      </c>
    </row>
    <row r="109" spans="2:16" x14ac:dyDescent="0.25">
      <c r="B109" s="78">
        <v>434180</v>
      </c>
      <c r="C109" s="78" t="s">
        <v>94</v>
      </c>
      <c r="D109" s="78" t="s">
        <v>382</v>
      </c>
      <c r="E109" s="78" t="s">
        <v>16</v>
      </c>
      <c r="F109" s="78" t="s">
        <v>383</v>
      </c>
      <c r="G109" s="130">
        <v>1000000</v>
      </c>
      <c r="H109" s="130">
        <v>10000000</v>
      </c>
      <c r="I109" s="130">
        <v>0</v>
      </c>
      <c r="J109" s="130">
        <v>0</v>
      </c>
      <c r="K109" s="78" t="s">
        <v>257</v>
      </c>
      <c r="L109" s="131">
        <v>1.05</v>
      </c>
      <c r="M109" s="131">
        <v>0.1</v>
      </c>
      <c r="N109" s="124">
        <v>25728.437000000002</v>
      </c>
      <c r="O109" s="124">
        <v>19452.812999999998</v>
      </c>
      <c r="P109" s="124">
        <v>28720.15</v>
      </c>
    </row>
    <row r="110" spans="2:16" x14ac:dyDescent="0.25">
      <c r="B110" s="78">
        <v>475196</v>
      </c>
      <c r="C110" s="78" t="s">
        <v>21</v>
      </c>
      <c r="D110" s="78" t="s">
        <v>614</v>
      </c>
      <c r="E110" s="78" t="s">
        <v>14</v>
      </c>
      <c r="F110" s="78" t="s">
        <v>615</v>
      </c>
      <c r="G110" s="130">
        <v>25000000</v>
      </c>
      <c r="H110" s="130">
        <v>400000000</v>
      </c>
      <c r="I110" s="130">
        <v>0</v>
      </c>
      <c r="J110" s="130">
        <v>0</v>
      </c>
      <c r="K110" s="78" t="s">
        <v>157</v>
      </c>
      <c r="L110" s="131">
        <v>1.54125</v>
      </c>
      <c r="M110" s="131">
        <v>6.25E-2</v>
      </c>
      <c r="N110" s="124">
        <v>22793.190624999999</v>
      </c>
      <c r="O110" s="124">
        <v>19733.985625000001</v>
      </c>
      <c r="P110" s="124">
        <v>30239.216250000001</v>
      </c>
    </row>
    <row r="111" spans="2:16" x14ac:dyDescent="0.25">
      <c r="B111" s="78">
        <v>431666</v>
      </c>
      <c r="C111" s="78" t="s">
        <v>45</v>
      </c>
      <c r="D111" s="78" t="s">
        <v>264</v>
      </c>
      <c r="E111" s="78" t="s">
        <v>16</v>
      </c>
      <c r="F111" s="78" t="s">
        <v>265</v>
      </c>
      <c r="G111" s="130">
        <v>5913368.0010000002</v>
      </c>
      <c r="H111" s="130">
        <v>32852044.449999999</v>
      </c>
      <c r="I111" s="130">
        <v>0</v>
      </c>
      <c r="J111" s="130">
        <v>0</v>
      </c>
      <c r="K111" s="78" t="s">
        <v>266</v>
      </c>
      <c r="L111" s="131">
        <v>8.7431700000000001E-2</v>
      </c>
      <c r="M111" s="131">
        <v>0.18</v>
      </c>
      <c r="N111" s="124">
        <v>17446.580999999998</v>
      </c>
      <c r="O111" s="124">
        <v>22972.620599999998</v>
      </c>
      <c r="P111" s="124">
        <v>32191.442999999999</v>
      </c>
    </row>
    <row r="112" spans="2:16" x14ac:dyDescent="0.25">
      <c r="B112" s="78">
        <v>430352</v>
      </c>
      <c r="C112" s="78" t="s">
        <v>94</v>
      </c>
      <c r="D112" s="78" t="s">
        <v>306</v>
      </c>
      <c r="E112" s="78" t="s">
        <v>16</v>
      </c>
      <c r="F112" s="78" t="s">
        <v>307</v>
      </c>
      <c r="G112" s="130">
        <v>1800000</v>
      </c>
      <c r="H112" s="130">
        <v>15000000</v>
      </c>
      <c r="I112" s="130">
        <v>0</v>
      </c>
      <c r="J112" s="130">
        <v>0</v>
      </c>
      <c r="K112" s="78" t="s">
        <v>308</v>
      </c>
      <c r="L112" s="131">
        <v>0.56666665999999999</v>
      </c>
      <c r="M112" s="131">
        <v>0.12</v>
      </c>
      <c r="N112" s="124">
        <v>17416.642800000001</v>
      </c>
      <c r="O112" s="124">
        <v>24271.3308</v>
      </c>
      <c r="P112" s="124">
        <v>30916.817999999999</v>
      </c>
    </row>
    <row r="113" spans="2:16" x14ac:dyDescent="0.25">
      <c r="B113" s="78">
        <v>444583</v>
      </c>
      <c r="C113" s="78" t="s">
        <v>94</v>
      </c>
      <c r="D113" s="78" t="s">
        <v>395</v>
      </c>
      <c r="E113" s="78" t="s">
        <v>16</v>
      </c>
      <c r="F113" s="78" t="s">
        <v>451</v>
      </c>
      <c r="G113" s="130">
        <v>280000</v>
      </c>
      <c r="H113" s="130">
        <v>8000000</v>
      </c>
      <c r="I113" s="130">
        <v>0</v>
      </c>
      <c r="J113" s="130">
        <v>0</v>
      </c>
      <c r="K113" s="78" t="s">
        <v>452</v>
      </c>
      <c r="L113" s="131">
        <v>28.749999970000001</v>
      </c>
      <c r="M113" s="131">
        <v>3.5000000000000003E-2</v>
      </c>
      <c r="N113" s="124">
        <v>17060.067500000001</v>
      </c>
      <c r="O113" s="124">
        <v>20857.94515</v>
      </c>
      <c r="P113" s="124">
        <v>28935.009600000001</v>
      </c>
    </row>
    <row r="114" spans="2:16" x14ac:dyDescent="0.25">
      <c r="B114" s="78">
        <v>467753</v>
      </c>
      <c r="C114" s="78" t="s">
        <v>94</v>
      </c>
      <c r="D114" s="78" t="s">
        <v>850</v>
      </c>
      <c r="E114" s="78" t="s">
        <v>13</v>
      </c>
      <c r="F114" s="78" t="s">
        <v>851</v>
      </c>
      <c r="G114" s="130">
        <v>300000</v>
      </c>
      <c r="H114" s="130">
        <v>10000000</v>
      </c>
      <c r="I114" s="130">
        <v>15000000</v>
      </c>
      <c r="J114" s="130">
        <v>0</v>
      </c>
      <c r="K114" s="78" t="s">
        <v>821</v>
      </c>
      <c r="L114" s="131">
        <v>0.2175</v>
      </c>
      <c r="M114" s="131">
        <v>0.03</v>
      </c>
      <c r="N114" s="124"/>
      <c r="O114" s="124"/>
      <c r="P114" s="124">
        <v>66454.628700000001</v>
      </c>
    </row>
    <row r="115" spans="2:16" x14ac:dyDescent="0.25">
      <c r="B115" s="78">
        <v>468489</v>
      </c>
      <c r="C115" s="78" t="s">
        <v>21</v>
      </c>
      <c r="D115" s="78" t="s">
        <v>594</v>
      </c>
      <c r="E115" s="78" t="s">
        <v>14</v>
      </c>
      <c r="F115" s="78" t="s">
        <v>595</v>
      </c>
      <c r="G115" s="130">
        <v>23494439.125061002</v>
      </c>
      <c r="H115" s="130">
        <v>469888782.501221</v>
      </c>
      <c r="I115" s="130">
        <v>0</v>
      </c>
      <c r="J115" s="130">
        <v>0</v>
      </c>
      <c r="K115" s="78" t="s">
        <v>157</v>
      </c>
      <c r="L115" s="131">
        <v>1.3674999999999999</v>
      </c>
      <c r="M115" s="131">
        <v>0.05</v>
      </c>
      <c r="N115" s="124">
        <v>20690.961652310001</v>
      </c>
      <c r="O115" s="124">
        <v>17879.548345359999</v>
      </c>
      <c r="P115" s="124">
        <v>26911.418663650002</v>
      </c>
    </row>
    <row r="116" spans="2:16" x14ac:dyDescent="0.25">
      <c r="B116" s="78">
        <v>448037</v>
      </c>
      <c r="C116" s="78" t="s">
        <v>12</v>
      </c>
      <c r="D116" s="78" t="s">
        <v>508</v>
      </c>
      <c r="E116" s="78" t="s">
        <v>16</v>
      </c>
      <c r="F116" s="78" t="s">
        <v>537</v>
      </c>
      <c r="G116" s="130">
        <v>6250000</v>
      </c>
      <c r="H116" s="130">
        <v>125000000</v>
      </c>
      <c r="I116" s="130">
        <v>0</v>
      </c>
      <c r="J116" s="130">
        <v>0</v>
      </c>
      <c r="K116" s="78" t="s">
        <v>538</v>
      </c>
      <c r="L116" s="131">
        <v>0.29200186</v>
      </c>
      <c r="M116" s="131">
        <v>0.05</v>
      </c>
      <c r="N116" s="124">
        <v>22068.784</v>
      </c>
      <c r="O116" s="124">
        <v>13099.502</v>
      </c>
      <c r="P116" s="124">
        <v>30175.212500000001</v>
      </c>
    </row>
    <row r="117" spans="2:16" x14ac:dyDescent="0.25">
      <c r="B117" s="78">
        <v>435689</v>
      </c>
      <c r="C117" s="78" t="s">
        <v>94</v>
      </c>
      <c r="D117" s="78" t="s">
        <v>167</v>
      </c>
      <c r="E117" s="78" t="s">
        <v>16</v>
      </c>
      <c r="F117" s="78" t="s">
        <v>404</v>
      </c>
      <c r="G117" s="130">
        <v>5250000</v>
      </c>
      <c r="H117" s="130">
        <v>30000000</v>
      </c>
      <c r="I117" s="130">
        <v>0</v>
      </c>
      <c r="J117" s="130">
        <v>0</v>
      </c>
      <c r="K117" s="78" t="s">
        <v>122</v>
      </c>
      <c r="L117" s="131">
        <v>0.49996528000000001</v>
      </c>
      <c r="M117" s="131">
        <v>0.17499999999999999</v>
      </c>
      <c r="N117" s="124">
        <v>12626.64725</v>
      </c>
      <c r="O117" s="124">
        <v>17391.556</v>
      </c>
      <c r="P117" s="124">
        <v>30310.439249999999</v>
      </c>
    </row>
    <row r="118" spans="2:16" x14ac:dyDescent="0.25">
      <c r="B118" s="78">
        <v>128</v>
      </c>
      <c r="C118" s="78" t="s">
        <v>92</v>
      </c>
      <c r="D118" s="78" t="s">
        <v>220</v>
      </c>
      <c r="E118" s="78" t="s">
        <v>16</v>
      </c>
      <c r="F118" s="78" t="s">
        <v>220</v>
      </c>
      <c r="G118" s="130">
        <v>53671848.623498403</v>
      </c>
      <c r="H118" s="130">
        <v>0</v>
      </c>
      <c r="I118" s="130">
        <v>0</v>
      </c>
      <c r="J118" s="130">
        <v>0</v>
      </c>
      <c r="K118" s="78" t="s">
        <v>44</v>
      </c>
      <c r="L118" s="131">
        <v>0</v>
      </c>
      <c r="M118" s="131">
        <v>1</v>
      </c>
      <c r="N118" s="124">
        <v>17579.482237</v>
      </c>
      <c r="O118" s="124">
        <v>12530.890455999999</v>
      </c>
      <c r="P118" s="124">
        <v>24186.965295999998</v>
      </c>
    </row>
    <row r="119" spans="2:16" x14ac:dyDescent="0.25">
      <c r="B119" s="78">
        <v>434181</v>
      </c>
      <c r="C119" s="78" t="s">
        <v>94</v>
      </c>
      <c r="D119" s="78" t="s">
        <v>382</v>
      </c>
      <c r="E119" s="78" t="s">
        <v>16</v>
      </c>
      <c r="F119" s="78" t="s">
        <v>390</v>
      </c>
      <c r="G119" s="130">
        <v>3300000</v>
      </c>
      <c r="H119" s="130">
        <v>30000000</v>
      </c>
      <c r="I119" s="130">
        <v>0</v>
      </c>
      <c r="J119" s="130">
        <v>0</v>
      </c>
      <c r="K119" s="78" t="s">
        <v>391</v>
      </c>
      <c r="L119" s="131">
        <v>0.17666667</v>
      </c>
      <c r="M119" s="131">
        <v>0.11</v>
      </c>
      <c r="N119" s="124">
        <v>18398.2634</v>
      </c>
      <c r="O119" s="124">
        <v>11453.393599999999</v>
      </c>
      <c r="P119" s="124">
        <v>24258.846699999998</v>
      </c>
    </row>
    <row r="120" spans="2:16" x14ac:dyDescent="0.25">
      <c r="B120" s="78">
        <v>446802</v>
      </c>
      <c r="C120" s="78" t="s">
        <v>94</v>
      </c>
      <c r="D120" s="78" t="s">
        <v>448</v>
      </c>
      <c r="E120" s="78" t="s">
        <v>16</v>
      </c>
      <c r="F120" s="78" t="s">
        <v>449</v>
      </c>
      <c r="G120" s="130">
        <v>1500000</v>
      </c>
      <c r="H120" s="130">
        <v>60000000</v>
      </c>
      <c r="I120" s="130">
        <v>0</v>
      </c>
      <c r="J120" s="130">
        <v>0</v>
      </c>
      <c r="K120" s="78" t="s">
        <v>450</v>
      </c>
      <c r="L120" s="131">
        <v>1.49995777</v>
      </c>
      <c r="M120" s="131">
        <v>2.5000000000000001E-2</v>
      </c>
      <c r="N120" s="124">
        <v>15651.534750000001</v>
      </c>
      <c r="O120" s="124">
        <v>14438.71725</v>
      </c>
      <c r="P120" s="124">
        <v>23129.647499999999</v>
      </c>
    </row>
    <row r="121" spans="2:16" x14ac:dyDescent="0.25">
      <c r="B121" s="78">
        <v>484260</v>
      </c>
      <c r="C121" s="78" t="s">
        <v>94</v>
      </c>
      <c r="D121" s="78" t="s">
        <v>686</v>
      </c>
      <c r="E121" s="78" t="s">
        <v>16</v>
      </c>
      <c r="F121" s="78" t="s">
        <v>740</v>
      </c>
      <c r="G121" s="130">
        <v>4000000</v>
      </c>
      <c r="H121" s="130">
        <v>100000000</v>
      </c>
      <c r="I121" s="130">
        <v>0</v>
      </c>
      <c r="J121" s="130">
        <v>0</v>
      </c>
      <c r="K121" s="78" t="s">
        <v>122</v>
      </c>
      <c r="L121" s="131">
        <v>0.75</v>
      </c>
      <c r="M121" s="131">
        <v>0.04</v>
      </c>
      <c r="N121" s="124">
        <v>15262.3284</v>
      </c>
      <c r="O121" s="124">
        <v>9262.4295999999995</v>
      </c>
      <c r="P121" s="124">
        <v>26359.0216</v>
      </c>
    </row>
    <row r="122" spans="2:16" x14ac:dyDescent="0.25">
      <c r="B122" s="78">
        <v>463056</v>
      </c>
      <c r="C122" s="78" t="s">
        <v>12</v>
      </c>
      <c r="D122" s="78" t="s">
        <v>612</v>
      </c>
      <c r="E122" s="78" t="s">
        <v>14</v>
      </c>
      <c r="F122" s="78" t="s">
        <v>613</v>
      </c>
      <c r="G122" s="130">
        <v>37355599.248012401</v>
      </c>
      <c r="H122" s="130">
        <v>1105195244.02404</v>
      </c>
      <c r="I122" s="130">
        <v>0</v>
      </c>
      <c r="J122" s="130">
        <v>0</v>
      </c>
      <c r="K122" s="78" t="s">
        <v>154</v>
      </c>
      <c r="L122" s="131">
        <v>0.62324833999999996</v>
      </c>
      <c r="M122" s="131">
        <v>3.3799999999999997E-2</v>
      </c>
      <c r="N122" s="124">
        <v>10495.15240653</v>
      </c>
      <c r="O122" s="124">
        <v>20629.932521030001</v>
      </c>
      <c r="P122" s="124">
        <v>19667.10285191</v>
      </c>
    </row>
    <row r="123" spans="2:16" x14ac:dyDescent="0.25">
      <c r="B123" s="78">
        <v>472284</v>
      </c>
      <c r="C123" s="78" t="s">
        <v>21</v>
      </c>
      <c r="D123" s="78" t="s">
        <v>627</v>
      </c>
      <c r="E123" s="78" t="s">
        <v>14</v>
      </c>
      <c r="F123" s="78" t="s">
        <v>628</v>
      </c>
      <c r="G123" s="130">
        <v>20000000</v>
      </c>
      <c r="H123" s="130">
        <v>200000000</v>
      </c>
      <c r="I123" s="130">
        <v>0</v>
      </c>
      <c r="J123" s="130">
        <v>0</v>
      </c>
      <c r="K123" s="78" t="s">
        <v>142</v>
      </c>
      <c r="L123" s="131">
        <v>1.1475</v>
      </c>
      <c r="M123" s="131">
        <v>0.1</v>
      </c>
      <c r="N123" s="124">
        <v>15195.278</v>
      </c>
      <c r="O123" s="124">
        <v>12550.439</v>
      </c>
      <c r="P123" s="124">
        <v>22022.592000000001</v>
      </c>
    </row>
    <row r="124" spans="2:16" x14ac:dyDescent="0.25">
      <c r="B124" s="78">
        <v>437538</v>
      </c>
      <c r="C124" s="78" t="s">
        <v>45</v>
      </c>
      <c r="D124" s="78" t="s">
        <v>462</v>
      </c>
      <c r="E124" s="78" t="s">
        <v>14</v>
      </c>
      <c r="F124" s="78" t="s">
        <v>463</v>
      </c>
      <c r="G124" s="130">
        <v>1725000</v>
      </c>
      <c r="H124" s="130">
        <v>15000000</v>
      </c>
      <c r="I124" s="130">
        <v>0</v>
      </c>
      <c r="J124" s="130">
        <v>0</v>
      </c>
      <c r="K124" s="78" t="s">
        <v>464</v>
      </c>
      <c r="L124" s="131">
        <v>1.77467347</v>
      </c>
      <c r="M124" s="131">
        <v>0.115</v>
      </c>
      <c r="N124" s="124">
        <v>13229.623</v>
      </c>
      <c r="O124" s="124">
        <v>16354.9182</v>
      </c>
      <c r="P124" s="124">
        <v>19961.19745</v>
      </c>
    </row>
    <row r="125" spans="2:16" x14ac:dyDescent="0.25">
      <c r="B125" s="78">
        <v>445338</v>
      </c>
      <c r="C125" s="78" t="s">
        <v>94</v>
      </c>
      <c r="D125" s="78" t="s">
        <v>416</v>
      </c>
      <c r="E125" s="78" t="s">
        <v>16</v>
      </c>
      <c r="F125" s="78" t="s">
        <v>480</v>
      </c>
      <c r="G125" s="130">
        <v>2000000</v>
      </c>
      <c r="H125" s="130">
        <v>80000000</v>
      </c>
      <c r="I125" s="130">
        <v>0</v>
      </c>
      <c r="J125" s="130">
        <v>0</v>
      </c>
      <c r="K125" s="78" t="s">
        <v>481</v>
      </c>
      <c r="L125" s="131">
        <v>3.0000000099999999</v>
      </c>
      <c r="M125" s="131">
        <v>2.5000000000000001E-2</v>
      </c>
      <c r="N125" s="124">
        <v>12457.241</v>
      </c>
      <c r="O125" s="124">
        <v>14689.89975</v>
      </c>
      <c r="P125" s="124">
        <v>22004.557000000001</v>
      </c>
    </row>
    <row r="126" spans="2:16" x14ac:dyDescent="0.25">
      <c r="B126" s="78">
        <v>427752</v>
      </c>
      <c r="C126" s="78" t="s">
        <v>94</v>
      </c>
      <c r="D126" s="78" t="s">
        <v>244</v>
      </c>
      <c r="E126" s="78" t="s">
        <v>14</v>
      </c>
      <c r="F126" s="78" t="s">
        <v>245</v>
      </c>
      <c r="G126" s="130">
        <v>1000000</v>
      </c>
      <c r="H126" s="130">
        <v>10000000</v>
      </c>
      <c r="I126" s="130">
        <v>0</v>
      </c>
      <c r="J126" s="130">
        <v>0</v>
      </c>
      <c r="K126" s="78" t="s">
        <v>176</v>
      </c>
      <c r="L126" s="131">
        <v>1.01</v>
      </c>
      <c r="M126" s="131">
        <v>0.1</v>
      </c>
      <c r="N126" s="124">
        <v>7419.2520000000004</v>
      </c>
      <c r="O126" s="124">
        <v>3893.2820000000002</v>
      </c>
      <c r="P126" s="124">
        <v>36361.294000000002</v>
      </c>
    </row>
    <row r="127" spans="2:16" x14ac:dyDescent="0.25">
      <c r="B127" s="78">
        <v>484261</v>
      </c>
      <c r="C127" s="78" t="s">
        <v>94</v>
      </c>
      <c r="D127" s="78" t="s">
        <v>686</v>
      </c>
      <c r="E127" s="78" t="s">
        <v>16</v>
      </c>
      <c r="F127" s="78" t="s">
        <v>687</v>
      </c>
      <c r="G127" s="130">
        <v>8000000</v>
      </c>
      <c r="H127" s="130">
        <v>200000000</v>
      </c>
      <c r="I127" s="130">
        <v>0</v>
      </c>
      <c r="J127" s="130">
        <v>0</v>
      </c>
      <c r="K127" s="78" t="s">
        <v>122</v>
      </c>
      <c r="L127" s="131">
        <v>0.18</v>
      </c>
      <c r="M127" s="131">
        <v>0.04</v>
      </c>
      <c r="N127" s="124">
        <v>15808.7724</v>
      </c>
      <c r="O127" s="124">
        <v>10491.808800000001</v>
      </c>
      <c r="P127" s="124">
        <v>20196.985199999999</v>
      </c>
    </row>
    <row r="128" spans="2:16" x14ac:dyDescent="0.25">
      <c r="B128" s="78">
        <v>445969</v>
      </c>
      <c r="C128" s="78" t="s">
        <v>94</v>
      </c>
      <c r="D128" s="78" t="s">
        <v>470</v>
      </c>
      <c r="E128" s="78" t="s">
        <v>16</v>
      </c>
      <c r="F128" s="78" t="s">
        <v>471</v>
      </c>
      <c r="G128" s="130">
        <v>1000000</v>
      </c>
      <c r="H128" s="130">
        <v>20000000</v>
      </c>
      <c r="I128" s="130">
        <v>0</v>
      </c>
      <c r="J128" s="130">
        <v>0</v>
      </c>
      <c r="K128" s="78" t="s">
        <v>325</v>
      </c>
      <c r="L128" s="131">
        <v>0.28000842999999997</v>
      </c>
      <c r="M128" s="131">
        <v>0.05</v>
      </c>
      <c r="N128" s="124">
        <v>12576.264499999999</v>
      </c>
      <c r="O128" s="124">
        <v>14122.126</v>
      </c>
      <c r="P128" s="124">
        <v>19440.7935</v>
      </c>
    </row>
    <row r="129" spans="2:16" x14ac:dyDescent="0.25">
      <c r="B129" s="78">
        <v>141</v>
      </c>
      <c r="C129" s="78" t="s">
        <v>45</v>
      </c>
      <c r="D129" s="78" t="s">
        <v>46</v>
      </c>
      <c r="E129" s="78" t="s">
        <v>16</v>
      </c>
      <c r="F129" s="78" t="s">
        <v>46</v>
      </c>
      <c r="G129" s="130">
        <v>58990116</v>
      </c>
      <c r="H129" s="130">
        <v>0</v>
      </c>
      <c r="I129" s="130">
        <v>0</v>
      </c>
      <c r="J129" s="130">
        <v>0</v>
      </c>
      <c r="K129" s="78" t="s">
        <v>44</v>
      </c>
      <c r="L129" s="131">
        <v>0</v>
      </c>
      <c r="M129" s="131">
        <v>1</v>
      </c>
      <c r="N129" s="124">
        <v>20642.55085</v>
      </c>
      <c r="O129" s="124">
        <v>7582.2352499999997</v>
      </c>
      <c r="P129" s="124">
        <v>17861.751349999999</v>
      </c>
    </row>
    <row r="130" spans="2:16" x14ac:dyDescent="0.25">
      <c r="B130" s="78">
        <v>448888</v>
      </c>
      <c r="C130" s="78" t="s">
        <v>45</v>
      </c>
      <c r="D130" s="78" t="s">
        <v>551</v>
      </c>
      <c r="E130" s="78" t="s">
        <v>14</v>
      </c>
      <c r="F130" s="78" t="s">
        <v>552</v>
      </c>
      <c r="G130" s="130">
        <v>1500000</v>
      </c>
      <c r="H130" s="130">
        <v>10000000</v>
      </c>
      <c r="I130" s="130">
        <v>0</v>
      </c>
      <c r="J130" s="130">
        <v>0</v>
      </c>
      <c r="K130" s="78" t="s">
        <v>176</v>
      </c>
      <c r="L130" s="131">
        <v>3.1739999999999999</v>
      </c>
      <c r="M130" s="131">
        <v>0.15</v>
      </c>
      <c r="N130" s="124">
        <v>13691.102999999999</v>
      </c>
      <c r="O130" s="124">
        <v>13350.263999999999</v>
      </c>
      <c r="P130" s="124">
        <v>18528.21</v>
      </c>
    </row>
    <row r="131" spans="2:16" x14ac:dyDescent="0.25">
      <c r="B131" s="78">
        <v>484304</v>
      </c>
      <c r="C131" s="78" t="s">
        <v>95</v>
      </c>
      <c r="D131" s="78" t="s">
        <v>695</v>
      </c>
      <c r="E131" s="78" t="s">
        <v>14</v>
      </c>
      <c r="F131" s="78" t="s">
        <v>696</v>
      </c>
      <c r="G131" s="130">
        <v>9985136.6281509399</v>
      </c>
      <c r="H131" s="130">
        <v>58736097.812652603</v>
      </c>
      <c r="I131" s="130">
        <v>0</v>
      </c>
      <c r="J131" s="130">
        <v>0</v>
      </c>
      <c r="K131" s="78" t="s">
        <v>166</v>
      </c>
      <c r="L131" s="131">
        <v>1.36933715</v>
      </c>
      <c r="M131" s="131">
        <v>0.17</v>
      </c>
      <c r="N131" s="124"/>
      <c r="O131" s="124">
        <v>18565.404473250001</v>
      </c>
      <c r="P131" s="124">
        <v>26668.41474</v>
      </c>
    </row>
    <row r="132" spans="2:16" x14ac:dyDescent="0.25">
      <c r="B132" s="78">
        <v>472467</v>
      </c>
      <c r="C132" s="78" t="s">
        <v>21</v>
      </c>
      <c r="D132" s="78" t="s">
        <v>633</v>
      </c>
      <c r="E132" s="78" t="s">
        <v>14</v>
      </c>
      <c r="F132" s="78" t="s">
        <v>634</v>
      </c>
      <c r="G132" s="130">
        <v>825000</v>
      </c>
      <c r="H132" s="130">
        <v>10000000</v>
      </c>
      <c r="I132" s="130">
        <v>0</v>
      </c>
      <c r="J132" s="130">
        <v>0</v>
      </c>
      <c r="K132" s="78" t="s">
        <v>176</v>
      </c>
      <c r="L132" s="131">
        <v>5</v>
      </c>
      <c r="M132" s="131">
        <v>8.2500000000000004E-2</v>
      </c>
      <c r="N132" s="124">
        <v>12076.423425000001</v>
      </c>
      <c r="O132" s="124">
        <v>13400.307525</v>
      </c>
      <c r="P132" s="124">
        <v>18980.652075000002</v>
      </c>
    </row>
    <row r="133" spans="2:16" x14ac:dyDescent="0.25">
      <c r="B133" s="78">
        <v>448492</v>
      </c>
      <c r="C133" s="78" t="s">
        <v>94</v>
      </c>
      <c r="D133" s="78" t="s">
        <v>533</v>
      </c>
      <c r="E133" s="78" t="s">
        <v>16</v>
      </c>
      <c r="F133" s="78" t="s">
        <v>534</v>
      </c>
      <c r="G133" s="130">
        <v>7500000</v>
      </c>
      <c r="H133" s="130">
        <v>300000000</v>
      </c>
      <c r="I133" s="130">
        <v>0</v>
      </c>
      <c r="J133" s="130">
        <v>0</v>
      </c>
      <c r="K133" s="78" t="s">
        <v>535</v>
      </c>
      <c r="L133" s="131">
        <v>0.315</v>
      </c>
      <c r="M133" s="131">
        <v>2.5000000000000001E-2</v>
      </c>
      <c r="N133" s="124">
        <v>12129.25625</v>
      </c>
      <c r="O133" s="124">
        <v>13906.023999999999</v>
      </c>
      <c r="P133" s="124">
        <v>18229.169249999999</v>
      </c>
    </row>
    <row r="134" spans="2:16" x14ac:dyDescent="0.25">
      <c r="B134" s="78">
        <v>435399</v>
      </c>
      <c r="C134" s="78" t="s">
        <v>94</v>
      </c>
      <c r="D134" s="78" t="s">
        <v>411</v>
      </c>
      <c r="E134" s="78" t="s">
        <v>16</v>
      </c>
      <c r="F134" s="78" t="s">
        <v>412</v>
      </c>
      <c r="G134" s="130">
        <v>1125000</v>
      </c>
      <c r="H134" s="130">
        <v>7500000</v>
      </c>
      <c r="I134" s="130">
        <v>0</v>
      </c>
      <c r="J134" s="130">
        <v>0</v>
      </c>
      <c r="K134" s="78" t="s">
        <v>413</v>
      </c>
      <c r="L134" s="131">
        <v>0.42335519999999999</v>
      </c>
      <c r="M134" s="131">
        <v>0.15</v>
      </c>
      <c r="N134" s="124">
        <v>9522.9375</v>
      </c>
      <c r="O134" s="124">
        <v>17731.534500000002</v>
      </c>
      <c r="P134" s="124">
        <v>16289.0445</v>
      </c>
    </row>
    <row r="135" spans="2:16" x14ac:dyDescent="0.25">
      <c r="B135" s="78">
        <v>433117</v>
      </c>
      <c r="C135" s="78" t="s">
        <v>45</v>
      </c>
      <c r="D135" s="78" t="s">
        <v>304</v>
      </c>
      <c r="E135" s="78" t="s">
        <v>14</v>
      </c>
      <c r="F135" s="78" t="s">
        <v>305</v>
      </c>
      <c r="G135" s="130">
        <v>42089350.185000002</v>
      </c>
      <c r="H135" s="130">
        <v>168357400.74000001</v>
      </c>
      <c r="I135" s="130">
        <v>0</v>
      </c>
      <c r="J135" s="130">
        <v>0</v>
      </c>
      <c r="K135" s="78" t="s">
        <v>14</v>
      </c>
      <c r="L135" s="131">
        <v>0.18977484999999999</v>
      </c>
      <c r="M135" s="131">
        <v>0.25</v>
      </c>
      <c r="N135" s="124">
        <v>13306.7775</v>
      </c>
      <c r="O135" s="124">
        <v>13119.325000000001</v>
      </c>
      <c r="P135" s="124">
        <v>16461.2075</v>
      </c>
    </row>
    <row r="136" spans="2:16" x14ac:dyDescent="0.25">
      <c r="B136" s="78">
        <v>445339</v>
      </c>
      <c r="C136" s="78" t="s">
        <v>94</v>
      </c>
      <c r="D136" s="78" t="s">
        <v>416</v>
      </c>
      <c r="E136" s="78" t="s">
        <v>16</v>
      </c>
      <c r="F136" s="78" t="s">
        <v>417</v>
      </c>
      <c r="G136" s="130">
        <v>6875000</v>
      </c>
      <c r="H136" s="130">
        <v>275000000</v>
      </c>
      <c r="I136" s="130">
        <v>0</v>
      </c>
      <c r="J136" s="130">
        <v>0</v>
      </c>
      <c r="K136" s="78" t="s">
        <v>418</v>
      </c>
      <c r="L136" s="131">
        <v>0.42727272999999999</v>
      </c>
      <c r="M136" s="131">
        <v>2.5000000000000001E-2</v>
      </c>
      <c r="N136" s="124">
        <v>9992.6657500000001</v>
      </c>
      <c r="O136" s="124">
        <v>9299.3169999999991</v>
      </c>
      <c r="P136" s="124">
        <v>18841.204750000001</v>
      </c>
    </row>
    <row r="137" spans="2:16" x14ac:dyDescent="0.25">
      <c r="B137" s="78">
        <v>439199</v>
      </c>
      <c r="C137" s="78" t="s">
        <v>94</v>
      </c>
      <c r="D137" s="78" t="s">
        <v>438</v>
      </c>
      <c r="E137" s="78" t="s">
        <v>16</v>
      </c>
      <c r="F137" s="78" t="s">
        <v>439</v>
      </c>
      <c r="G137" s="130">
        <v>500000</v>
      </c>
      <c r="H137" s="130">
        <v>10000000</v>
      </c>
      <c r="I137" s="130">
        <v>0</v>
      </c>
      <c r="J137" s="130">
        <v>0</v>
      </c>
      <c r="K137" s="78" t="s">
        <v>315</v>
      </c>
      <c r="L137" s="131">
        <v>0.40009453</v>
      </c>
      <c r="M137" s="131">
        <v>0.05</v>
      </c>
      <c r="N137" s="124">
        <v>7295.3644999999997</v>
      </c>
      <c r="O137" s="124">
        <v>13767.413500000001</v>
      </c>
      <c r="P137" s="124">
        <v>16987.651000000002</v>
      </c>
    </row>
    <row r="138" spans="2:16" x14ac:dyDescent="0.25">
      <c r="B138" s="78">
        <v>447395</v>
      </c>
      <c r="C138" s="78" t="s">
        <v>94</v>
      </c>
      <c r="D138" s="78" t="s">
        <v>482</v>
      </c>
      <c r="E138" s="78" t="s">
        <v>16</v>
      </c>
      <c r="F138" s="78" t="s">
        <v>483</v>
      </c>
      <c r="G138" s="130">
        <v>1800000</v>
      </c>
      <c r="H138" s="130">
        <v>10000000</v>
      </c>
      <c r="I138" s="130">
        <v>0</v>
      </c>
      <c r="J138" s="130">
        <v>0</v>
      </c>
      <c r="K138" s="78" t="s">
        <v>257</v>
      </c>
      <c r="L138" s="131">
        <v>0.54</v>
      </c>
      <c r="M138" s="131">
        <v>0.18</v>
      </c>
      <c r="N138" s="124">
        <v>8740.2654000000002</v>
      </c>
      <c r="O138" s="124">
        <v>11448.685799999999</v>
      </c>
      <c r="P138" s="124">
        <v>16865.890200000002</v>
      </c>
    </row>
    <row r="139" spans="2:16" x14ac:dyDescent="0.25">
      <c r="B139" s="78">
        <v>448028</v>
      </c>
      <c r="C139" s="78" t="s">
        <v>94</v>
      </c>
      <c r="D139" s="78" t="s">
        <v>395</v>
      </c>
      <c r="E139" s="78" t="s">
        <v>16</v>
      </c>
      <c r="F139" s="78" t="s">
        <v>525</v>
      </c>
      <c r="G139" s="130">
        <v>1410737.5386000001</v>
      </c>
      <c r="H139" s="130">
        <v>43407308.880000003</v>
      </c>
      <c r="I139" s="130">
        <v>0</v>
      </c>
      <c r="J139" s="130">
        <v>0</v>
      </c>
      <c r="K139" s="78" t="s">
        <v>526</v>
      </c>
      <c r="L139" s="131">
        <v>0.57999999999999996</v>
      </c>
      <c r="M139" s="131">
        <v>3.2500000000000001E-2</v>
      </c>
      <c r="N139" s="124">
        <v>9222.3556750000007</v>
      </c>
      <c r="O139" s="124">
        <v>11318.6021</v>
      </c>
      <c r="P139" s="124">
        <v>16232.500375</v>
      </c>
    </row>
    <row r="140" spans="2:16" x14ac:dyDescent="0.25">
      <c r="B140" s="78">
        <v>435695</v>
      </c>
      <c r="C140" s="78" t="s">
        <v>94</v>
      </c>
      <c r="D140" s="78" t="s">
        <v>318</v>
      </c>
      <c r="E140" s="78" t="s">
        <v>16</v>
      </c>
      <c r="F140" s="78" t="s">
        <v>319</v>
      </c>
      <c r="G140" s="130">
        <v>6000000</v>
      </c>
      <c r="H140" s="130">
        <v>120000000</v>
      </c>
      <c r="I140" s="130">
        <v>0</v>
      </c>
      <c r="J140" s="130">
        <v>0</v>
      </c>
      <c r="K140" s="78" t="s">
        <v>320</v>
      </c>
      <c r="L140" s="131">
        <v>2.2000000000000002</v>
      </c>
      <c r="M140" s="131">
        <v>0.05</v>
      </c>
      <c r="N140" s="124">
        <v>9486.0840000000007</v>
      </c>
      <c r="O140" s="124">
        <v>11574.879000000001</v>
      </c>
      <c r="P140" s="124">
        <v>13842.709000000001</v>
      </c>
    </row>
    <row r="141" spans="2:16" x14ac:dyDescent="0.25">
      <c r="B141" s="78">
        <v>139</v>
      </c>
      <c r="C141" s="78" t="s">
        <v>45</v>
      </c>
      <c r="D141" s="78" t="s">
        <v>46</v>
      </c>
      <c r="E141" s="78" t="s">
        <v>16</v>
      </c>
      <c r="F141" s="78" t="s">
        <v>46</v>
      </c>
      <c r="G141" s="130">
        <v>66506138</v>
      </c>
      <c r="H141" s="130">
        <v>0</v>
      </c>
      <c r="I141" s="130">
        <v>0</v>
      </c>
      <c r="J141" s="130">
        <v>0</v>
      </c>
      <c r="K141" s="78" t="s">
        <v>44</v>
      </c>
      <c r="L141" s="131">
        <v>0</v>
      </c>
      <c r="M141" s="131">
        <v>1</v>
      </c>
      <c r="N141" s="124">
        <v>11515.501464000001</v>
      </c>
      <c r="O141" s="124">
        <v>9401.4745390000007</v>
      </c>
      <c r="P141" s="124">
        <v>13040.544802</v>
      </c>
    </row>
    <row r="142" spans="2:16" x14ac:dyDescent="0.25">
      <c r="B142" s="78">
        <v>445990</v>
      </c>
      <c r="C142" s="78" t="s">
        <v>94</v>
      </c>
      <c r="D142" s="78" t="s">
        <v>440</v>
      </c>
      <c r="E142" s="78" t="s">
        <v>16</v>
      </c>
      <c r="F142" s="78" t="s">
        <v>502</v>
      </c>
      <c r="G142" s="130">
        <v>20000000</v>
      </c>
      <c r="H142" s="130">
        <v>200000000</v>
      </c>
      <c r="I142" s="130">
        <v>0</v>
      </c>
      <c r="J142" s="130">
        <v>0</v>
      </c>
      <c r="K142" s="78" t="s">
        <v>365</v>
      </c>
      <c r="L142" s="131">
        <v>0.37</v>
      </c>
      <c r="M142" s="131">
        <v>0.1</v>
      </c>
      <c r="N142" s="124">
        <v>11359.807000000001</v>
      </c>
      <c r="O142" s="124">
        <v>8763.6290000000008</v>
      </c>
      <c r="P142" s="124">
        <v>11775.433000000001</v>
      </c>
    </row>
    <row r="143" spans="2:16" x14ac:dyDescent="0.25">
      <c r="B143" s="78">
        <v>443387</v>
      </c>
      <c r="C143" s="78" t="s">
        <v>12</v>
      </c>
      <c r="D143" s="78" t="s">
        <v>177</v>
      </c>
      <c r="E143" s="78" t="s">
        <v>14</v>
      </c>
      <c r="F143" s="78" t="s">
        <v>178</v>
      </c>
      <c r="G143" s="130">
        <v>3375000</v>
      </c>
      <c r="H143" s="130">
        <v>33750000</v>
      </c>
      <c r="I143" s="130">
        <v>0</v>
      </c>
      <c r="J143" s="130">
        <v>0</v>
      </c>
      <c r="K143" s="78" t="s">
        <v>179</v>
      </c>
      <c r="L143" s="131">
        <v>1</v>
      </c>
      <c r="M143" s="131">
        <v>0.1</v>
      </c>
      <c r="N143" s="124">
        <v>8357.6509999999998</v>
      </c>
      <c r="O143" s="124">
        <v>10699.759</v>
      </c>
      <c r="P143" s="124">
        <v>12556.343000000001</v>
      </c>
    </row>
    <row r="144" spans="2:16" x14ac:dyDescent="0.25">
      <c r="B144" s="78">
        <v>348580</v>
      </c>
      <c r="C144" s="78" t="s">
        <v>130</v>
      </c>
      <c r="D144" s="78" t="s">
        <v>131</v>
      </c>
      <c r="E144" s="78" t="s">
        <v>14</v>
      </c>
      <c r="F144" s="78" t="s">
        <v>132</v>
      </c>
      <c r="G144" s="130">
        <v>94035376.159999996</v>
      </c>
      <c r="H144" s="130">
        <v>94035376.159999996</v>
      </c>
      <c r="I144" s="130">
        <v>0</v>
      </c>
      <c r="J144" s="130">
        <v>0</v>
      </c>
      <c r="K144" s="78" t="s">
        <v>14</v>
      </c>
      <c r="L144" s="131">
        <v>2.1268599999999999E-3</v>
      </c>
      <c r="M144" s="131">
        <v>1</v>
      </c>
      <c r="N144" s="124">
        <v>8900.2199999999993</v>
      </c>
      <c r="O144" s="124">
        <v>7516.58</v>
      </c>
      <c r="P144" s="124">
        <v>15069.68</v>
      </c>
    </row>
    <row r="145" spans="2:16" x14ac:dyDescent="0.25">
      <c r="B145" s="78">
        <v>462541</v>
      </c>
      <c r="C145" s="78" t="s">
        <v>94</v>
      </c>
      <c r="D145" s="78" t="s">
        <v>586</v>
      </c>
      <c r="E145" s="78" t="s">
        <v>14</v>
      </c>
      <c r="F145" s="78" t="s">
        <v>587</v>
      </c>
      <c r="G145" s="130">
        <v>12500000</v>
      </c>
      <c r="H145" s="130">
        <v>25000000</v>
      </c>
      <c r="I145" s="130">
        <v>0</v>
      </c>
      <c r="J145" s="130">
        <v>0</v>
      </c>
      <c r="K145" s="78" t="s">
        <v>588</v>
      </c>
      <c r="L145" s="131">
        <v>0.3</v>
      </c>
      <c r="M145" s="131">
        <v>0.5</v>
      </c>
      <c r="N145" s="124">
        <v>6007.91</v>
      </c>
      <c r="O145" s="124">
        <v>11298.63</v>
      </c>
      <c r="P145" s="124">
        <v>12950.03</v>
      </c>
    </row>
    <row r="146" spans="2:16" x14ac:dyDescent="0.25">
      <c r="B146" s="78">
        <v>446803</v>
      </c>
      <c r="C146" s="78" t="s">
        <v>94</v>
      </c>
      <c r="D146" s="78" t="s">
        <v>448</v>
      </c>
      <c r="E146" s="78" t="s">
        <v>16</v>
      </c>
      <c r="F146" s="78" t="s">
        <v>513</v>
      </c>
      <c r="G146" s="130">
        <v>1875000</v>
      </c>
      <c r="H146" s="130">
        <v>75000000</v>
      </c>
      <c r="I146" s="130">
        <v>0</v>
      </c>
      <c r="J146" s="130">
        <v>0</v>
      </c>
      <c r="K146" s="78" t="s">
        <v>514</v>
      </c>
      <c r="L146" s="131">
        <v>0.22000162000000001</v>
      </c>
      <c r="M146" s="131">
        <v>2.5000000000000001E-2</v>
      </c>
      <c r="N146" s="124">
        <v>9270.4055000000008</v>
      </c>
      <c r="O146" s="124">
        <v>6980.2102500000001</v>
      </c>
      <c r="P146" s="124">
        <v>13508.696749999999</v>
      </c>
    </row>
    <row r="147" spans="2:16" x14ac:dyDescent="0.25">
      <c r="B147" s="78">
        <v>484258</v>
      </c>
      <c r="C147" s="78" t="s">
        <v>94</v>
      </c>
      <c r="D147" s="78" t="s">
        <v>686</v>
      </c>
      <c r="E147" s="78" t="s">
        <v>16</v>
      </c>
      <c r="F147" s="78" t="s">
        <v>728</v>
      </c>
      <c r="G147" s="130">
        <v>3375000</v>
      </c>
      <c r="H147" s="130">
        <v>45000000</v>
      </c>
      <c r="I147" s="130">
        <v>0</v>
      </c>
      <c r="J147" s="130">
        <v>0</v>
      </c>
      <c r="K147" s="78" t="s">
        <v>122</v>
      </c>
      <c r="L147" s="131">
        <v>2.4</v>
      </c>
      <c r="M147" s="131">
        <v>7.4999999999999997E-2</v>
      </c>
      <c r="N147" s="124">
        <v>4597.2667499999998</v>
      </c>
      <c r="O147" s="124">
        <v>10384.057500000001</v>
      </c>
      <c r="P147" s="124">
        <v>12148.39725</v>
      </c>
    </row>
    <row r="148" spans="2:16" x14ac:dyDescent="0.25">
      <c r="B148" s="78">
        <v>448038</v>
      </c>
      <c r="C148" s="78" t="s">
        <v>12</v>
      </c>
      <c r="D148" s="78" t="s">
        <v>508</v>
      </c>
      <c r="E148" s="78" t="s">
        <v>16</v>
      </c>
      <c r="F148" s="78" t="s">
        <v>509</v>
      </c>
      <c r="G148" s="130">
        <v>7500000</v>
      </c>
      <c r="H148" s="130">
        <v>150000000</v>
      </c>
      <c r="I148" s="130">
        <v>0</v>
      </c>
      <c r="J148" s="130">
        <v>0</v>
      </c>
      <c r="K148" s="78" t="s">
        <v>510</v>
      </c>
      <c r="L148" s="131">
        <v>0.09</v>
      </c>
      <c r="M148" s="131">
        <v>0.05</v>
      </c>
      <c r="N148" s="124">
        <v>9251.3349999999991</v>
      </c>
      <c r="O148" s="124">
        <v>5960.1094999999996</v>
      </c>
      <c r="P148" s="124">
        <v>11153.263499999999</v>
      </c>
    </row>
    <row r="149" spans="2:16" x14ac:dyDescent="0.25">
      <c r="B149" s="78">
        <v>427032</v>
      </c>
      <c r="C149" s="78" t="s">
        <v>45</v>
      </c>
      <c r="D149" s="78" t="s">
        <v>246</v>
      </c>
      <c r="E149" s="78" t="s">
        <v>16</v>
      </c>
      <c r="F149" s="78" t="s">
        <v>247</v>
      </c>
      <c r="G149" s="130">
        <v>1000000</v>
      </c>
      <c r="H149" s="130">
        <v>20000000</v>
      </c>
      <c r="I149" s="130">
        <v>0</v>
      </c>
      <c r="J149" s="130">
        <v>0</v>
      </c>
      <c r="K149" s="78" t="s">
        <v>248</v>
      </c>
      <c r="L149" s="131">
        <v>0.64666889999999999</v>
      </c>
      <c r="M149" s="131">
        <v>0.05</v>
      </c>
      <c r="N149" s="124">
        <v>7167.77</v>
      </c>
      <c r="O149" s="124">
        <v>3929.826</v>
      </c>
      <c r="P149" s="124">
        <v>14807.611500000001</v>
      </c>
    </row>
    <row r="150" spans="2:16" x14ac:dyDescent="0.25">
      <c r="B150" s="78">
        <v>479468</v>
      </c>
      <c r="C150" s="78" t="s">
        <v>12</v>
      </c>
      <c r="D150" s="78" t="s">
        <v>717</v>
      </c>
      <c r="E150" s="78" t="s">
        <v>14</v>
      </c>
      <c r="F150" s="78" t="s">
        <v>718</v>
      </c>
      <c r="G150" s="130">
        <v>8500000</v>
      </c>
      <c r="H150" s="130">
        <v>85000000</v>
      </c>
      <c r="I150" s="130">
        <v>0</v>
      </c>
      <c r="J150" s="130">
        <v>0</v>
      </c>
      <c r="K150" s="78" t="s">
        <v>719</v>
      </c>
      <c r="L150" s="131">
        <v>1.98823529</v>
      </c>
      <c r="M150" s="131">
        <v>0.1</v>
      </c>
      <c r="N150" s="124">
        <v>6193.509</v>
      </c>
      <c r="O150" s="124">
        <v>9217.31</v>
      </c>
      <c r="P150" s="124">
        <v>10264.387000000001</v>
      </c>
    </row>
    <row r="151" spans="2:16" x14ac:dyDescent="0.25">
      <c r="B151" s="78">
        <v>462731</v>
      </c>
      <c r="C151" s="78" t="s">
        <v>94</v>
      </c>
      <c r="D151" s="78" t="s">
        <v>598</v>
      </c>
      <c r="E151" s="78" t="s">
        <v>14</v>
      </c>
      <c r="F151" s="78" t="s">
        <v>599</v>
      </c>
      <c r="G151" s="130">
        <v>375000</v>
      </c>
      <c r="H151" s="130">
        <v>5000000</v>
      </c>
      <c r="I151" s="130">
        <v>0</v>
      </c>
      <c r="J151" s="130">
        <v>0</v>
      </c>
      <c r="K151" s="78" t="s">
        <v>122</v>
      </c>
      <c r="L151" s="131">
        <v>5.6174999999999997</v>
      </c>
      <c r="M151" s="131">
        <v>7.4999999999999997E-2</v>
      </c>
      <c r="N151" s="124">
        <v>7990.7887499999997</v>
      </c>
      <c r="O151" s="124">
        <v>7029.8684999999996</v>
      </c>
      <c r="P151" s="124">
        <v>9819.7724999999991</v>
      </c>
    </row>
    <row r="152" spans="2:16" x14ac:dyDescent="0.25">
      <c r="B152" s="78">
        <v>432222</v>
      </c>
      <c r="C152" s="78" t="s">
        <v>45</v>
      </c>
      <c r="D152" s="78" t="s">
        <v>363</v>
      </c>
      <c r="E152" s="78" t="s">
        <v>16</v>
      </c>
      <c r="F152" s="78" t="s">
        <v>364</v>
      </c>
      <c r="G152" s="130">
        <v>20000000</v>
      </c>
      <c r="H152" s="130">
        <v>200000000</v>
      </c>
      <c r="I152" s="130">
        <v>0</v>
      </c>
      <c r="J152" s="130">
        <v>0</v>
      </c>
      <c r="K152" s="78" t="s">
        <v>365</v>
      </c>
      <c r="L152" s="131">
        <v>4.6383510000000003E-2</v>
      </c>
      <c r="M152" s="131">
        <v>0.1</v>
      </c>
      <c r="N152" s="124">
        <v>7087.9709999999995</v>
      </c>
      <c r="O152" s="124">
        <v>7993.6880000000001</v>
      </c>
      <c r="P152" s="124">
        <v>9124.8379999999997</v>
      </c>
    </row>
    <row r="153" spans="2:16" x14ac:dyDescent="0.25">
      <c r="B153" s="78">
        <v>484305</v>
      </c>
      <c r="C153" s="78" t="s">
        <v>95</v>
      </c>
      <c r="D153" s="78" t="s">
        <v>695</v>
      </c>
      <c r="E153" s="78" t="s">
        <v>14</v>
      </c>
      <c r="F153" s="78" t="s">
        <v>746</v>
      </c>
      <c r="G153" s="130">
        <v>9985136.6281509399</v>
      </c>
      <c r="H153" s="130">
        <v>58736097.812652603</v>
      </c>
      <c r="I153" s="130">
        <v>0</v>
      </c>
      <c r="J153" s="130">
        <v>0</v>
      </c>
      <c r="K153" s="78" t="s">
        <v>166</v>
      </c>
      <c r="L153" s="131">
        <v>0.76217440999999997</v>
      </c>
      <c r="M153" s="131">
        <v>0.17</v>
      </c>
      <c r="N153" s="124"/>
      <c r="O153" s="124">
        <v>9927.0071567600007</v>
      </c>
      <c r="P153" s="124">
        <v>14259.71770189</v>
      </c>
    </row>
    <row r="154" spans="2:16" x14ac:dyDescent="0.25">
      <c r="B154" s="78">
        <v>473915</v>
      </c>
      <c r="C154" s="78" t="s">
        <v>95</v>
      </c>
      <c r="D154" s="78" t="s">
        <v>679</v>
      </c>
      <c r="E154" s="78" t="s">
        <v>14</v>
      </c>
      <c r="F154" s="78" t="s">
        <v>680</v>
      </c>
      <c r="G154" s="130">
        <v>12334580.540657099</v>
      </c>
      <c r="H154" s="130">
        <v>411152684.688568</v>
      </c>
      <c r="I154" s="130">
        <v>0</v>
      </c>
      <c r="J154" s="130">
        <v>0</v>
      </c>
      <c r="K154" s="78" t="s">
        <v>160</v>
      </c>
      <c r="L154" s="131">
        <v>0.74285714000000003</v>
      </c>
      <c r="M154" s="131">
        <v>0.03</v>
      </c>
      <c r="N154" s="124">
        <v>8274.3231413400008</v>
      </c>
      <c r="O154" s="124">
        <v>6331.0952619999998</v>
      </c>
      <c r="P154" s="124">
        <v>8646.6600758000004</v>
      </c>
    </row>
    <row r="155" spans="2:16" x14ac:dyDescent="0.25">
      <c r="B155" s="78">
        <v>433028</v>
      </c>
      <c r="C155" s="78" t="s">
        <v>94</v>
      </c>
      <c r="D155" s="78" t="s">
        <v>367</v>
      </c>
      <c r="E155" s="78" t="s">
        <v>16</v>
      </c>
      <c r="F155" s="78" t="s">
        <v>377</v>
      </c>
      <c r="G155" s="130">
        <v>2000000</v>
      </c>
      <c r="H155" s="130">
        <v>20000000</v>
      </c>
      <c r="I155" s="130">
        <v>0</v>
      </c>
      <c r="J155" s="130">
        <v>0</v>
      </c>
      <c r="K155" s="78" t="s">
        <v>284</v>
      </c>
      <c r="L155" s="131">
        <v>0.13881784</v>
      </c>
      <c r="M155" s="131">
        <v>0.1</v>
      </c>
      <c r="N155" s="124">
        <v>1336.02</v>
      </c>
      <c r="O155" s="124">
        <v>9126.0460000000003</v>
      </c>
      <c r="P155" s="124">
        <v>11328.157999999999</v>
      </c>
    </row>
    <row r="156" spans="2:16" x14ac:dyDescent="0.25">
      <c r="B156" s="78">
        <v>120</v>
      </c>
      <c r="C156" s="78" t="s">
        <v>92</v>
      </c>
      <c r="D156" s="78" t="s">
        <v>220</v>
      </c>
      <c r="E156" s="78" t="s">
        <v>16</v>
      </c>
      <c r="F156" s="78" t="s">
        <v>220</v>
      </c>
      <c r="G156" s="130">
        <v>4157913.60481088</v>
      </c>
      <c r="H156" s="130">
        <v>0</v>
      </c>
      <c r="I156" s="130">
        <v>0</v>
      </c>
      <c r="J156" s="130">
        <v>0</v>
      </c>
      <c r="K156" s="78" t="s">
        <v>44</v>
      </c>
      <c r="L156" s="131">
        <v>0</v>
      </c>
      <c r="M156" s="131">
        <v>1</v>
      </c>
      <c r="N156" s="124">
        <v>1966.321958</v>
      </c>
      <c r="O156" s="124">
        <v>10186.722544</v>
      </c>
      <c r="P156" s="124">
        <v>9582.3363169999993</v>
      </c>
    </row>
    <row r="157" spans="2:16" x14ac:dyDescent="0.25">
      <c r="B157" s="78">
        <v>458895</v>
      </c>
      <c r="C157" s="78" t="s">
        <v>15</v>
      </c>
      <c r="D157" s="78" t="s">
        <v>530</v>
      </c>
      <c r="E157" s="78" t="s">
        <v>14</v>
      </c>
      <c r="F157" s="78" t="s">
        <v>531</v>
      </c>
      <c r="G157" s="130">
        <v>17215620.1601028</v>
      </c>
      <c r="H157" s="130">
        <v>127523112.297058</v>
      </c>
      <c r="I157" s="130">
        <v>0</v>
      </c>
      <c r="J157" s="130">
        <v>0</v>
      </c>
      <c r="K157" s="78" t="s">
        <v>532</v>
      </c>
      <c r="L157" s="131">
        <v>0.66285713999999996</v>
      </c>
      <c r="M157" s="131">
        <v>0.13500000000000001</v>
      </c>
      <c r="N157" s="124">
        <v>5260.4904823400002</v>
      </c>
      <c r="O157" s="124">
        <v>7498.6765356100004</v>
      </c>
      <c r="P157" s="124">
        <v>8705.3390276299997</v>
      </c>
    </row>
    <row r="158" spans="2:16" x14ac:dyDescent="0.25">
      <c r="B158" s="78">
        <v>484925</v>
      </c>
      <c r="C158" s="78" t="s">
        <v>21</v>
      </c>
      <c r="D158" s="78" t="s">
        <v>749</v>
      </c>
      <c r="E158" s="78" t="s">
        <v>14</v>
      </c>
      <c r="F158" s="78" t="s">
        <v>750</v>
      </c>
      <c r="G158" s="130">
        <v>15495000</v>
      </c>
      <c r="H158" s="130">
        <v>516500000</v>
      </c>
      <c r="I158" s="130">
        <v>0</v>
      </c>
      <c r="J158" s="130">
        <v>0</v>
      </c>
      <c r="K158" s="78" t="s">
        <v>751</v>
      </c>
      <c r="L158" s="131">
        <v>1.2598685199999999</v>
      </c>
      <c r="M158" s="131">
        <v>0.03</v>
      </c>
      <c r="N158" s="124">
        <v>37.220399999999998</v>
      </c>
      <c r="O158" s="124">
        <v>7836.6068999999998</v>
      </c>
      <c r="P158" s="124">
        <v>13414.3179</v>
      </c>
    </row>
    <row r="159" spans="2:16" x14ac:dyDescent="0.25">
      <c r="B159" s="78">
        <v>454564</v>
      </c>
      <c r="C159" s="78" t="s">
        <v>94</v>
      </c>
      <c r="D159" s="78" t="s">
        <v>569</v>
      </c>
      <c r="E159" s="78" t="s">
        <v>14</v>
      </c>
      <c r="F159" s="78" t="s">
        <v>570</v>
      </c>
      <c r="G159" s="130">
        <v>4950000</v>
      </c>
      <c r="H159" s="130">
        <v>99000000</v>
      </c>
      <c r="I159" s="130">
        <v>0</v>
      </c>
      <c r="J159" s="130">
        <v>0</v>
      </c>
      <c r="K159" s="78" t="s">
        <v>571</v>
      </c>
      <c r="L159" s="131">
        <v>0.66666667000000002</v>
      </c>
      <c r="M159" s="131">
        <v>0.05</v>
      </c>
      <c r="N159" s="124">
        <v>5627.6329999999998</v>
      </c>
      <c r="O159" s="124">
        <v>4687.6625000000004</v>
      </c>
      <c r="P159" s="124">
        <v>8448.384</v>
      </c>
    </row>
    <row r="160" spans="2:16" x14ac:dyDescent="0.25">
      <c r="B160" s="78">
        <v>447394</v>
      </c>
      <c r="C160" s="78" t="s">
        <v>94</v>
      </c>
      <c r="D160" s="78" t="s">
        <v>482</v>
      </c>
      <c r="E160" s="78" t="s">
        <v>16</v>
      </c>
      <c r="F160" s="78" t="s">
        <v>522</v>
      </c>
      <c r="G160" s="130">
        <v>1700000</v>
      </c>
      <c r="H160" s="130">
        <v>10000000</v>
      </c>
      <c r="I160" s="130">
        <v>0</v>
      </c>
      <c r="J160" s="130">
        <v>0</v>
      </c>
      <c r="K160" s="78" t="s">
        <v>315</v>
      </c>
      <c r="L160" s="131">
        <v>0.71</v>
      </c>
      <c r="M160" s="131">
        <v>0.17</v>
      </c>
      <c r="N160" s="124">
        <v>2530.5468999999998</v>
      </c>
      <c r="O160" s="124">
        <v>7632.6804000000002</v>
      </c>
      <c r="P160" s="124">
        <v>8444.4899000000005</v>
      </c>
    </row>
    <row r="161" spans="2:16" x14ac:dyDescent="0.25">
      <c r="B161" s="78">
        <v>434730</v>
      </c>
      <c r="C161" s="78" t="s">
        <v>45</v>
      </c>
      <c r="D161" s="78" t="s">
        <v>401</v>
      </c>
      <c r="E161" s="78" t="s">
        <v>16</v>
      </c>
      <c r="F161" s="78" t="s">
        <v>402</v>
      </c>
      <c r="G161" s="130">
        <v>150000</v>
      </c>
      <c r="H161" s="130">
        <v>3000000</v>
      </c>
      <c r="I161" s="130">
        <v>0</v>
      </c>
      <c r="J161" s="130">
        <v>0</v>
      </c>
      <c r="K161" s="78" t="s">
        <v>403</v>
      </c>
      <c r="L161" s="131">
        <v>4.1666666699999997</v>
      </c>
      <c r="M161" s="131">
        <v>0.05</v>
      </c>
      <c r="N161" s="124">
        <v>4783.4795000000004</v>
      </c>
      <c r="O161" s="124">
        <v>4190.7764999999999</v>
      </c>
      <c r="P161" s="124">
        <v>8364.8554999999997</v>
      </c>
    </row>
    <row r="162" spans="2:16" x14ac:dyDescent="0.25">
      <c r="B162" s="78">
        <v>142</v>
      </c>
      <c r="C162" s="78" t="s">
        <v>45</v>
      </c>
      <c r="D162" s="78" t="s">
        <v>46</v>
      </c>
      <c r="E162" s="78" t="s">
        <v>16</v>
      </c>
      <c r="F162" s="78" t="s">
        <v>46</v>
      </c>
      <c r="G162" s="130">
        <v>103566650</v>
      </c>
      <c r="H162" s="130">
        <v>0</v>
      </c>
      <c r="I162" s="130">
        <v>0</v>
      </c>
      <c r="J162" s="130">
        <v>0</v>
      </c>
      <c r="K162" s="78" t="s">
        <v>44</v>
      </c>
      <c r="L162" s="131">
        <v>0</v>
      </c>
      <c r="M162" s="131">
        <v>1</v>
      </c>
      <c r="N162" s="124">
        <v>5085.9600849999997</v>
      </c>
      <c r="O162" s="124">
        <v>5230.9289520000002</v>
      </c>
      <c r="P162" s="124">
        <v>6340.389056</v>
      </c>
    </row>
    <row r="163" spans="2:16" x14ac:dyDescent="0.25">
      <c r="B163" s="78">
        <v>433118</v>
      </c>
      <c r="C163" s="78" t="s">
        <v>45</v>
      </c>
      <c r="D163" s="78" t="s">
        <v>304</v>
      </c>
      <c r="E163" s="78" t="s">
        <v>14</v>
      </c>
      <c r="F163" s="78" t="s">
        <v>312</v>
      </c>
      <c r="G163" s="130">
        <v>2705205.46</v>
      </c>
      <c r="H163" s="130">
        <v>10820821.84</v>
      </c>
      <c r="I163" s="130">
        <v>0</v>
      </c>
      <c r="J163" s="130">
        <v>0</v>
      </c>
      <c r="K163" s="78" t="s">
        <v>14</v>
      </c>
      <c r="L163" s="131">
        <v>0.21948424999999999</v>
      </c>
      <c r="M163" s="131">
        <v>0.25</v>
      </c>
      <c r="N163" s="124">
        <v>5440.95</v>
      </c>
      <c r="O163" s="124">
        <v>4203.625</v>
      </c>
      <c r="P163" s="124">
        <v>6576.6149999999998</v>
      </c>
    </row>
    <row r="164" spans="2:16" x14ac:dyDescent="0.25">
      <c r="B164" s="78">
        <v>434724</v>
      </c>
      <c r="C164" s="78" t="s">
        <v>94</v>
      </c>
      <c r="D164" s="78" t="s">
        <v>330</v>
      </c>
      <c r="E164" s="78" t="s">
        <v>14</v>
      </c>
      <c r="F164" s="78" t="s">
        <v>331</v>
      </c>
      <c r="G164" s="130">
        <v>3813046.875</v>
      </c>
      <c r="H164" s="130">
        <v>46218750</v>
      </c>
      <c r="I164" s="130">
        <v>0</v>
      </c>
      <c r="J164" s="130">
        <v>0</v>
      </c>
      <c r="K164" s="78" t="s">
        <v>332</v>
      </c>
      <c r="L164" s="131">
        <v>0.8</v>
      </c>
      <c r="M164" s="131">
        <v>8.2500000000000004E-2</v>
      </c>
      <c r="N164" s="124">
        <v>5051.7983999999997</v>
      </c>
      <c r="O164" s="124">
        <v>4399.4222250000003</v>
      </c>
      <c r="P164" s="124">
        <v>6561.1449750000002</v>
      </c>
    </row>
    <row r="165" spans="2:16" x14ac:dyDescent="0.25">
      <c r="B165" s="78">
        <v>468496</v>
      </c>
      <c r="C165" s="78" t="s">
        <v>21</v>
      </c>
      <c r="D165" s="78" t="s">
        <v>572</v>
      </c>
      <c r="E165" s="78" t="s">
        <v>14</v>
      </c>
      <c r="F165" s="78" t="s">
        <v>573</v>
      </c>
      <c r="G165" s="130">
        <v>7200000</v>
      </c>
      <c r="H165" s="130">
        <v>72000000</v>
      </c>
      <c r="I165" s="130">
        <v>0</v>
      </c>
      <c r="J165" s="130">
        <v>0</v>
      </c>
      <c r="K165" s="78" t="s">
        <v>574</v>
      </c>
      <c r="L165" s="131">
        <v>0.48611111000000001</v>
      </c>
      <c r="M165" s="131">
        <v>0.1</v>
      </c>
      <c r="N165" s="124">
        <v>3733.1480000000001</v>
      </c>
      <c r="O165" s="124">
        <v>5378.7830000000004</v>
      </c>
      <c r="P165" s="124">
        <v>6566.0950000000003</v>
      </c>
    </row>
    <row r="166" spans="2:16" x14ac:dyDescent="0.25">
      <c r="B166" s="78">
        <v>441513</v>
      </c>
      <c r="C166" s="78" t="s">
        <v>45</v>
      </c>
      <c r="D166" s="78" t="s">
        <v>378</v>
      </c>
      <c r="E166" s="78" t="s">
        <v>14</v>
      </c>
      <c r="F166" s="78" t="s">
        <v>379</v>
      </c>
      <c r="G166" s="130">
        <v>5229116.5109999999</v>
      </c>
      <c r="H166" s="130">
        <v>34860776.740000002</v>
      </c>
      <c r="I166" s="130">
        <v>0</v>
      </c>
      <c r="J166" s="130">
        <v>0</v>
      </c>
      <c r="K166" s="78" t="s">
        <v>14</v>
      </c>
      <c r="L166" s="131">
        <v>1.08403915</v>
      </c>
      <c r="M166" s="131">
        <v>0.15</v>
      </c>
      <c r="N166" s="124">
        <v>4524.1260000000002</v>
      </c>
      <c r="O166" s="124">
        <v>4657.8630000000003</v>
      </c>
      <c r="P166" s="124">
        <v>6004.6575000000003</v>
      </c>
    </row>
    <row r="167" spans="2:16" x14ac:dyDescent="0.25">
      <c r="B167" s="78">
        <v>448039</v>
      </c>
      <c r="C167" s="78" t="s">
        <v>12</v>
      </c>
      <c r="D167" s="78" t="s">
        <v>508</v>
      </c>
      <c r="E167" s="78" t="s">
        <v>16</v>
      </c>
      <c r="F167" s="78" t="s">
        <v>545</v>
      </c>
      <c r="G167" s="130">
        <v>10000000</v>
      </c>
      <c r="H167" s="130">
        <v>200000000</v>
      </c>
      <c r="I167" s="130">
        <v>0</v>
      </c>
      <c r="J167" s="130">
        <v>0</v>
      </c>
      <c r="K167" s="78" t="s">
        <v>546</v>
      </c>
      <c r="L167" s="131">
        <v>5.5E-2</v>
      </c>
      <c r="M167" s="131">
        <v>0.05</v>
      </c>
      <c r="N167" s="124">
        <v>5042.6130000000003</v>
      </c>
      <c r="O167" s="124">
        <v>3414.2080000000001</v>
      </c>
      <c r="P167" s="124">
        <v>6185.8355000000001</v>
      </c>
    </row>
    <row r="168" spans="2:16" x14ac:dyDescent="0.25">
      <c r="B168" s="78">
        <v>40373</v>
      </c>
      <c r="C168" s="78" t="s">
        <v>133</v>
      </c>
      <c r="D168" s="78" t="s">
        <v>134</v>
      </c>
      <c r="E168" s="78" t="s">
        <v>14</v>
      </c>
      <c r="F168" s="78" t="s">
        <v>135</v>
      </c>
      <c r="G168" s="130">
        <v>1133398288.04</v>
      </c>
      <c r="H168" s="130">
        <v>1133398288.04</v>
      </c>
      <c r="I168" s="130">
        <v>0</v>
      </c>
      <c r="J168" s="130">
        <v>0</v>
      </c>
      <c r="K168" s="78" t="s">
        <v>14</v>
      </c>
      <c r="L168" s="131">
        <v>4.3817799999999997E-2</v>
      </c>
      <c r="M168" s="131">
        <v>1</v>
      </c>
      <c r="N168" s="124">
        <v>4621.38</v>
      </c>
      <c r="O168" s="124">
        <v>3370.91</v>
      </c>
      <c r="P168" s="124">
        <v>6418.36</v>
      </c>
    </row>
    <row r="169" spans="2:16" x14ac:dyDescent="0.25">
      <c r="B169" s="78">
        <v>486171</v>
      </c>
      <c r="C169" s="78" t="s">
        <v>12</v>
      </c>
      <c r="D169" s="78" t="s">
        <v>853</v>
      </c>
      <c r="E169" s="78" t="s">
        <v>14</v>
      </c>
      <c r="F169" s="78" t="s">
        <v>856</v>
      </c>
      <c r="G169" s="130">
        <v>14528700.2574757</v>
      </c>
      <c r="H169" s="130">
        <v>968580017.16504502</v>
      </c>
      <c r="I169" s="130">
        <v>0</v>
      </c>
      <c r="J169" s="130">
        <v>0</v>
      </c>
      <c r="K169" s="78" t="s">
        <v>855</v>
      </c>
      <c r="L169" s="131">
        <v>0.88420418000000001</v>
      </c>
      <c r="M169" s="131">
        <v>1.4999999999999999E-2</v>
      </c>
      <c r="N169" s="124"/>
      <c r="O169" s="124">
        <v>14005.728254789999</v>
      </c>
      <c r="P169" s="124"/>
    </row>
    <row r="170" spans="2:16" x14ac:dyDescent="0.25">
      <c r="B170" s="78">
        <v>445986</v>
      </c>
      <c r="C170" s="78" t="s">
        <v>94</v>
      </c>
      <c r="D170" s="78" t="s">
        <v>491</v>
      </c>
      <c r="E170" s="78" t="s">
        <v>16</v>
      </c>
      <c r="F170" s="78" t="s">
        <v>492</v>
      </c>
      <c r="G170" s="130">
        <v>594927.44550000003</v>
      </c>
      <c r="H170" s="130">
        <v>11898548.91</v>
      </c>
      <c r="I170" s="130">
        <v>0</v>
      </c>
      <c r="J170" s="130">
        <v>0</v>
      </c>
      <c r="K170" s="78" t="s">
        <v>493</v>
      </c>
      <c r="L170" s="131">
        <v>0.49920335999999998</v>
      </c>
      <c r="M170" s="131">
        <v>0.05</v>
      </c>
      <c r="N170" s="124">
        <v>1868.6054999999999</v>
      </c>
      <c r="O170" s="124">
        <v>5186.3879999999999</v>
      </c>
      <c r="P170" s="124">
        <v>6928.7385000000004</v>
      </c>
    </row>
    <row r="171" spans="2:16" x14ac:dyDescent="0.25">
      <c r="B171" s="78">
        <v>446804</v>
      </c>
      <c r="C171" s="78" t="s">
        <v>94</v>
      </c>
      <c r="D171" s="78" t="s">
        <v>448</v>
      </c>
      <c r="E171" s="78" t="s">
        <v>16</v>
      </c>
      <c r="F171" s="78" t="s">
        <v>511</v>
      </c>
      <c r="G171" s="130">
        <v>4375000</v>
      </c>
      <c r="H171" s="130">
        <v>175000000</v>
      </c>
      <c r="I171" s="130">
        <v>0</v>
      </c>
      <c r="J171" s="130">
        <v>0</v>
      </c>
      <c r="K171" s="78" t="s">
        <v>512</v>
      </c>
      <c r="L171" s="131">
        <v>5.856476E-2</v>
      </c>
      <c r="M171" s="131">
        <v>2.5000000000000001E-2</v>
      </c>
      <c r="N171" s="124">
        <v>4880.6875</v>
      </c>
      <c r="O171" s="124">
        <v>1602.41725</v>
      </c>
      <c r="P171" s="124">
        <v>7191.3095000000003</v>
      </c>
    </row>
    <row r="172" spans="2:16" x14ac:dyDescent="0.25">
      <c r="B172" s="78">
        <v>435696</v>
      </c>
      <c r="C172" s="78" t="s">
        <v>94</v>
      </c>
      <c r="D172" s="78" t="s">
        <v>318</v>
      </c>
      <c r="E172" s="78" t="s">
        <v>16</v>
      </c>
      <c r="F172" s="78" t="s">
        <v>414</v>
      </c>
      <c r="G172" s="130">
        <v>4500000</v>
      </c>
      <c r="H172" s="130">
        <v>90000000</v>
      </c>
      <c r="I172" s="130">
        <v>0</v>
      </c>
      <c r="J172" s="130">
        <v>0</v>
      </c>
      <c r="K172" s="78" t="s">
        <v>415</v>
      </c>
      <c r="L172" s="131">
        <v>0.45</v>
      </c>
      <c r="M172" s="131">
        <v>0.05</v>
      </c>
      <c r="N172" s="124">
        <v>4069.6015000000002</v>
      </c>
      <c r="O172" s="124">
        <v>4299.6324999999997</v>
      </c>
      <c r="P172" s="124">
        <v>4561.049</v>
      </c>
    </row>
    <row r="173" spans="2:16" x14ac:dyDescent="0.25">
      <c r="B173" s="78">
        <v>427960</v>
      </c>
      <c r="C173" s="78" t="s">
        <v>94</v>
      </c>
      <c r="D173" s="78" t="s">
        <v>344</v>
      </c>
      <c r="E173" s="78" t="s">
        <v>16</v>
      </c>
      <c r="F173" s="78" t="s">
        <v>345</v>
      </c>
      <c r="G173" s="130">
        <v>180000</v>
      </c>
      <c r="H173" s="130">
        <v>9000000</v>
      </c>
      <c r="I173" s="130">
        <v>0</v>
      </c>
      <c r="J173" s="130">
        <v>0</v>
      </c>
      <c r="K173" s="78" t="s">
        <v>346</v>
      </c>
      <c r="L173" s="131">
        <v>1.93333321</v>
      </c>
      <c r="M173" s="131">
        <v>0.02</v>
      </c>
      <c r="N173" s="124">
        <v>2807.0508</v>
      </c>
      <c r="O173" s="124">
        <v>4107.7852000000003</v>
      </c>
      <c r="P173" s="124">
        <v>5087.3739999999998</v>
      </c>
    </row>
    <row r="174" spans="2:16" x14ac:dyDescent="0.25">
      <c r="B174" s="78">
        <v>104</v>
      </c>
      <c r="C174" s="78" t="s">
        <v>86</v>
      </c>
      <c r="D174" s="78" t="s">
        <v>217</v>
      </c>
      <c r="E174" s="78" t="s">
        <v>16</v>
      </c>
      <c r="F174" s="78" t="s">
        <v>217</v>
      </c>
      <c r="G174" s="130">
        <v>124695899.280228</v>
      </c>
      <c r="H174" s="130">
        <v>0</v>
      </c>
      <c r="I174" s="130">
        <v>0</v>
      </c>
      <c r="J174" s="130">
        <v>0</v>
      </c>
      <c r="K174" s="78" t="s">
        <v>44</v>
      </c>
      <c r="L174" s="131">
        <v>0</v>
      </c>
      <c r="M174" s="131">
        <v>1</v>
      </c>
      <c r="N174" s="124">
        <v>2715.9529830000001</v>
      </c>
      <c r="O174" s="124">
        <v>4114.5262890000004</v>
      </c>
      <c r="P174" s="124">
        <v>5027.3196859999998</v>
      </c>
    </row>
    <row r="175" spans="2:16" x14ac:dyDescent="0.25">
      <c r="B175" s="78">
        <v>484262</v>
      </c>
      <c r="C175" s="78" t="s">
        <v>94</v>
      </c>
      <c r="D175" s="78" t="s">
        <v>686</v>
      </c>
      <c r="E175" s="78" t="s">
        <v>16</v>
      </c>
      <c r="F175" s="78" t="s">
        <v>743</v>
      </c>
      <c r="G175" s="130">
        <v>18000000</v>
      </c>
      <c r="H175" s="130">
        <v>450000000</v>
      </c>
      <c r="I175" s="130">
        <v>0</v>
      </c>
      <c r="J175" s="130">
        <v>0</v>
      </c>
      <c r="K175" s="78" t="s">
        <v>122</v>
      </c>
      <c r="L175" s="131">
        <v>4.5555560000000002E-2</v>
      </c>
      <c r="M175" s="131">
        <v>0.04</v>
      </c>
      <c r="N175" s="124">
        <v>4628.4660000000003</v>
      </c>
      <c r="O175" s="124">
        <v>2126.7800000000002</v>
      </c>
      <c r="P175" s="124">
        <v>4991.4128000000001</v>
      </c>
    </row>
    <row r="176" spans="2:16" x14ac:dyDescent="0.25">
      <c r="B176" s="78">
        <v>103</v>
      </c>
      <c r="C176" s="78" t="s">
        <v>86</v>
      </c>
      <c r="D176" s="78" t="s">
        <v>217</v>
      </c>
      <c r="E176" s="78" t="s">
        <v>16</v>
      </c>
      <c r="F176" s="78" t="s">
        <v>217</v>
      </c>
      <c r="G176" s="130">
        <v>266144997.75758201</v>
      </c>
      <c r="H176" s="130">
        <v>0</v>
      </c>
      <c r="I176" s="130">
        <v>0</v>
      </c>
      <c r="J176" s="130">
        <v>0</v>
      </c>
      <c r="K176" s="78" t="s">
        <v>44</v>
      </c>
      <c r="L176" s="131">
        <v>0</v>
      </c>
      <c r="M176" s="131">
        <v>1</v>
      </c>
      <c r="N176" s="124">
        <v>2546.9354450000001</v>
      </c>
      <c r="O176" s="124">
        <v>3731.0890720000002</v>
      </c>
      <c r="P176" s="124">
        <v>5255.4737800000003</v>
      </c>
    </row>
    <row r="177" spans="2:16" x14ac:dyDescent="0.25">
      <c r="B177" s="78">
        <v>445991</v>
      </c>
      <c r="C177" s="78" t="s">
        <v>94</v>
      </c>
      <c r="D177" s="78" t="s">
        <v>440</v>
      </c>
      <c r="E177" s="78" t="s">
        <v>16</v>
      </c>
      <c r="F177" s="78" t="s">
        <v>441</v>
      </c>
      <c r="G177" s="130">
        <v>8500000</v>
      </c>
      <c r="H177" s="130">
        <v>100000000</v>
      </c>
      <c r="I177" s="130">
        <v>0</v>
      </c>
      <c r="J177" s="130">
        <v>0</v>
      </c>
      <c r="K177" s="78" t="s">
        <v>442</v>
      </c>
      <c r="L177" s="131">
        <v>0.15</v>
      </c>
      <c r="M177" s="131">
        <v>8.5000000000000006E-2</v>
      </c>
      <c r="N177" s="124">
        <v>4206.4400500000002</v>
      </c>
      <c r="O177" s="124">
        <v>3052.8413</v>
      </c>
      <c r="P177" s="124">
        <v>3850.3436000000002</v>
      </c>
    </row>
    <row r="178" spans="2:16" x14ac:dyDescent="0.25">
      <c r="B178" s="78">
        <v>481420</v>
      </c>
      <c r="C178" s="78" t="s">
        <v>94</v>
      </c>
      <c r="D178" s="78" t="s">
        <v>731</v>
      </c>
      <c r="E178" s="78" t="s">
        <v>14</v>
      </c>
      <c r="F178" s="78" t="s">
        <v>732</v>
      </c>
      <c r="G178" s="130">
        <v>2063250</v>
      </c>
      <c r="H178" s="130">
        <v>91700000</v>
      </c>
      <c r="I178" s="130">
        <v>0</v>
      </c>
      <c r="J178" s="130">
        <v>0</v>
      </c>
      <c r="K178" s="78" t="s">
        <v>733</v>
      </c>
      <c r="L178" s="131">
        <v>0.63980720000000002</v>
      </c>
      <c r="M178" s="131">
        <v>2.2499999999999999E-2</v>
      </c>
      <c r="N178" s="124">
        <v>3465.3042</v>
      </c>
      <c r="O178" s="124">
        <v>2960.043525</v>
      </c>
      <c r="P178" s="124">
        <v>4577.1018750000003</v>
      </c>
    </row>
    <row r="179" spans="2:16" x14ac:dyDescent="0.25">
      <c r="B179" s="78">
        <v>111</v>
      </c>
      <c r="C179" s="78" t="s">
        <v>42</v>
      </c>
      <c r="D179" s="78" t="s">
        <v>43</v>
      </c>
      <c r="E179" s="78" t="s">
        <v>16</v>
      </c>
      <c r="F179" s="78" t="s">
        <v>43</v>
      </c>
      <c r="G179" s="130">
        <v>494435487.81273699</v>
      </c>
      <c r="H179" s="130">
        <v>0</v>
      </c>
      <c r="I179" s="130">
        <v>0</v>
      </c>
      <c r="J179" s="130">
        <v>0</v>
      </c>
      <c r="K179" s="78" t="s">
        <v>44</v>
      </c>
      <c r="L179" s="131">
        <v>0</v>
      </c>
      <c r="M179" s="131">
        <v>1</v>
      </c>
      <c r="N179" s="124">
        <v>3751.7878000000001</v>
      </c>
      <c r="O179" s="124">
        <v>1831.5142000000001</v>
      </c>
      <c r="P179" s="124">
        <v>5337.9408999999996</v>
      </c>
    </row>
    <row r="180" spans="2:16" x14ac:dyDescent="0.25">
      <c r="B180" s="78">
        <v>448029</v>
      </c>
      <c r="C180" s="78" t="s">
        <v>94</v>
      </c>
      <c r="D180" s="78" t="s">
        <v>395</v>
      </c>
      <c r="E180" s="78" t="s">
        <v>16</v>
      </c>
      <c r="F180" s="78" t="s">
        <v>503</v>
      </c>
      <c r="G180" s="130">
        <v>2370062.3813999998</v>
      </c>
      <c r="H180" s="130">
        <v>67716068.040000007</v>
      </c>
      <c r="I180" s="130">
        <v>0</v>
      </c>
      <c r="J180" s="130">
        <v>0</v>
      </c>
      <c r="K180" s="78" t="s">
        <v>504</v>
      </c>
      <c r="L180" s="131">
        <v>0.185</v>
      </c>
      <c r="M180" s="131">
        <v>3.5000000000000003E-2</v>
      </c>
      <c r="N180" s="124">
        <v>2547.1981500000002</v>
      </c>
      <c r="O180" s="124">
        <v>3287.0988499999999</v>
      </c>
      <c r="P180" s="124">
        <v>4461.9599500000004</v>
      </c>
    </row>
    <row r="181" spans="2:16" x14ac:dyDescent="0.25">
      <c r="B181" s="78">
        <v>122</v>
      </c>
      <c r="C181" s="78" t="s">
        <v>92</v>
      </c>
      <c r="D181" s="78" t="s">
        <v>220</v>
      </c>
      <c r="E181" s="78" t="s">
        <v>16</v>
      </c>
      <c r="F181" s="78" t="s">
        <v>220</v>
      </c>
      <c r="G181" s="130">
        <v>63556412.625237398</v>
      </c>
      <c r="H181" s="130">
        <v>0</v>
      </c>
      <c r="I181" s="130">
        <v>0</v>
      </c>
      <c r="J181" s="130">
        <v>0</v>
      </c>
      <c r="K181" s="78" t="s">
        <v>44</v>
      </c>
      <c r="L181" s="131">
        <v>0</v>
      </c>
      <c r="M181" s="131">
        <v>1</v>
      </c>
      <c r="N181" s="124">
        <v>3391.2257410000002</v>
      </c>
      <c r="O181" s="124">
        <v>2146.94479</v>
      </c>
      <c r="P181" s="124">
        <v>4561.2846440000003</v>
      </c>
    </row>
    <row r="182" spans="2:16" x14ac:dyDescent="0.25">
      <c r="B182" s="78">
        <v>431739</v>
      </c>
      <c r="C182" s="78" t="s">
        <v>45</v>
      </c>
      <c r="D182" s="78" t="s">
        <v>361</v>
      </c>
      <c r="E182" s="78" t="s">
        <v>16</v>
      </c>
      <c r="F182" s="78" t="s">
        <v>362</v>
      </c>
      <c r="G182" s="130">
        <v>1500000</v>
      </c>
      <c r="H182" s="130">
        <v>10000000</v>
      </c>
      <c r="I182" s="130">
        <v>0</v>
      </c>
      <c r="J182" s="130">
        <v>0</v>
      </c>
      <c r="K182" s="78" t="s">
        <v>357</v>
      </c>
      <c r="L182" s="131">
        <v>0.38922430000000002</v>
      </c>
      <c r="M182" s="131">
        <v>0.15</v>
      </c>
      <c r="N182" s="124">
        <v>4208.82</v>
      </c>
      <c r="O182" s="124">
        <v>2635.857</v>
      </c>
      <c r="P182" s="124">
        <v>3188.6444999999999</v>
      </c>
    </row>
    <row r="183" spans="2:16" x14ac:dyDescent="0.25">
      <c r="B183" s="78">
        <v>446893</v>
      </c>
      <c r="C183" s="78" t="s">
        <v>45</v>
      </c>
      <c r="D183" s="78" t="s">
        <v>457</v>
      </c>
      <c r="E183" s="78" t="s">
        <v>16</v>
      </c>
      <c r="F183" s="78" t="s">
        <v>458</v>
      </c>
      <c r="G183" s="130">
        <v>16151628.977281</v>
      </c>
      <c r="H183" s="130">
        <v>193897106.56999999</v>
      </c>
      <c r="I183" s="130">
        <v>0</v>
      </c>
      <c r="J183" s="130">
        <v>0</v>
      </c>
      <c r="K183" s="78" t="s">
        <v>459</v>
      </c>
      <c r="L183" s="131">
        <v>1.1660500000000001E-2</v>
      </c>
      <c r="M183" s="131">
        <v>8.3299999999999999E-2</v>
      </c>
      <c r="N183" s="124">
        <v>3266.429572</v>
      </c>
      <c r="O183" s="124">
        <v>2569.6300700000002</v>
      </c>
      <c r="P183" s="124">
        <v>3987.6734590000001</v>
      </c>
    </row>
    <row r="184" spans="2:16" x14ac:dyDescent="0.25">
      <c r="B184" s="78">
        <v>475344</v>
      </c>
      <c r="C184" s="78" t="s">
        <v>21</v>
      </c>
      <c r="D184" s="78" t="s">
        <v>665</v>
      </c>
      <c r="E184" s="78" t="s">
        <v>14</v>
      </c>
      <c r="F184" s="78" t="s">
        <v>666</v>
      </c>
      <c r="G184" s="130">
        <v>15000000</v>
      </c>
      <c r="H184" s="130">
        <v>200000000</v>
      </c>
      <c r="I184" s="130">
        <v>0</v>
      </c>
      <c r="J184" s="130">
        <v>0</v>
      </c>
      <c r="K184" s="78" t="s">
        <v>142</v>
      </c>
      <c r="L184" s="131">
        <v>0.22</v>
      </c>
      <c r="M184" s="131">
        <v>7.4999999999999997E-2</v>
      </c>
      <c r="N184" s="124">
        <v>2841.4994999999999</v>
      </c>
      <c r="O184" s="124">
        <v>1933.81575</v>
      </c>
      <c r="P184" s="124">
        <v>4569.1987499999996</v>
      </c>
    </row>
    <row r="185" spans="2:16" x14ac:dyDescent="0.25">
      <c r="B185" s="78">
        <v>442600</v>
      </c>
      <c r="C185" s="78" t="s">
        <v>45</v>
      </c>
      <c r="D185" s="78" t="s">
        <v>465</v>
      </c>
      <c r="E185" s="78" t="s">
        <v>16</v>
      </c>
      <c r="F185" s="78" t="s">
        <v>466</v>
      </c>
      <c r="G185" s="130">
        <v>24995559</v>
      </c>
      <c r="H185" s="130">
        <v>510000000</v>
      </c>
      <c r="I185" s="130">
        <v>0</v>
      </c>
      <c r="J185" s="130">
        <v>0</v>
      </c>
      <c r="K185" s="78" t="s">
        <v>467</v>
      </c>
      <c r="L185" s="131">
        <v>8.0872099999999992E-3</v>
      </c>
      <c r="M185" s="131">
        <v>4.9010900000000003E-2</v>
      </c>
      <c r="N185" s="124">
        <v>2966.6425198400002</v>
      </c>
      <c r="O185" s="124">
        <v>1935.2115601</v>
      </c>
      <c r="P185" s="124">
        <v>4128.2307464899995</v>
      </c>
    </row>
    <row r="186" spans="2:16" x14ac:dyDescent="0.25">
      <c r="B186" s="78">
        <v>459195</v>
      </c>
      <c r="C186" s="78" t="s">
        <v>21</v>
      </c>
      <c r="D186" s="78" t="s">
        <v>539</v>
      </c>
      <c r="E186" s="78" t="s">
        <v>14</v>
      </c>
      <c r="F186" s="78" t="s">
        <v>540</v>
      </c>
      <c r="G186" s="130">
        <v>2245050</v>
      </c>
      <c r="H186" s="130">
        <v>16630000</v>
      </c>
      <c r="I186" s="130">
        <v>0</v>
      </c>
      <c r="J186" s="130">
        <v>0</v>
      </c>
      <c r="K186" s="78" t="s">
        <v>137</v>
      </c>
      <c r="L186" s="131">
        <v>0.99551497</v>
      </c>
      <c r="M186" s="131">
        <v>0.13500000000000001</v>
      </c>
      <c r="N186" s="124">
        <v>85.185000000000002</v>
      </c>
      <c r="O186" s="124">
        <v>4804.6445999999996</v>
      </c>
      <c r="P186" s="124">
        <v>4059.3231000000001</v>
      </c>
    </row>
    <row r="187" spans="2:16" x14ac:dyDescent="0.25">
      <c r="B187" s="78">
        <v>436536</v>
      </c>
      <c r="C187" s="78" t="s">
        <v>94</v>
      </c>
      <c r="D187" s="78" t="s">
        <v>445</v>
      </c>
      <c r="E187" s="78" t="s">
        <v>16</v>
      </c>
      <c r="F187" s="78" t="s">
        <v>446</v>
      </c>
      <c r="G187" s="130">
        <v>5000000</v>
      </c>
      <c r="H187" s="130">
        <v>50000000</v>
      </c>
      <c r="I187" s="130">
        <v>0</v>
      </c>
      <c r="J187" s="130">
        <v>0</v>
      </c>
      <c r="K187" s="78" t="s">
        <v>122</v>
      </c>
      <c r="L187" s="131">
        <v>0.34</v>
      </c>
      <c r="M187" s="131">
        <v>0.1</v>
      </c>
      <c r="N187" s="124">
        <v>2284.5650000000001</v>
      </c>
      <c r="O187" s="124">
        <v>2961.86</v>
      </c>
      <c r="P187" s="124">
        <v>3350.0590000000002</v>
      </c>
    </row>
    <row r="188" spans="2:16" x14ac:dyDescent="0.25">
      <c r="B188" s="78">
        <v>473719</v>
      </c>
      <c r="C188" s="78" t="s">
        <v>15</v>
      </c>
      <c r="D188" s="78" t="s">
        <v>790</v>
      </c>
      <c r="E188" s="78" t="s">
        <v>16</v>
      </c>
      <c r="F188" s="78" t="s">
        <v>797</v>
      </c>
      <c r="G188" s="130">
        <v>8744441.9860839806</v>
      </c>
      <c r="H188" s="130">
        <v>43722209.9304199</v>
      </c>
      <c r="I188" s="130">
        <v>0</v>
      </c>
      <c r="J188" s="130">
        <v>0</v>
      </c>
      <c r="K188" s="78" t="s">
        <v>122</v>
      </c>
      <c r="L188" s="131">
        <v>1.32476142</v>
      </c>
      <c r="M188" s="131">
        <v>0.2</v>
      </c>
      <c r="N188" s="124">
        <v>1777.9199446099999</v>
      </c>
      <c r="O188" s="124">
        <v>3836.7740343199998</v>
      </c>
      <c r="P188" s="124">
        <v>2981.3941766399998</v>
      </c>
    </row>
    <row r="189" spans="2:16" x14ac:dyDescent="0.25">
      <c r="B189" s="78">
        <v>473014</v>
      </c>
      <c r="C189" s="78" t="s">
        <v>21</v>
      </c>
      <c r="D189" s="78" t="s">
        <v>699</v>
      </c>
      <c r="E189" s="78" t="s">
        <v>14</v>
      </c>
      <c r="F189" s="78" t="s">
        <v>700</v>
      </c>
      <c r="G189" s="130">
        <v>7000000</v>
      </c>
      <c r="H189" s="130">
        <v>70000000</v>
      </c>
      <c r="I189" s="130">
        <v>0</v>
      </c>
      <c r="J189" s="130">
        <v>0</v>
      </c>
      <c r="K189" s="78" t="s">
        <v>701</v>
      </c>
      <c r="L189" s="131">
        <v>0.39285713999999999</v>
      </c>
      <c r="M189" s="131">
        <v>0.1</v>
      </c>
      <c r="N189" s="124">
        <v>2523.6819999999998</v>
      </c>
      <c r="O189" s="124">
        <v>2176.433</v>
      </c>
      <c r="P189" s="124">
        <v>3499.1179999999999</v>
      </c>
    </row>
    <row r="190" spans="2:16" x14ac:dyDescent="0.25">
      <c r="B190" s="78">
        <v>468836</v>
      </c>
      <c r="C190" s="78" t="s">
        <v>94</v>
      </c>
      <c r="D190" s="78" t="s">
        <v>582</v>
      </c>
      <c r="E190" s="78" t="s">
        <v>16</v>
      </c>
      <c r="F190" s="78" t="s">
        <v>635</v>
      </c>
      <c r="G190" s="130">
        <v>300000</v>
      </c>
      <c r="H190" s="130">
        <v>6000000</v>
      </c>
      <c r="I190" s="130">
        <v>0</v>
      </c>
      <c r="J190" s="130">
        <v>0</v>
      </c>
      <c r="K190" s="78" t="s">
        <v>122</v>
      </c>
      <c r="L190" s="131">
        <v>6.9995166700000002</v>
      </c>
      <c r="M190" s="131">
        <v>0.05</v>
      </c>
      <c r="N190" s="124">
        <v>1024.8320000000001</v>
      </c>
      <c r="O190" s="124">
        <v>2782.8325</v>
      </c>
      <c r="P190" s="124">
        <v>4345.3405000000002</v>
      </c>
    </row>
    <row r="191" spans="2:16" x14ac:dyDescent="0.25">
      <c r="B191" s="78">
        <v>329065</v>
      </c>
      <c r="C191" s="78" t="s">
        <v>149</v>
      </c>
      <c r="D191" s="78" t="s">
        <v>225</v>
      </c>
      <c r="E191" s="78" t="s">
        <v>14</v>
      </c>
      <c r="F191" s="78" t="s">
        <v>64</v>
      </c>
      <c r="G191" s="130">
        <v>202012148.33000001</v>
      </c>
      <c r="H191" s="130">
        <v>202012148.33000001</v>
      </c>
      <c r="I191" s="130">
        <v>0</v>
      </c>
      <c r="J191" s="130">
        <v>0</v>
      </c>
      <c r="K191" s="78" t="s">
        <v>14</v>
      </c>
      <c r="L191" s="131">
        <v>3.9601579999999997E-2</v>
      </c>
      <c r="M191" s="131">
        <v>1</v>
      </c>
      <c r="N191" s="124">
        <v>2455.92</v>
      </c>
      <c r="O191" s="124">
        <v>2275.63</v>
      </c>
      <c r="P191" s="124">
        <v>3058.05</v>
      </c>
    </row>
    <row r="192" spans="2:16" x14ac:dyDescent="0.25">
      <c r="B192" s="78">
        <v>430854</v>
      </c>
      <c r="C192" s="78" t="s">
        <v>93</v>
      </c>
      <c r="D192" s="78" t="s">
        <v>333</v>
      </c>
      <c r="E192" s="78" t="s">
        <v>14</v>
      </c>
      <c r="F192" s="78" t="s">
        <v>334</v>
      </c>
      <c r="G192" s="130">
        <v>10000000</v>
      </c>
      <c r="H192" s="130">
        <v>100000000</v>
      </c>
      <c r="I192" s="130">
        <v>0</v>
      </c>
      <c r="J192" s="130">
        <v>0</v>
      </c>
      <c r="K192" s="78" t="s">
        <v>335</v>
      </c>
      <c r="L192" s="131">
        <v>0.49</v>
      </c>
      <c r="M192" s="131">
        <v>0.1</v>
      </c>
      <c r="N192" s="124">
        <v>2339.63</v>
      </c>
      <c r="O192" s="124">
        <v>2226.3409999999999</v>
      </c>
      <c r="P192" s="124">
        <v>2681.8609999999999</v>
      </c>
    </row>
    <row r="193" spans="2:16" x14ac:dyDescent="0.25">
      <c r="B193" s="78">
        <v>479983</v>
      </c>
      <c r="C193" s="78" t="s">
        <v>12</v>
      </c>
      <c r="D193" s="78" t="s">
        <v>652</v>
      </c>
      <c r="E193" s="78" t="s">
        <v>14</v>
      </c>
      <c r="F193" s="78" t="s">
        <v>653</v>
      </c>
      <c r="G193" s="130">
        <v>3062500</v>
      </c>
      <c r="H193" s="130">
        <v>43750000</v>
      </c>
      <c r="I193" s="130">
        <v>0</v>
      </c>
      <c r="J193" s="130">
        <v>0</v>
      </c>
      <c r="K193" s="78" t="s">
        <v>654</v>
      </c>
      <c r="L193" s="131">
        <v>0.45714285999999998</v>
      </c>
      <c r="M193" s="131">
        <v>7.0000000000000007E-2</v>
      </c>
      <c r="N193" s="124">
        <v>2203.5783000000001</v>
      </c>
      <c r="O193" s="124">
        <v>1758.799</v>
      </c>
      <c r="P193" s="124">
        <v>2937.7795999999998</v>
      </c>
    </row>
    <row r="194" spans="2:16" x14ac:dyDescent="0.25">
      <c r="B194" s="78">
        <v>445987</v>
      </c>
      <c r="C194" s="78" t="s">
        <v>94</v>
      </c>
      <c r="D194" s="78" t="s">
        <v>491</v>
      </c>
      <c r="E194" s="78" t="s">
        <v>16</v>
      </c>
      <c r="F194" s="78" t="s">
        <v>499</v>
      </c>
      <c r="G194" s="130">
        <v>829182.49450000003</v>
      </c>
      <c r="H194" s="130">
        <v>16583649.890000001</v>
      </c>
      <c r="I194" s="130">
        <v>0</v>
      </c>
      <c r="J194" s="130">
        <v>0</v>
      </c>
      <c r="K194" s="78" t="s">
        <v>360</v>
      </c>
      <c r="L194" s="131">
        <v>8.4101389999999998E-2</v>
      </c>
      <c r="M194" s="131">
        <v>0.05</v>
      </c>
      <c r="N194" s="124">
        <v>906.57500000000005</v>
      </c>
      <c r="O194" s="124">
        <v>2103.0774999999999</v>
      </c>
      <c r="P194" s="124">
        <v>3634.6129999999998</v>
      </c>
    </row>
    <row r="195" spans="2:16" x14ac:dyDescent="0.25">
      <c r="B195" s="78">
        <v>431334</v>
      </c>
      <c r="C195" s="78" t="s">
        <v>94</v>
      </c>
      <c r="D195" s="78" t="s">
        <v>255</v>
      </c>
      <c r="E195" s="78" t="s">
        <v>16</v>
      </c>
      <c r="F195" s="78" t="s">
        <v>353</v>
      </c>
      <c r="G195" s="130">
        <v>3000000</v>
      </c>
      <c r="H195" s="130">
        <v>20000000</v>
      </c>
      <c r="I195" s="130">
        <v>0</v>
      </c>
      <c r="J195" s="130">
        <v>0</v>
      </c>
      <c r="K195" s="78" t="s">
        <v>354</v>
      </c>
      <c r="L195" s="131">
        <v>0.4</v>
      </c>
      <c r="M195" s="131">
        <v>0.15</v>
      </c>
      <c r="N195" s="124">
        <v>1975.5989999999999</v>
      </c>
      <c r="O195" s="124">
        <v>1864.11</v>
      </c>
      <c r="P195" s="124">
        <v>2744.3760000000002</v>
      </c>
    </row>
    <row r="196" spans="2:16" x14ac:dyDescent="0.25">
      <c r="B196" s="78">
        <v>432786</v>
      </c>
      <c r="C196" s="78" t="s">
        <v>94</v>
      </c>
      <c r="D196" s="78" t="s">
        <v>826</v>
      </c>
      <c r="E196" s="78" t="s">
        <v>13</v>
      </c>
      <c r="F196" s="78" t="s">
        <v>827</v>
      </c>
      <c r="G196" s="130">
        <v>350000</v>
      </c>
      <c r="H196" s="130">
        <v>35000000</v>
      </c>
      <c r="I196" s="130">
        <v>5000000</v>
      </c>
      <c r="J196" s="130">
        <v>0</v>
      </c>
      <c r="K196" s="78" t="s">
        <v>828</v>
      </c>
      <c r="L196" s="131">
        <v>0.98</v>
      </c>
      <c r="M196" s="131">
        <v>0.01</v>
      </c>
      <c r="N196" s="124"/>
      <c r="O196" s="124"/>
      <c r="P196" s="124">
        <v>6524.1518999999998</v>
      </c>
    </row>
    <row r="197" spans="2:16" x14ac:dyDescent="0.25">
      <c r="B197" s="78">
        <v>484541</v>
      </c>
      <c r="C197" s="78" t="s">
        <v>94</v>
      </c>
      <c r="D197" s="78" t="s">
        <v>596</v>
      </c>
      <c r="E197" s="78" t="s">
        <v>14</v>
      </c>
      <c r="F197" s="78" t="s">
        <v>742</v>
      </c>
      <c r="G197" s="130">
        <v>1500000</v>
      </c>
      <c r="H197" s="130">
        <v>20000000</v>
      </c>
      <c r="I197" s="130">
        <v>0</v>
      </c>
      <c r="J197" s="130">
        <v>0</v>
      </c>
      <c r="K197" s="78" t="s">
        <v>122</v>
      </c>
      <c r="L197" s="131">
        <v>0.95</v>
      </c>
      <c r="M197" s="131">
        <v>7.4999999999999997E-2</v>
      </c>
      <c r="N197" s="124">
        <v>999.99</v>
      </c>
      <c r="O197" s="124">
        <v>2687.337</v>
      </c>
      <c r="P197" s="124">
        <v>2615.2860000000001</v>
      </c>
    </row>
    <row r="198" spans="2:16" x14ac:dyDescent="0.25">
      <c r="B198" s="78">
        <v>477259</v>
      </c>
      <c r="C198" s="78" t="s">
        <v>92</v>
      </c>
      <c r="D198" s="78" t="s">
        <v>636</v>
      </c>
      <c r="E198" s="78" t="s">
        <v>14</v>
      </c>
      <c r="F198" s="78" t="s">
        <v>637</v>
      </c>
      <c r="G198" s="130">
        <v>41724794.761047699</v>
      </c>
      <c r="H198" s="130">
        <v>278165298.40698397</v>
      </c>
      <c r="I198" s="130">
        <v>0</v>
      </c>
      <c r="J198" s="130">
        <v>0</v>
      </c>
      <c r="K198" s="78" t="s">
        <v>14</v>
      </c>
      <c r="L198" s="131">
        <v>0.1689243</v>
      </c>
      <c r="M198" s="131">
        <v>0.15</v>
      </c>
      <c r="N198" s="124">
        <v>1542.7829027800001</v>
      </c>
      <c r="O198" s="124">
        <v>2047.5421318399999</v>
      </c>
      <c r="P198" s="124">
        <v>2710.4007280000001</v>
      </c>
    </row>
    <row r="199" spans="2:16" x14ac:dyDescent="0.25">
      <c r="B199" s="78">
        <v>477139</v>
      </c>
      <c r="C199" s="78" t="s">
        <v>95</v>
      </c>
      <c r="D199" s="78" t="s">
        <v>697</v>
      </c>
      <c r="E199" s="78" t="s">
        <v>14</v>
      </c>
      <c r="F199" s="78" t="s">
        <v>698</v>
      </c>
      <c r="G199" s="130">
        <v>7216882.2856000001</v>
      </c>
      <c r="H199" s="130">
        <v>180422057.13999999</v>
      </c>
      <c r="I199" s="130">
        <v>0</v>
      </c>
      <c r="J199" s="130">
        <v>0</v>
      </c>
      <c r="K199" s="78" t="s">
        <v>122</v>
      </c>
      <c r="L199" s="131">
        <v>0.79228986999999995</v>
      </c>
      <c r="M199" s="131">
        <v>0.04</v>
      </c>
      <c r="N199" s="124">
        <v>2304.1604000000002</v>
      </c>
      <c r="O199" s="124">
        <v>2132.7600000000002</v>
      </c>
      <c r="P199" s="124">
        <v>1719.8624</v>
      </c>
    </row>
    <row r="200" spans="2:16" x14ac:dyDescent="0.25">
      <c r="B200" s="78">
        <v>348467</v>
      </c>
      <c r="C200" s="78" t="s">
        <v>87</v>
      </c>
      <c r="D200" s="78" t="s">
        <v>260</v>
      </c>
      <c r="E200" s="78" t="s">
        <v>14</v>
      </c>
      <c r="F200" s="78" t="s">
        <v>261</v>
      </c>
      <c r="G200" s="130">
        <v>7972746.9500000002</v>
      </c>
      <c r="H200" s="130">
        <v>7972746.9500000002</v>
      </c>
      <c r="I200" s="130">
        <v>0</v>
      </c>
      <c r="J200" s="130">
        <v>0</v>
      </c>
      <c r="K200" s="78" t="s">
        <v>14</v>
      </c>
      <c r="L200" s="131">
        <v>6.2713640000000001E-2</v>
      </c>
      <c r="M200" s="131">
        <v>1</v>
      </c>
      <c r="N200" s="124">
        <v>1621</v>
      </c>
      <c r="O200" s="124">
        <v>1691.75</v>
      </c>
      <c r="P200" s="124">
        <v>2779.38</v>
      </c>
    </row>
    <row r="201" spans="2:16" x14ac:dyDescent="0.25">
      <c r="B201" s="78">
        <v>418693</v>
      </c>
      <c r="C201" s="78" t="s">
        <v>94</v>
      </c>
      <c r="D201" s="78" t="s">
        <v>275</v>
      </c>
      <c r="E201" s="78" t="s">
        <v>16</v>
      </c>
      <c r="F201" s="78" t="s">
        <v>292</v>
      </c>
      <c r="G201" s="130">
        <v>150000</v>
      </c>
      <c r="H201" s="130">
        <v>7500000</v>
      </c>
      <c r="I201" s="130">
        <v>0</v>
      </c>
      <c r="J201" s="130">
        <v>0</v>
      </c>
      <c r="K201" s="78" t="s">
        <v>293</v>
      </c>
      <c r="L201" s="131">
        <v>0.48</v>
      </c>
      <c r="M201" s="131">
        <v>0.02</v>
      </c>
      <c r="N201" s="124">
        <v>1293.2716</v>
      </c>
      <c r="O201" s="124">
        <v>2083.6972000000001</v>
      </c>
      <c r="P201" s="124">
        <v>2676.8742000000002</v>
      </c>
    </row>
    <row r="202" spans="2:16" x14ac:dyDescent="0.25">
      <c r="B202" s="78">
        <v>445843</v>
      </c>
      <c r="C202" s="78" t="s">
        <v>45</v>
      </c>
      <c r="D202" s="78" t="s">
        <v>519</v>
      </c>
      <c r="E202" s="78" t="s">
        <v>16</v>
      </c>
      <c r="F202" s="78" t="s">
        <v>520</v>
      </c>
      <c r="G202" s="130">
        <v>50000000</v>
      </c>
      <c r="H202" s="130">
        <v>1000000000</v>
      </c>
      <c r="I202" s="130">
        <v>0</v>
      </c>
      <c r="J202" s="130">
        <v>0</v>
      </c>
      <c r="K202" s="78" t="s">
        <v>521</v>
      </c>
      <c r="L202" s="131">
        <v>1.334834E-2</v>
      </c>
      <c r="M202" s="131">
        <v>0.05</v>
      </c>
      <c r="N202" s="124">
        <v>2417.2420000000002</v>
      </c>
      <c r="O202" s="124">
        <v>1193.2375</v>
      </c>
      <c r="P202" s="124">
        <v>2180.6685000000002</v>
      </c>
    </row>
    <row r="203" spans="2:16" x14ac:dyDescent="0.25">
      <c r="B203" s="78">
        <v>435697</v>
      </c>
      <c r="C203" s="78" t="s">
        <v>94</v>
      </c>
      <c r="D203" s="78" t="s">
        <v>318</v>
      </c>
      <c r="E203" s="78" t="s">
        <v>16</v>
      </c>
      <c r="F203" s="78" t="s">
        <v>328</v>
      </c>
      <c r="G203" s="130">
        <v>6500000</v>
      </c>
      <c r="H203" s="130">
        <v>130000000</v>
      </c>
      <c r="I203" s="130">
        <v>0</v>
      </c>
      <c r="J203" s="130">
        <v>0</v>
      </c>
      <c r="K203" s="78" t="s">
        <v>329</v>
      </c>
      <c r="L203" s="131">
        <v>0.12692307999999999</v>
      </c>
      <c r="M203" s="131">
        <v>0.05</v>
      </c>
      <c r="N203" s="124">
        <v>1782.175</v>
      </c>
      <c r="O203" s="124">
        <v>1908.1904999999999</v>
      </c>
      <c r="P203" s="124">
        <v>1712.3734999999999</v>
      </c>
    </row>
    <row r="204" spans="2:16" x14ac:dyDescent="0.25">
      <c r="B204" s="78">
        <v>444855</v>
      </c>
      <c r="C204" s="78" t="s">
        <v>45</v>
      </c>
      <c r="D204" s="78" t="s">
        <v>405</v>
      </c>
      <c r="E204" s="78" t="s">
        <v>16</v>
      </c>
      <c r="F204" s="78" t="s">
        <v>406</v>
      </c>
      <c r="G204" s="130">
        <v>2500000</v>
      </c>
      <c r="H204" s="130">
        <v>25000000</v>
      </c>
      <c r="I204" s="130">
        <v>0</v>
      </c>
      <c r="J204" s="130">
        <v>0</v>
      </c>
      <c r="K204" s="78" t="s">
        <v>407</v>
      </c>
      <c r="L204" s="131">
        <v>0.19889999999999999</v>
      </c>
      <c r="M204" s="131">
        <v>0.1</v>
      </c>
      <c r="N204" s="124">
        <v>1710.5150000000001</v>
      </c>
      <c r="O204" s="124">
        <v>1224.674</v>
      </c>
      <c r="P204" s="124">
        <v>2392.712</v>
      </c>
    </row>
    <row r="205" spans="2:16" x14ac:dyDescent="0.25">
      <c r="B205" s="78">
        <v>436194</v>
      </c>
      <c r="C205" s="78" t="s">
        <v>94</v>
      </c>
      <c r="D205" s="78" t="s">
        <v>349</v>
      </c>
      <c r="E205" s="78" t="s">
        <v>16</v>
      </c>
      <c r="F205" s="78" t="s">
        <v>350</v>
      </c>
      <c r="G205" s="130">
        <v>3000000</v>
      </c>
      <c r="H205" s="130">
        <v>20000000</v>
      </c>
      <c r="I205" s="130">
        <v>0</v>
      </c>
      <c r="J205" s="130">
        <v>0</v>
      </c>
      <c r="K205" s="78" t="s">
        <v>122</v>
      </c>
      <c r="L205" s="131">
        <v>1.0509273699999999</v>
      </c>
      <c r="M205" s="131">
        <v>0.15</v>
      </c>
      <c r="N205" s="124">
        <v>859.76099999999997</v>
      </c>
      <c r="O205" s="124">
        <v>2005.671</v>
      </c>
      <c r="P205" s="124">
        <v>2450.7539999999999</v>
      </c>
    </row>
    <row r="206" spans="2:16" x14ac:dyDescent="0.25">
      <c r="B206" s="78">
        <v>124</v>
      </c>
      <c r="C206" s="78" t="s">
        <v>92</v>
      </c>
      <c r="D206" s="78" t="s">
        <v>220</v>
      </c>
      <c r="E206" s="78" t="s">
        <v>16</v>
      </c>
      <c r="F206" s="78" t="s">
        <v>220</v>
      </c>
      <c r="G206" s="130">
        <v>83656552.490421593</v>
      </c>
      <c r="H206" s="130">
        <v>0</v>
      </c>
      <c r="I206" s="130">
        <v>0</v>
      </c>
      <c r="J206" s="130">
        <v>0</v>
      </c>
      <c r="K206" s="78" t="s">
        <v>44</v>
      </c>
      <c r="L206" s="131">
        <v>0</v>
      </c>
      <c r="M206" s="131">
        <v>1</v>
      </c>
      <c r="N206" s="124">
        <v>1854.6303949999999</v>
      </c>
      <c r="O206" s="124">
        <v>1146.8658720000001</v>
      </c>
      <c r="P206" s="124">
        <v>2140.736891</v>
      </c>
    </row>
    <row r="207" spans="2:16" x14ac:dyDescent="0.25">
      <c r="B207" s="78">
        <v>434244</v>
      </c>
      <c r="C207" s="78" t="s">
        <v>21</v>
      </c>
      <c r="D207" s="78" t="s">
        <v>188</v>
      </c>
      <c r="E207" s="78" t="s">
        <v>14</v>
      </c>
      <c r="F207" s="78" t="s">
        <v>189</v>
      </c>
      <c r="G207" s="130">
        <v>4500000</v>
      </c>
      <c r="H207" s="130">
        <v>150000000</v>
      </c>
      <c r="I207" s="130">
        <v>0</v>
      </c>
      <c r="J207" s="130">
        <v>0</v>
      </c>
      <c r="K207" s="78" t="s">
        <v>161</v>
      </c>
      <c r="L207" s="131">
        <v>1.36166667</v>
      </c>
      <c r="M207" s="131">
        <v>0.03</v>
      </c>
      <c r="N207" s="124">
        <v>1561.6965</v>
      </c>
      <c r="O207" s="124">
        <v>1427.9232</v>
      </c>
      <c r="P207" s="124">
        <v>2075.1950999999999</v>
      </c>
    </row>
    <row r="208" spans="2:16" x14ac:dyDescent="0.25">
      <c r="B208" s="78">
        <v>429399</v>
      </c>
      <c r="C208" s="78" t="s">
        <v>45</v>
      </c>
      <c r="D208" s="78" t="s">
        <v>296</v>
      </c>
      <c r="E208" s="78" t="s">
        <v>16</v>
      </c>
      <c r="F208" s="78" t="s">
        <v>297</v>
      </c>
      <c r="G208" s="130">
        <v>15000000</v>
      </c>
      <c r="H208" s="130">
        <v>500000000</v>
      </c>
      <c r="I208" s="130">
        <v>0</v>
      </c>
      <c r="J208" s="130">
        <v>0</v>
      </c>
      <c r="K208" s="78" t="s">
        <v>298</v>
      </c>
      <c r="L208" s="131">
        <v>2.1080000000000002E-2</v>
      </c>
      <c r="M208" s="131">
        <v>0.03</v>
      </c>
      <c r="N208" s="124">
        <v>2180.6147999999998</v>
      </c>
      <c r="O208" s="124">
        <v>512.93939999999998</v>
      </c>
      <c r="P208" s="124">
        <v>2263.674</v>
      </c>
    </row>
    <row r="209" spans="2:16" x14ac:dyDescent="0.25">
      <c r="B209" s="78">
        <v>431322</v>
      </c>
      <c r="C209" s="78" t="s">
        <v>94</v>
      </c>
      <c r="D209" s="78" t="s">
        <v>269</v>
      </c>
      <c r="E209" s="78" t="s">
        <v>16</v>
      </c>
      <c r="F209" s="78" t="s">
        <v>351</v>
      </c>
      <c r="G209" s="130">
        <v>127842</v>
      </c>
      <c r="H209" s="130">
        <v>2556840</v>
      </c>
      <c r="I209" s="130">
        <v>0</v>
      </c>
      <c r="J209" s="130">
        <v>0</v>
      </c>
      <c r="K209" s="78" t="s">
        <v>352</v>
      </c>
      <c r="L209" s="131">
        <v>1.2004377500000001</v>
      </c>
      <c r="M209" s="131">
        <v>0.05</v>
      </c>
      <c r="N209" s="124">
        <v>700.60149999999999</v>
      </c>
      <c r="O209" s="124">
        <v>1520.7929999999999</v>
      </c>
      <c r="P209" s="124">
        <v>2543.2235000000001</v>
      </c>
    </row>
    <row r="210" spans="2:16" x14ac:dyDescent="0.25">
      <c r="B210" s="78">
        <v>446934</v>
      </c>
      <c r="C210" s="78" t="s">
        <v>12</v>
      </c>
      <c r="D210" s="78" t="s">
        <v>473</v>
      </c>
      <c r="E210" s="78" t="s">
        <v>16</v>
      </c>
      <c r="F210" s="78" t="s">
        <v>474</v>
      </c>
      <c r="G210" s="130">
        <v>375000</v>
      </c>
      <c r="H210" s="130">
        <v>5000000</v>
      </c>
      <c r="I210" s="130">
        <v>0</v>
      </c>
      <c r="J210" s="130">
        <v>0</v>
      </c>
      <c r="K210" s="78" t="s">
        <v>475</v>
      </c>
      <c r="L210" s="131">
        <v>0.56998199999999999</v>
      </c>
      <c r="M210" s="131">
        <v>7.4999999999999997E-2</v>
      </c>
      <c r="N210" s="124">
        <v>1092.5654999999999</v>
      </c>
      <c r="O210" s="124">
        <v>1443.7995000000001</v>
      </c>
      <c r="P210" s="124">
        <v>2170.5187500000002</v>
      </c>
    </row>
    <row r="211" spans="2:16" x14ac:dyDescent="0.25">
      <c r="B211" s="78">
        <v>431335</v>
      </c>
      <c r="C211" s="78" t="s">
        <v>94</v>
      </c>
      <c r="D211" s="78" t="s">
        <v>255</v>
      </c>
      <c r="E211" s="78" t="s">
        <v>16</v>
      </c>
      <c r="F211" s="78" t="s">
        <v>285</v>
      </c>
      <c r="G211" s="130">
        <v>3150000</v>
      </c>
      <c r="H211" s="130">
        <v>21000000</v>
      </c>
      <c r="I211" s="130">
        <v>0</v>
      </c>
      <c r="J211" s="130">
        <v>0</v>
      </c>
      <c r="K211" s="78" t="s">
        <v>286</v>
      </c>
      <c r="L211" s="131">
        <v>0.35020680999999998</v>
      </c>
      <c r="M211" s="131">
        <v>0.15</v>
      </c>
      <c r="N211" s="124">
        <v>1404.558</v>
      </c>
      <c r="O211" s="124">
        <v>1233.3495</v>
      </c>
      <c r="P211" s="124">
        <v>2019.2325000000001</v>
      </c>
    </row>
    <row r="212" spans="2:16" x14ac:dyDescent="0.25">
      <c r="B212" s="78">
        <v>445992</v>
      </c>
      <c r="C212" s="78" t="s">
        <v>94</v>
      </c>
      <c r="D212" s="78" t="s">
        <v>440</v>
      </c>
      <c r="E212" s="78" t="s">
        <v>16</v>
      </c>
      <c r="F212" s="78" t="s">
        <v>506</v>
      </c>
      <c r="G212" s="130">
        <v>20000000</v>
      </c>
      <c r="H212" s="130">
        <v>250000000</v>
      </c>
      <c r="I212" s="130">
        <v>0</v>
      </c>
      <c r="J212" s="130">
        <v>0</v>
      </c>
      <c r="K212" s="78" t="s">
        <v>507</v>
      </c>
      <c r="L212" s="131">
        <v>0.05</v>
      </c>
      <c r="M212" s="131">
        <v>0.08</v>
      </c>
      <c r="N212" s="124">
        <v>1158.8992000000001</v>
      </c>
      <c r="O212" s="124">
        <v>1604.3720000000001</v>
      </c>
      <c r="P212" s="124">
        <v>1568.992</v>
      </c>
    </row>
    <row r="213" spans="2:16" x14ac:dyDescent="0.25">
      <c r="B213" s="78">
        <v>358590</v>
      </c>
      <c r="C213" s="78" t="s">
        <v>127</v>
      </c>
      <c r="D213" s="78" t="s">
        <v>258</v>
      </c>
      <c r="E213" s="78" t="s">
        <v>14</v>
      </c>
      <c r="F213" s="78" t="s">
        <v>259</v>
      </c>
      <c r="G213" s="130">
        <v>45172943.490000002</v>
      </c>
      <c r="H213" s="130">
        <v>45172943.490000002</v>
      </c>
      <c r="I213" s="130">
        <v>0</v>
      </c>
      <c r="J213" s="130">
        <v>0</v>
      </c>
      <c r="K213" s="78" t="s">
        <v>14</v>
      </c>
      <c r="L213" s="131">
        <v>1.77097E-3</v>
      </c>
      <c r="M213" s="131">
        <v>1</v>
      </c>
      <c r="N213" s="124">
        <v>889.69</v>
      </c>
      <c r="O213" s="124">
        <v>1214.73</v>
      </c>
      <c r="P213" s="124">
        <v>1884.28</v>
      </c>
    </row>
    <row r="214" spans="2:16" x14ac:dyDescent="0.25">
      <c r="B214" s="78">
        <v>105</v>
      </c>
      <c r="C214" s="78" t="s">
        <v>86</v>
      </c>
      <c r="D214" s="78" t="s">
        <v>217</v>
      </c>
      <c r="E214" s="78" t="s">
        <v>16</v>
      </c>
      <c r="F214" s="78" t="s">
        <v>217</v>
      </c>
      <c r="G214" s="130">
        <v>212006444.00703099</v>
      </c>
      <c r="H214" s="130">
        <v>0</v>
      </c>
      <c r="I214" s="130">
        <v>0</v>
      </c>
      <c r="J214" s="130">
        <v>0</v>
      </c>
      <c r="K214" s="78" t="s">
        <v>44</v>
      </c>
      <c r="L214" s="131">
        <v>0</v>
      </c>
      <c r="M214" s="131">
        <v>1</v>
      </c>
      <c r="N214" s="124">
        <v>1197.057288</v>
      </c>
      <c r="O214" s="124">
        <v>1251.0961689999999</v>
      </c>
      <c r="P214" s="124">
        <v>1286.604206</v>
      </c>
    </row>
    <row r="215" spans="2:16" x14ac:dyDescent="0.25">
      <c r="B215" s="78">
        <v>445988</v>
      </c>
      <c r="C215" s="78" t="s">
        <v>94</v>
      </c>
      <c r="D215" s="78" t="s">
        <v>491</v>
      </c>
      <c r="E215" s="78" t="s">
        <v>16</v>
      </c>
      <c r="F215" s="78" t="s">
        <v>505</v>
      </c>
      <c r="G215" s="130">
        <v>746029.98149999999</v>
      </c>
      <c r="H215" s="130">
        <v>14920599.630000001</v>
      </c>
      <c r="I215" s="130">
        <v>0</v>
      </c>
      <c r="J215" s="130">
        <v>0</v>
      </c>
      <c r="K215" s="78" t="s">
        <v>341</v>
      </c>
      <c r="L215" s="131">
        <v>4.6618E-2</v>
      </c>
      <c r="M215" s="131">
        <v>0.05</v>
      </c>
      <c r="N215" s="124">
        <v>465.20949999999999</v>
      </c>
      <c r="O215" s="124">
        <v>1095.627</v>
      </c>
      <c r="P215" s="124">
        <v>2158.0369999999998</v>
      </c>
    </row>
    <row r="216" spans="2:16" x14ac:dyDescent="0.25">
      <c r="B216" s="78">
        <v>485340</v>
      </c>
      <c r="C216" s="78" t="s">
        <v>95</v>
      </c>
      <c r="D216" s="78" t="s">
        <v>711</v>
      </c>
      <c r="E216" s="78" t="s">
        <v>14</v>
      </c>
      <c r="F216" s="78" t="s">
        <v>712</v>
      </c>
      <c r="G216" s="130">
        <v>5000100</v>
      </c>
      <c r="H216" s="130">
        <v>30000000</v>
      </c>
      <c r="I216" s="130">
        <v>0</v>
      </c>
      <c r="J216" s="130">
        <v>0</v>
      </c>
      <c r="K216" s="78" t="s">
        <v>122</v>
      </c>
      <c r="L216" s="131">
        <v>1.4316984699999999</v>
      </c>
      <c r="M216" s="131">
        <v>0.16667000000000001</v>
      </c>
      <c r="N216" s="124"/>
      <c r="O216" s="124">
        <v>431.48029609999998</v>
      </c>
      <c r="P216" s="124">
        <v>3195.4622413000002</v>
      </c>
    </row>
    <row r="217" spans="2:16" x14ac:dyDescent="0.25">
      <c r="B217" s="78">
        <v>477692</v>
      </c>
      <c r="C217" s="78" t="s">
        <v>45</v>
      </c>
      <c r="D217" s="78" t="s">
        <v>781</v>
      </c>
      <c r="E217" s="78" t="s">
        <v>16</v>
      </c>
      <c r="F217" s="78" t="s">
        <v>782</v>
      </c>
      <c r="G217" s="130">
        <v>2000000</v>
      </c>
      <c r="H217" s="130">
        <v>20000000</v>
      </c>
      <c r="I217" s="130">
        <v>0</v>
      </c>
      <c r="J217" s="130">
        <v>0</v>
      </c>
      <c r="K217" s="78" t="s">
        <v>248</v>
      </c>
      <c r="L217" s="131">
        <v>0.53041799999999995</v>
      </c>
      <c r="M217" s="131">
        <v>0.1</v>
      </c>
      <c r="N217" s="124">
        <v>1005.831</v>
      </c>
      <c r="O217" s="124">
        <v>1121.9100000000001</v>
      </c>
      <c r="P217" s="124">
        <v>1411.145</v>
      </c>
    </row>
    <row r="218" spans="2:16" x14ac:dyDescent="0.25">
      <c r="B218" s="78">
        <v>437878</v>
      </c>
      <c r="C218" s="78" t="s">
        <v>45</v>
      </c>
      <c r="D218" s="78" t="s">
        <v>355</v>
      </c>
      <c r="E218" s="78" t="s">
        <v>16</v>
      </c>
      <c r="F218" s="78" t="s">
        <v>356</v>
      </c>
      <c r="G218" s="130">
        <v>1500000</v>
      </c>
      <c r="H218" s="130">
        <v>10000000</v>
      </c>
      <c r="I218" s="130">
        <v>0</v>
      </c>
      <c r="J218" s="130">
        <v>0</v>
      </c>
      <c r="K218" s="78" t="s">
        <v>357</v>
      </c>
      <c r="L218" s="131">
        <v>0.10790130000000001</v>
      </c>
      <c r="M218" s="131">
        <v>0.15</v>
      </c>
      <c r="N218" s="124">
        <v>1555.1804999999999</v>
      </c>
      <c r="O218" s="124">
        <v>771.495</v>
      </c>
      <c r="P218" s="124">
        <v>1004.61</v>
      </c>
    </row>
    <row r="219" spans="2:16" x14ac:dyDescent="0.25">
      <c r="B219" s="78">
        <v>424585</v>
      </c>
      <c r="C219" s="78" t="s">
        <v>94</v>
      </c>
      <c r="D219" s="78" t="s">
        <v>282</v>
      </c>
      <c r="E219" s="78" t="s">
        <v>16</v>
      </c>
      <c r="F219" s="78" t="s">
        <v>283</v>
      </c>
      <c r="G219" s="130">
        <v>1800000</v>
      </c>
      <c r="H219" s="130">
        <v>20000000</v>
      </c>
      <c r="I219" s="130">
        <v>0</v>
      </c>
      <c r="J219" s="130">
        <v>0</v>
      </c>
      <c r="K219" s="78" t="s">
        <v>284</v>
      </c>
      <c r="L219" s="131">
        <v>0.14499999999999999</v>
      </c>
      <c r="M219" s="131">
        <v>0.09</v>
      </c>
      <c r="N219" s="124">
        <v>762.7509</v>
      </c>
      <c r="O219" s="124">
        <v>1222.5879</v>
      </c>
      <c r="P219" s="124">
        <v>1273.2849000000001</v>
      </c>
    </row>
    <row r="220" spans="2:16" x14ac:dyDescent="0.25">
      <c r="B220" s="78">
        <v>422403</v>
      </c>
      <c r="C220" s="78" t="s">
        <v>45</v>
      </c>
      <c r="D220" s="78" t="s">
        <v>316</v>
      </c>
      <c r="E220" s="78" t="s">
        <v>14</v>
      </c>
      <c r="F220" s="78" t="s">
        <v>317</v>
      </c>
      <c r="G220" s="130">
        <v>4500000</v>
      </c>
      <c r="H220" s="130">
        <v>30000000</v>
      </c>
      <c r="I220" s="130">
        <v>0</v>
      </c>
      <c r="J220" s="130">
        <v>0</v>
      </c>
      <c r="K220" s="78" t="s">
        <v>14</v>
      </c>
      <c r="L220" s="131">
        <v>0.15728167000000001</v>
      </c>
      <c r="M220" s="131">
        <v>0.15</v>
      </c>
      <c r="N220" s="124">
        <v>1061.3834999999999</v>
      </c>
      <c r="O220" s="124">
        <v>712.74900000000002</v>
      </c>
      <c r="P220" s="124">
        <v>1413.1365000000001</v>
      </c>
    </row>
    <row r="221" spans="2:16" x14ac:dyDescent="0.25">
      <c r="B221" s="78">
        <v>480746</v>
      </c>
      <c r="C221" s="78" t="s">
        <v>45</v>
      </c>
      <c r="D221" s="78" t="s">
        <v>669</v>
      </c>
      <c r="E221" s="78" t="s">
        <v>16</v>
      </c>
      <c r="F221" s="78" t="s">
        <v>670</v>
      </c>
      <c r="G221" s="130">
        <v>300000</v>
      </c>
      <c r="H221" s="130">
        <v>3000000</v>
      </c>
      <c r="I221" s="130">
        <v>0</v>
      </c>
      <c r="J221" s="130">
        <v>0</v>
      </c>
      <c r="K221" s="78" t="s">
        <v>403</v>
      </c>
      <c r="L221" s="131">
        <v>0.55000000000000004</v>
      </c>
      <c r="M221" s="131">
        <v>0.1</v>
      </c>
      <c r="N221" s="124">
        <v>279.08300000000003</v>
      </c>
      <c r="O221" s="124">
        <v>1139.3920000000001</v>
      </c>
      <c r="P221" s="124">
        <v>1646.8440000000001</v>
      </c>
    </row>
    <row r="222" spans="2:16" x14ac:dyDescent="0.25">
      <c r="B222" s="78">
        <v>478523</v>
      </c>
      <c r="C222" s="78" t="s">
        <v>21</v>
      </c>
      <c r="D222" s="78" t="s">
        <v>708</v>
      </c>
      <c r="E222" s="78" t="s">
        <v>14</v>
      </c>
      <c r="F222" s="78" t="s">
        <v>709</v>
      </c>
      <c r="G222" s="130">
        <v>9217500</v>
      </c>
      <c r="H222" s="130">
        <v>75000000</v>
      </c>
      <c r="I222" s="130">
        <v>0</v>
      </c>
      <c r="J222" s="130">
        <v>0</v>
      </c>
      <c r="K222" s="78" t="s">
        <v>710</v>
      </c>
      <c r="L222" s="131">
        <v>0.26666666999999999</v>
      </c>
      <c r="M222" s="131">
        <v>0.1229</v>
      </c>
      <c r="N222" s="124">
        <v>1071.799839</v>
      </c>
      <c r="O222" s="124">
        <v>683.46779300000003</v>
      </c>
      <c r="P222" s="124">
        <v>1309.8620550000001</v>
      </c>
    </row>
    <row r="223" spans="2:16" x14ac:dyDescent="0.25">
      <c r="B223" s="78">
        <v>480541</v>
      </c>
      <c r="C223" s="78" t="s">
        <v>95</v>
      </c>
      <c r="D223" s="78" t="s">
        <v>834</v>
      </c>
      <c r="E223" s="78" t="s">
        <v>14</v>
      </c>
      <c r="F223" s="78" t="s">
        <v>835</v>
      </c>
      <c r="G223" s="130">
        <v>17500000</v>
      </c>
      <c r="H223" s="130">
        <v>50000000</v>
      </c>
      <c r="I223" s="130">
        <v>0</v>
      </c>
      <c r="J223" s="130">
        <v>0</v>
      </c>
      <c r="K223" s="78" t="s">
        <v>122</v>
      </c>
      <c r="L223" s="131">
        <v>1.60806132</v>
      </c>
      <c r="M223" s="131">
        <v>0.35</v>
      </c>
      <c r="N223" s="124"/>
      <c r="O223" s="124">
        <v>2167.6550000000002</v>
      </c>
      <c r="P223" s="124">
        <v>801.24099999999999</v>
      </c>
    </row>
    <row r="224" spans="2:16" x14ac:dyDescent="0.25">
      <c r="B224" s="78">
        <v>427961</v>
      </c>
      <c r="C224" s="78" t="s">
        <v>94</v>
      </c>
      <c r="D224" s="78" t="s">
        <v>344</v>
      </c>
      <c r="E224" s="78" t="s">
        <v>16</v>
      </c>
      <c r="F224" s="78" t="s">
        <v>755</v>
      </c>
      <c r="G224" s="130">
        <v>200000</v>
      </c>
      <c r="H224" s="130">
        <v>10000000</v>
      </c>
      <c r="I224" s="130">
        <v>0</v>
      </c>
      <c r="J224" s="130">
        <v>0</v>
      </c>
      <c r="K224" s="78" t="s">
        <v>315</v>
      </c>
      <c r="L224" s="131">
        <v>0.40000011000000002</v>
      </c>
      <c r="M224" s="131">
        <v>0.02</v>
      </c>
      <c r="N224" s="124">
        <v>589.80280000000005</v>
      </c>
      <c r="O224" s="124">
        <v>1024.2008000000001</v>
      </c>
      <c r="P224" s="124">
        <v>1351.2750000000001</v>
      </c>
    </row>
    <row r="225" spans="2:16" x14ac:dyDescent="0.25">
      <c r="B225" s="78">
        <v>143</v>
      </c>
      <c r="C225" s="78" t="s">
        <v>45</v>
      </c>
      <c r="D225" s="78" t="s">
        <v>46</v>
      </c>
      <c r="E225" s="78" t="s">
        <v>16</v>
      </c>
      <c r="F225" s="78" t="s">
        <v>46</v>
      </c>
      <c r="G225" s="130">
        <v>89508914</v>
      </c>
      <c r="H225" s="130">
        <v>0</v>
      </c>
      <c r="I225" s="130">
        <v>0</v>
      </c>
      <c r="J225" s="130">
        <v>0</v>
      </c>
      <c r="K225" s="78" t="s">
        <v>44</v>
      </c>
      <c r="L225" s="131">
        <v>0</v>
      </c>
      <c r="M225" s="131">
        <v>1</v>
      </c>
      <c r="N225" s="124">
        <v>624.11594000000002</v>
      </c>
      <c r="O225" s="124">
        <v>993.83358799999996</v>
      </c>
      <c r="P225" s="124">
        <v>1331.0809879999999</v>
      </c>
    </row>
    <row r="226" spans="2:16" x14ac:dyDescent="0.25">
      <c r="B226" s="78">
        <v>119</v>
      </c>
      <c r="C226" s="78" t="s">
        <v>42</v>
      </c>
      <c r="D226" s="78" t="s">
        <v>43</v>
      </c>
      <c r="E226" s="78" t="s">
        <v>16</v>
      </c>
      <c r="F226" s="78" t="s">
        <v>43</v>
      </c>
      <c r="G226" s="130">
        <v>140720073.28258401</v>
      </c>
      <c r="H226" s="130">
        <v>0</v>
      </c>
      <c r="I226" s="130">
        <v>0</v>
      </c>
      <c r="J226" s="130">
        <v>0</v>
      </c>
      <c r="K226" s="78" t="s">
        <v>44</v>
      </c>
      <c r="L226" s="131">
        <v>0</v>
      </c>
      <c r="M226" s="131">
        <v>1</v>
      </c>
      <c r="N226" s="124">
        <v>479.00592899999998</v>
      </c>
      <c r="O226" s="124">
        <v>1071.8739129999999</v>
      </c>
      <c r="P226" s="124">
        <v>1390.456747</v>
      </c>
    </row>
    <row r="227" spans="2:16" x14ac:dyDescent="0.25">
      <c r="B227" s="78">
        <v>445340</v>
      </c>
      <c r="C227" s="78" t="s">
        <v>94</v>
      </c>
      <c r="D227" s="78" t="s">
        <v>416</v>
      </c>
      <c r="E227" s="78" t="s">
        <v>16</v>
      </c>
      <c r="F227" s="78" t="s">
        <v>487</v>
      </c>
      <c r="G227" s="130">
        <v>6750000</v>
      </c>
      <c r="H227" s="130">
        <v>225000000</v>
      </c>
      <c r="I227" s="130">
        <v>0</v>
      </c>
      <c r="J227" s="130">
        <v>0</v>
      </c>
      <c r="K227" s="78" t="s">
        <v>488</v>
      </c>
      <c r="L227" s="131">
        <v>8.777778E-2</v>
      </c>
      <c r="M227" s="131">
        <v>0.03</v>
      </c>
      <c r="N227" s="124">
        <v>898.06859999999995</v>
      </c>
      <c r="O227" s="124">
        <v>333.71429999999998</v>
      </c>
      <c r="P227" s="124">
        <v>1705.8518999999999</v>
      </c>
    </row>
    <row r="228" spans="2:16" x14ac:dyDescent="0.25">
      <c r="B228" s="78">
        <v>436537</v>
      </c>
      <c r="C228" s="78" t="s">
        <v>94</v>
      </c>
      <c r="D228" s="78" t="s">
        <v>445</v>
      </c>
      <c r="E228" s="78" t="s">
        <v>16</v>
      </c>
      <c r="F228" s="78" t="s">
        <v>453</v>
      </c>
      <c r="G228" s="130">
        <v>20000000</v>
      </c>
      <c r="H228" s="130">
        <v>200000000</v>
      </c>
      <c r="I228" s="130">
        <v>0</v>
      </c>
      <c r="J228" s="130">
        <v>0</v>
      </c>
      <c r="K228" s="78" t="s">
        <v>122</v>
      </c>
      <c r="L228" s="131">
        <v>6.5000000000000002E-2</v>
      </c>
      <c r="M228" s="131">
        <v>0.1</v>
      </c>
      <c r="N228" s="124">
        <v>523.91800000000001</v>
      </c>
      <c r="O228" s="124">
        <v>1359.8</v>
      </c>
      <c r="P228" s="124">
        <v>1036.396</v>
      </c>
    </row>
    <row r="229" spans="2:16" x14ac:dyDescent="0.25">
      <c r="B229" s="78">
        <v>445970</v>
      </c>
      <c r="C229" s="78" t="s">
        <v>94</v>
      </c>
      <c r="D229" s="78" t="s">
        <v>470</v>
      </c>
      <c r="E229" s="78" t="s">
        <v>16</v>
      </c>
      <c r="F229" s="78" t="s">
        <v>476</v>
      </c>
      <c r="G229" s="130">
        <v>1000000</v>
      </c>
      <c r="H229" s="130">
        <v>20000000</v>
      </c>
      <c r="I229" s="130">
        <v>0</v>
      </c>
      <c r="J229" s="130">
        <v>0</v>
      </c>
      <c r="K229" s="78" t="s">
        <v>477</v>
      </c>
      <c r="L229" s="131">
        <v>7.9989749999999998E-2</v>
      </c>
      <c r="M229" s="131">
        <v>0.05</v>
      </c>
      <c r="N229" s="124">
        <v>772.46950000000004</v>
      </c>
      <c r="O229" s="124">
        <v>817.06200000000001</v>
      </c>
      <c r="P229" s="124">
        <v>1228.0899999999999</v>
      </c>
    </row>
    <row r="230" spans="2:16" x14ac:dyDescent="0.25">
      <c r="B230" s="78">
        <v>480232</v>
      </c>
      <c r="C230" s="78" t="s">
        <v>94</v>
      </c>
      <c r="D230" s="78" t="s">
        <v>783</v>
      </c>
      <c r="E230" s="78" t="s">
        <v>16</v>
      </c>
      <c r="F230" s="78" t="s">
        <v>784</v>
      </c>
      <c r="G230" s="130">
        <v>473527.0416</v>
      </c>
      <c r="H230" s="130">
        <v>5919088.0199999996</v>
      </c>
      <c r="I230" s="130">
        <v>0</v>
      </c>
      <c r="J230" s="130">
        <v>0</v>
      </c>
      <c r="K230" s="78" t="s">
        <v>122</v>
      </c>
      <c r="L230" s="131">
        <v>0.2475</v>
      </c>
      <c r="M230" s="131">
        <v>0.08</v>
      </c>
      <c r="N230" s="124">
        <v>1640.8815999999999</v>
      </c>
      <c r="O230" s="124">
        <v>182.36959999999999</v>
      </c>
      <c r="P230" s="124">
        <v>855.3664</v>
      </c>
    </row>
    <row r="231" spans="2:16" x14ac:dyDescent="0.25">
      <c r="B231" s="78">
        <v>117</v>
      </c>
      <c r="C231" s="78" t="s">
        <v>42</v>
      </c>
      <c r="D231" s="78" t="s">
        <v>43</v>
      </c>
      <c r="E231" s="78" t="s">
        <v>16</v>
      </c>
      <c r="F231" s="78" t="s">
        <v>43</v>
      </c>
      <c r="G231" s="130">
        <v>166785782.88660601</v>
      </c>
      <c r="H231" s="130">
        <v>0</v>
      </c>
      <c r="I231" s="130">
        <v>0</v>
      </c>
      <c r="J231" s="130">
        <v>0</v>
      </c>
      <c r="K231" s="78" t="s">
        <v>44</v>
      </c>
      <c r="L231" s="131">
        <v>0</v>
      </c>
      <c r="M231" s="131">
        <v>1</v>
      </c>
      <c r="N231" s="124">
        <v>560.78801599999997</v>
      </c>
      <c r="O231" s="124">
        <v>1095.0186289999999</v>
      </c>
      <c r="P231" s="124">
        <v>922.94812000000002</v>
      </c>
    </row>
    <row r="232" spans="2:16" x14ac:dyDescent="0.25">
      <c r="B232" s="78">
        <v>112</v>
      </c>
      <c r="C232" s="78" t="s">
        <v>42</v>
      </c>
      <c r="D232" s="78" t="s">
        <v>43</v>
      </c>
      <c r="E232" s="78" t="s">
        <v>16</v>
      </c>
      <c r="F232" s="78" t="s">
        <v>43</v>
      </c>
      <c r="G232" s="130">
        <v>689002647.25189602</v>
      </c>
      <c r="H232" s="130">
        <v>0</v>
      </c>
      <c r="I232" s="130">
        <v>0</v>
      </c>
      <c r="J232" s="130">
        <v>0</v>
      </c>
      <c r="K232" s="78" t="s">
        <v>44</v>
      </c>
      <c r="L232" s="131">
        <v>0</v>
      </c>
      <c r="M232" s="131">
        <v>1</v>
      </c>
      <c r="N232" s="124">
        <v>847.83205099999998</v>
      </c>
      <c r="O232" s="124">
        <v>821.94317699999999</v>
      </c>
      <c r="P232" s="124">
        <v>858.55448799999999</v>
      </c>
    </row>
    <row r="233" spans="2:16" x14ac:dyDescent="0.25">
      <c r="B233" s="78">
        <v>445706</v>
      </c>
      <c r="C233" s="78" t="s">
        <v>94</v>
      </c>
      <c r="D233" s="78" t="s">
        <v>430</v>
      </c>
      <c r="E233" s="78" t="s">
        <v>16</v>
      </c>
      <c r="F233" s="78" t="s">
        <v>496</v>
      </c>
      <c r="G233" s="130">
        <v>750000</v>
      </c>
      <c r="H233" s="130">
        <v>25000000</v>
      </c>
      <c r="I233" s="130">
        <v>0</v>
      </c>
      <c r="J233" s="130">
        <v>0</v>
      </c>
      <c r="K233" s="78" t="s">
        <v>407</v>
      </c>
      <c r="L233" s="131">
        <v>0.27</v>
      </c>
      <c r="M233" s="131">
        <v>0.03</v>
      </c>
      <c r="N233" s="124">
        <v>908.6223</v>
      </c>
      <c r="O233" s="124">
        <v>409.03710000000001</v>
      </c>
      <c r="P233" s="124">
        <v>1088.0613000000001</v>
      </c>
    </row>
    <row r="234" spans="2:16" x14ac:dyDescent="0.25">
      <c r="B234" s="78">
        <v>431319</v>
      </c>
      <c r="C234" s="78" t="s">
        <v>94</v>
      </c>
      <c r="D234" s="78" t="s">
        <v>269</v>
      </c>
      <c r="E234" s="78" t="s">
        <v>16</v>
      </c>
      <c r="F234" s="78" t="s">
        <v>270</v>
      </c>
      <c r="G234" s="130">
        <v>817989.91020000004</v>
      </c>
      <c r="H234" s="130">
        <v>9088776.7799999993</v>
      </c>
      <c r="I234" s="130">
        <v>0</v>
      </c>
      <c r="J234" s="130">
        <v>0</v>
      </c>
      <c r="K234" s="78" t="s">
        <v>271</v>
      </c>
      <c r="L234" s="131">
        <v>1.07922893</v>
      </c>
      <c r="M234" s="131">
        <v>0.09</v>
      </c>
      <c r="N234" s="124">
        <v>286.97129999999999</v>
      </c>
      <c r="O234" s="124">
        <v>896.85630000000003</v>
      </c>
      <c r="P234" s="124">
        <v>1190.4138</v>
      </c>
    </row>
    <row r="235" spans="2:16" x14ac:dyDescent="0.25">
      <c r="B235" s="78">
        <v>435795</v>
      </c>
      <c r="C235" s="78" t="s">
        <v>94</v>
      </c>
      <c r="D235" s="78" t="s">
        <v>167</v>
      </c>
      <c r="E235" s="78" t="s">
        <v>16</v>
      </c>
      <c r="F235" s="78" t="s">
        <v>338</v>
      </c>
      <c r="G235" s="130">
        <v>3812500</v>
      </c>
      <c r="H235" s="130">
        <v>25000000</v>
      </c>
      <c r="I235" s="130">
        <v>0</v>
      </c>
      <c r="J235" s="130">
        <v>0</v>
      </c>
      <c r="K235" s="78" t="s">
        <v>122</v>
      </c>
      <c r="L235" s="131">
        <v>0.12600037</v>
      </c>
      <c r="M235" s="131">
        <v>0.1525</v>
      </c>
      <c r="N235" s="124">
        <v>556.17055000000005</v>
      </c>
      <c r="O235" s="124">
        <v>696.93872499999998</v>
      </c>
      <c r="P235" s="124">
        <v>1084.9780249999999</v>
      </c>
    </row>
    <row r="236" spans="2:16" x14ac:dyDescent="0.25">
      <c r="B236" s="78">
        <v>426751</v>
      </c>
      <c r="C236" s="78" t="s">
        <v>94</v>
      </c>
      <c r="D236" s="78" t="s">
        <v>306</v>
      </c>
      <c r="E236" s="78" t="s">
        <v>16</v>
      </c>
      <c r="F236" s="78" t="s">
        <v>754</v>
      </c>
      <c r="G236" s="130">
        <v>2000000</v>
      </c>
      <c r="H236" s="130">
        <v>20000000</v>
      </c>
      <c r="I236" s="130">
        <v>0</v>
      </c>
      <c r="J236" s="130">
        <v>0</v>
      </c>
      <c r="K236" s="78" t="s">
        <v>477</v>
      </c>
      <c r="L236" s="131">
        <v>0.22499390999999999</v>
      </c>
      <c r="M236" s="131">
        <v>0.1</v>
      </c>
      <c r="N236" s="124">
        <v>961.77700000000004</v>
      </c>
      <c r="O236" s="124">
        <v>374.322</v>
      </c>
      <c r="P236" s="124">
        <v>932.75</v>
      </c>
    </row>
    <row r="237" spans="2:16" x14ac:dyDescent="0.25">
      <c r="B237" s="78">
        <v>431332</v>
      </c>
      <c r="C237" s="78" t="s">
        <v>94</v>
      </c>
      <c r="D237" s="78" t="s">
        <v>255</v>
      </c>
      <c r="E237" s="78" t="s">
        <v>16</v>
      </c>
      <c r="F237" s="78" t="s">
        <v>256</v>
      </c>
      <c r="G237" s="130">
        <v>1000000</v>
      </c>
      <c r="H237" s="130">
        <v>10000000</v>
      </c>
      <c r="I237" s="130">
        <v>0</v>
      </c>
      <c r="J237" s="130">
        <v>0</v>
      </c>
      <c r="K237" s="78" t="s">
        <v>257</v>
      </c>
      <c r="L237" s="131">
        <v>0.32499810000000001</v>
      </c>
      <c r="M237" s="131">
        <v>0.1</v>
      </c>
      <c r="N237" s="124">
        <v>352.012</v>
      </c>
      <c r="O237" s="124">
        <v>787.88599999999997</v>
      </c>
      <c r="P237" s="124">
        <v>1078.8810000000001</v>
      </c>
    </row>
    <row r="238" spans="2:16" x14ac:dyDescent="0.25">
      <c r="B238" s="78">
        <v>479985</v>
      </c>
      <c r="C238" s="78" t="s">
        <v>94</v>
      </c>
      <c r="D238" s="78" t="s">
        <v>661</v>
      </c>
      <c r="E238" s="78" t="s">
        <v>16</v>
      </c>
      <c r="F238" s="78" t="s">
        <v>662</v>
      </c>
      <c r="G238" s="130">
        <v>1200000</v>
      </c>
      <c r="H238" s="130">
        <v>12000000</v>
      </c>
      <c r="I238" s="130">
        <v>0</v>
      </c>
      <c r="J238" s="130">
        <v>0</v>
      </c>
      <c r="K238" s="78" t="s">
        <v>493</v>
      </c>
      <c r="L238" s="131">
        <v>0.45</v>
      </c>
      <c r="M238" s="131">
        <v>0.1</v>
      </c>
      <c r="N238" s="124">
        <v>58.533999999999999</v>
      </c>
      <c r="O238" s="124">
        <v>693.85199999999998</v>
      </c>
      <c r="P238" s="124">
        <v>1414.81</v>
      </c>
    </row>
    <row r="239" spans="2:16" x14ac:dyDescent="0.25">
      <c r="B239" s="78">
        <v>126</v>
      </c>
      <c r="C239" s="78" t="s">
        <v>92</v>
      </c>
      <c r="D239" s="78" t="s">
        <v>220</v>
      </c>
      <c r="E239" s="78" t="s">
        <v>16</v>
      </c>
      <c r="F239" s="78" t="s">
        <v>220</v>
      </c>
      <c r="G239" s="130">
        <v>48587349.7713634</v>
      </c>
      <c r="H239" s="130">
        <v>0</v>
      </c>
      <c r="I239" s="130">
        <v>0</v>
      </c>
      <c r="J239" s="130">
        <v>0</v>
      </c>
      <c r="K239" s="78" t="s">
        <v>44</v>
      </c>
      <c r="L239" s="131">
        <v>0</v>
      </c>
      <c r="M239" s="131">
        <v>1</v>
      </c>
      <c r="N239" s="124">
        <v>589.15017799999998</v>
      </c>
      <c r="O239" s="124">
        <v>378.96783599999998</v>
      </c>
      <c r="P239" s="124">
        <v>1174.2232650000001</v>
      </c>
    </row>
    <row r="240" spans="2:16" x14ac:dyDescent="0.25">
      <c r="B240" s="78">
        <v>481424</v>
      </c>
      <c r="C240" s="78" t="s">
        <v>94</v>
      </c>
      <c r="D240" s="78" t="s">
        <v>778</v>
      </c>
      <c r="E240" s="78" t="s">
        <v>24</v>
      </c>
      <c r="F240" s="78" t="s">
        <v>779</v>
      </c>
      <c r="G240" s="130">
        <v>3200000</v>
      </c>
      <c r="H240" s="130">
        <v>160000000</v>
      </c>
      <c r="I240" s="130">
        <v>0</v>
      </c>
      <c r="J240" s="130">
        <v>0</v>
      </c>
      <c r="K240" s="78" t="s">
        <v>780</v>
      </c>
      <c r="L240" s="131">
        <v>0.25624999999999998</v>
      </c>
      <c r="M240" s="131">
        <v>0.02</v>
      </c>
      <c r="N240" s="124">
        <v>14.565799999999999</v>
      </c>
      <c r="O240" s="124">
        <v>870.26160000000004</v>
      </c>
      <c r="P240" s="124">
        <v>1255.5558000000001</v>
      </c>
    </row>
    <row r="241" spans="2:16" x14ac:dyDescent="0.25">
      <c r="B241" s="78">
        <v>288755</v>
      </c>
      <c r="C241" s="78" t="s">
        <v>87</v>
      </c>
      <c r="D241" s="78" t="s">
        <v>221</v>
      </c>
      <c r="E241" s="78" t="s">
        <v>14</v>
      </c>
      <c r="F241" s="78" t="s">
        <v>222</v>
      </c>
      <c r="G241" s="130">
        <v>11326690.76</v>
      </c>
      <c r="H241" s="130">
        <v>11326690.76</v>
      </c>
      <c r="I241" s="130">
        <v>0</v>
      </c>
      <c r="J241" s="130">
        <v>0</v>
      </c>
      <c r="K241" s="78" t="s">
        <v>14</v>
      </c>
      <c r="L241" s="131">
        <v>8.8287039999999997E-2</v>
      </c>
      <c r="M241" s="131">
        <v>1</v>
      </c>
      <c r="N241" s="124">
        <v>635.04</v>
      </c>
      <c r="O241" s="124">
        <v>783.58</v>
      </c>
      <c r="P241" s="124">
        <v>713.54</v>
      </c>
    </row>
    <row r="242" spans="2:16" x14ac:dyDescent="0.25">
      <c r="B242" s="78">
        <v>479558</v>
      </c>
      <c r="C242" s="78" t="s">
        <v>45</v>
      </c>
      <c r="D242" s="78" t="s">
        <v>643</v>
      </c>
      <c r="E242" s="78" t="s">
        <v>14</v>
      </c>
      <c r="F242" s="78" t="s">
        <v>644</v>
      </c>
      <c r="G242" s="130">
        <v>625000</v>
      </c>
      <c r="H242" s="130">
        <v>5000000</v>
      </c>
      <c r="I242" s="130">
        <v>0</v>
      </c>
      <c r="J242" s="130">
        <v>0</v>
      </c>
      <c r="K242" s="78" t="s">
        <v>645</v>
      </c>
      <c r="L242" s="131">
        <v>0.56000000000000005</v>
      </c>
      <c r="M242" s="131">
        <v>0.125</v>
      </c>
      <c r="N242" s="124">
        <v>356.93</v>
      </c>
      <c r="O242" s="124">
        <v>726.96624999999995</v>
      </c>
      <c r="P242" s="124">
        <v>1046.355</v>
      </c>
    </row>
    <row r="243" spans="2:16" x14ac:dyDescent="0.25">
      <c r="B243" s="78">
        <v>107</v>
      </c>
      <c r="C243" s="78" t="s">
        <v>86</v>
      </c>
      <c r="D243" s="78" t="s">
        <v>217</v>
      </c>
      <c r="E243" s="78" t="s">
        <v>16</v>
      </c>
      <c r="F243" s="78" t="s">
        <v>217</v>
      </c>
      <c r="G243" s="130">
        <v>112658565.33570901</v>
      </c>
      <c r="H243" s="130">
        <v>0</v>
      </c>
      <c r="I243" s="130">
        <v>0</v>
      </c>
      <c r="J243" s="130">
        <v>0</v>
      </c>
      <c r="K243" s="78" t="s">
        <v>44</v>
      </c>
      <c r="L243" s="131">
        <v>0</v>
      </c>
      <c r="M243" s="131">
        <v>1</v>
      </c>
      <c r="N243" s="124">
        <v>208.986806</v>
      </c>
      <c r="O243" s="124">
        <v>87.559991999999994</v>
      </c>
      <c r="P243" s="124">
        <v>1812.240691</v>
      </c>
    </row>
    <row r="244" spans="2:16" x14ac:dyDescent="0.25">
      <c r="B244" s="78">
        <v>450201</v>
      </c>
      <c r="C244" s="78" t="s">
        <v>42</v>
      </c>
      <c r="D244" s="78" t="s">
        <v>515</v>
      </c>
      <c r="E244" s="78" t="s">
        <v>14</v>
      </c>
      <c r="F244" s="78" t="s">
        <v>516</v>
      </c>
      <c r="G244" s="130">
        <v>16910088.359999999</v>
      </c>
      <c r="H244" s="130">
        <v>16910088.359999999</v>
      </c>
      <c r="I244" s="130">
        <v>0</v>
      </c>
      <c r="J244" s="130">
        <v>0</v>
      </c>
      <c r="K244" s="78" t="s">
        <v>14</v>
      </c>
      <c r="L244" s="131">
        <v>0.75715511999999996</v>
      </c>
      <c r="M244" s="131">
        <v>1</v>
      </c>
      <c r="N244" s="124">
        <v>485.59</v>
      </c>
      <c r="O244" s="124">
        <v>802.1</v>
      </c>
      <c r="P244" s="124">
        <v>792.7</v>
      </c>
    </row>
    <row r="245" spans="2:16" x14ac:dyDescent="0.25">
      <c r="B245" s="78">
        <v>443948</v>
      </c>
      <c r="C245" s="78" t="s">
        <v>45</v>
      </c>
      <c r="D245" s="78" t="s">
        <v>361</v>
      </c>
      <c r="E245" s="78" t="s">
        <v>16</v>
      </c>
      <c r="F245" s="78" t="s">
        <v>443</v>
      </c>
      <c r="G245" s="130">
        <v>6000000</v>
      </c>
      <c r="H245" s="130">
        <v>30000000</v>
      </c>
      <c r="I245" s="130">
        <v>0</v>
      </c>
      <c r="J245" s="130">
        <v>0</v>
      </c>
      <c r="K245" s="78" t="s">
        <v>444</v>
      </c>
      <c r="L245" s="131">
        <v>2.1666669999999999E-2</v>
      </c>
      <c r="M245" s="131">
        <v>0.2</v>
      </c>
      <c r="N245" s="124">
        <v>856.92</v>
      </c>
      <c r="O245" s="124">
        <v>603.39400000000001</v>
      </c>
      <c r="P245" s="124">
        <v>601.70399999999995</v>
      </c>
    </row>
    <row r="246" spans="2:16" x14ac:dyDescent="0.25">
      <c r="B246" s="78">
        <v>127</v>
      </c>
      <c r="C246" s="78" t="s">
        <v>92</v>
      </c>
      <c r="D246" s="78" t="s">
        <v>220</v>
      </c>
      <c r="E246" s="78" t="s">
        <v>16</v>
      </c>
      <c r="F246" s="78" t="s">
        <v>220</v>
      </c>
      <c r="G246" s="130">
        <v>84868955.288334802</v>
      </c>
      <c r="H246" s="130">
        <v>0</v>
      </c>
      <c r="I246" s="130">
        <v>0</v>
      </c>
      <c r="J246" s="130">
        <v>0</v>
      </c>
      <c r="K246" s="78" t="s">
        <v>44</v>
      </c>
      <c r="L246" s="131">
        <v>0</v>
      </c>
      <c r="M246" s="131">
        <v>1</v>
      </c>
      <c r="N246" s="124">
        <v>682.87352699999997</v>
      </c>
      <c r="O246" s="124">
        <v>523.79168000000004</v>
      </c>
      <c r="P246" s="124">
        <v>824.68761300000006</v>
      </c>
    </row>
    <row r="247" spans="2:16" x14ac:dyDescent="0.25">
      <c r="B247" s="78">
        <v>387391</v>
      </c>
      <c r="C247" s="78" t="s">
        <v>87</v>
      </c>
      <c r="D247" s="78" t="s">
        <v>151</v>
      </c>
      <c r="E247" s="78" t="s">
        <v>14</v>
      </c>
      <c r="F247" s="78" t="s">
        <v>152</v>
      </c>
      <c r="G247" s="130">
        <v>352227968.97000003</v>
      </c>
      <c r="H247" s="130">
        <v>352227968.97000003</v>
      </c>
      <c r="I247" s="130">
        <v>0</v>
      </c>
      <c r="J247" s="130">
        <v>0</v>
      </c>
      <c r="K247" s="78" t="s">
        <v>14</v>
      </c>
      <c r="L247" s="131">
        <v>2.83907E-3</v>
      </c>
      <c r="M247" s="131">
        <v>1</v>
      </c>
      <c r="N247" s="124">
        <v>362.67</v>
      </c>
      <c r="O247" s="124">
        <v>201.55</v>
      </c>
      <c r="P247" s="124">
        <v>1413.76</v>
      </c>
    </row>
    <row r="248" spans="2:16" x14ac:dyDescent="0.25">
      <c r="B248" s="78">
        <v>116</v>
      </c>
      <c r="C248" s="78" t="s">
        <v>42</v>
      </c>
      <c r="D248" s="78" t="s">
        <v>43</v>
      </c>
      <c r="E248" s="78" t="s">
        <v>16</v>
      </c>
      <c r="F248" s="78" t="s">
        <v>43</v>
      </c>
      <c r="G248" s="130">
        <v>88718863.125521794</v>
      </c>
      <c r="H248" s="130">
        <v>0</v>
      </c>
      <c r="I248" s="130">
        <v>0</v>
      </c>
      <c r="J248" s="130">
        <v>0</v>
      </c>
      <c r="K248" s="78" t="s">
        <v>44</v>
      </c>
      <c r="L248" s="131">
        <v>0</v>
      </c>
      <c r="M248" s="131">
        <v>1</v>
      </c>
      <c r="N248" s="124">
        <v>505.177256</v>
      </c>
      <c r="O248" s="124">
        <v>598.11015199999997</v>
      </c>
      <c r="P248" s="124">
        <v>824.451055</v>
      </c>
    </row>
    <row r="249" spans="2:16" x14ac:dyDescent="0.25">
      <c r="B249" s="78">
        <v>431800</v>
      </c>
      <c r="C249" s="78" t="s">
        <v>94</v>
      </c>
      <c r="D249" s="78" t="s">
        <v>272</v>
      </c>
      <c r="E249" s="78" t="s">
        <v>16</v>
      </c>
      <c r="F249" s="78" t="s">
        <v>273</v>
      </c>
      <c r="G249" s="130">
        <v>1500000</v>
      </c>
      <c r="H249" s="130">
        <v>15000000</v>
      </c>
      <c r="I249" s="130">
        <v>0</v>
      </c>
      <c r="J249" s="130">
        <v>0</v>
      </c>
      <c r="K249" s="78" t="s">
        <v>274</v>
      </c>
      <c r="L249" s="131">
        <v>0.27500000000000002</v>
      </c>
      <c r="M249" s="131">
        <v>0.1</v>
      </c>
      <c r="N249" s="124">
        <v>520.10400000000004</v>
      </c>
      <c r="O249" s="124">
        <v>647.71100000000001</v>
      </c>
      <c r="P249" s="124">
        <v>679.74400000000003</v>
      </c>
    </row>
    <row r="250" spans="2:16" x14ac:dyDescent="0.25">
      <c r="B250" s="78">
        <v>483561</v>
      </c>
      <c r="C250" s="78" t="s">
        <v>45</v>
      </c>
      <c r="D250" s="78" t="s">
        <v>772</v>
      </c>
      <c r="E250" s="78" t="s">
        <v>16</v>
      </c>
      <c r="F250" s="78" t="s">
        <v>773</v>
      </c>
      <c r="G250" s="130">
        <v>2250000</v>
      </c>
      <c r="H250" s="130">
        <v>30000000</v>
      </c>
      <c r="I250" s="130">
        <v>0</v>
      </c>
      <c r="J250" s="130">
        <v>0</v>
      </c>
      <c r="K250" s="78" t="s">
        <v>376</v>
      </c>
      <c r="L250" s="131">
        <v>1.43333333</v>
      </c>
      <c r="M250" s="131">
        <v>7.4999999999999997E-2</v>
      </c>
      <c r="N250" s="124">
        <v>291.10275000000001</v>
      </c>
      <c r="O250" s="124">
        <v>489.84449999999998</v>
      </c>
      <c r="P250" s="124">
        <v>978.25575000000003</v>
      </c>
    </row>
    <row r="251" spans="2:16" x14ac:dyDescent="0.25">
      <c r="B251" s="78">
        <v>446936</v>
      </c>
      <c r="C251" s="78" t="s">
        <v>12</v>
      </c>
      <c r="D251" s="78" t="s">
        <v>473</v>
      </c>
      <c r="E251" s="78" t="s">
        <v>16</v>
      </c>
      <c r="F251" s="78" t="s">
        <v>759</v>
      </c>
      <c r="G251" s="130">
        <v>1125000</v>
      </c>
      <c r="H251" s="130">
        <v>15000000</v>
      </c>
      <c r="I251" s="130">
        <v>0</v>
      </c>
      <c r="J251" s="130">
        <v>0</v>
      </c>
      <c r="K251" s="78" t="s">
        <v>760</v>
      </c>
      <c r="L251" s="131">
        <v>0.18668399999999999</v>
      </c>
      <c r="M251" s="131">
        <v>7.4999999999999997E-2</v>
      </c>
      <c r="N251" s="124">
        <v>394.416</v>
      </c>
      <c r="O251" s="124">
        <v>612.63750000000005</v>
      </c>
      <c r="P251" s="124">
        <v>657.24749999999995</v>
      </c>
    </row>
    <row r="252" spans="2:16" x14ac:dyDescent="0.25">
      <c r="B252" s="78">
        <v>422349</v>
      </c>
      <c r="C252" s="78" t="s">
        <v>94</v>
      </c>
      <c r="D252" s="78" t="s">
        <v>275</v>
      </c>
      <c r="E252" s="78" t="s">
        <v>16</v>
      </c>
      <c r="F252" s="78" t="s">
        <v>276</v>
      </c>
      <c r="G252" s="130">
        <v>800000</v>
      </c>
      <c r="H252" s="130">
        <v>40000000</v>
      </c>
      <c r="I252" s="130">
        <v>0</v>
      </c>
      <c r="J252" s="130">
        <v>0</v>
      </c>
      <c r="K252" s="78" t="s">
        <v>277</v>
      </c>
      <c r="L252" s="131">
        <v>0.1125</v>
      </c>
      <c r="M252" s="131">
        <v>0.02</v>
      </c>
      <c r="N252" s="124">
        <v>449.05180000000001</v>
      </c>
      <c r="O252" s="124">
        <v>592.92960000000005</v>
      </c>
      <c r="P252" s="124">
        <v>591.1146</v>
      </c>
    </row>
    <row r="253" spans="2:16" x14ac:dyDescent="0.25">
      <c r="B253" s="78">
        <v>445971</v>
      </c>
      <c r="C253" s="78" t="s">
        <v>94</v>
      </c>
      <c r="D253" s="78" t="s">
        <v>470</v>
      </c>
      <c r="E253" s="78" t="s">
        <v>16</v>
      </c>
      <c r="F253" s="78" t="s">
        <v>484</v>
      </c>
      <c r="G253" s="130">
        <v>2500000</v>
      </c>
      <c r="H253" s="130">
        <v>50000000</v>
      </c>
      <c r="I253" s="130">
        <v>0</v>
      </c>
      <c r="J253" s="130">
        <v>0</v>
      </c>
      <c r="K253" s="78" t="s">
        <v>432</v>
      </c>
      <c r="L253" s="131">
        <v>3.9997829999999998E-2</v>
      </c>
      <c r="M253" s="131">
        <v>0.05</v>
      </c>
      <c r="N253" s="124">
        <v>467.916</v>
      </c>
      <c r="O253" s="124">
        <v>338.21050000000002</v>
      </c>
      <c r="P253" s="124">
        <v>762.97299999999996</v>
      </c>
    </row>
    <row r="254" spans="2:16" x14ac:dyDescent="0.25">
      <c r="B254" s="78">
        <v>456611</v>
      </c>
      <c r="C254" s="78" t="s">
        <v>94</v>
      </c>
      <c r="D254" s="78" t="s">
        <v>580</v>
      </c>
      <c r="E254" s="78" t="s">
        <v>16</v>
      </c>
      <c r="F254" s="78" t="s">
        <v>581</v>
      </c>
      <c r="G254" s="130">
        <v>900000</v>
      </c>
      <c r="H254" s="130">
        <v>45000000</v>
      </c>
      <c r="I254" s="130">
        <v>0</v>
      </c>
      <c r="J254" s="130">
        <v>0</v>
      </c>
      <c r="K254" s="78" t="s">
        <v>122</v>
      </c>
      <c r="L254" s="131">
        <v>0.16</v>
      </c>
      <c r="M254" s="131">
        <v>0.02</v>
      </c>
      <c r="N254" s="124">
        <v>463.70420000000001</v>
      </c>
      <c r="O254" s="124">
        <v>531.09939999999995</v>
      </c>
      <c r="P254" s="124">
        <v>551.20780000000002</v>
      </c>
    </row>
    <row r="255" spans="2:16" x14ac:dyDescent="0.25">
      <c r="B255" s="78">
        <v>113</v>
      </c>
      <c r="C255" s="78" t="s">
        <v>42</v>
      </c>
      <c r="D255" s="78" t="s">
        <v>43</v>
      </c>
      <c r="E255" s="78" t="s">
        <v>16</v>
      </c>
      <c r="F255" s="78" t="s">
        <v>43</v>
      </c>
      <c r="G255" s="130">
        <v>572880433.78864801</v>
      </c>
      <c r="H255" s="130">
        <v>0</v>
      </c>
      <c r="I255" s="130">
        <v>0</v>
      </c>
      <c r="J255" s="130">
        <v>0</v>
      </c>
      <c r="K255" s="78" t="s">
        <v>44</v>
      </c>
      <c r="L255" s="131">
        <v>0</v>
      </c>
      <c r="M255" s="131">
        <v>1</v>
      </c>
      <c r="N255" s="124">
        <v>661.57249999999999</v>
      </c>
      <c r="O255" s="124">
        <v>89.835499999999996</v>
      </c>
      <c r="P255" s="124">
        <v>775.62699999999995</v>
      </c>
    </row>
    <row r="256" spans="2:16" x14ac:dyDescent="0.25">
      <c r="B256" s="78">
        <v>118</v>
      </c>
      <c r="C256" s="78" t="s">
        <v>42</v>
      </c>
      <c r="D256" s="78" t="s">
        <v>43</v>
      </c>
      <c r="E256" s="78" t="s">
        <v>16</v>
      </c>
      <c r="F256" s="78" t="s">
        <v>43</v>
      </c>
      <c r="G256" s="130">
        <v>154904533.31820899</v>
      </c>
      <c r="H256" s="130">
        <v>0</v>
      </c>
      <c r="I256" s="130">
        <v>0</v>
      </c>
      <c r="J256" s="130">
        <v>0</v>
      </c>
      <c r="K256" s="78" t="s">
        <v>44</v>
      </c>
      <c r="L256" s="131">
        <v>0</v>
      </c>
      <c r="M256" s="131">
        <v>1</v>
      </c>
      <c r="N256" s="124">
        <v>317.53687100000002</v>
      </c>
      <c r="O256" s="124">
        <v>683.86763900000005</v>
      </c>
      <c r="P256" s="124">
        <v>308.379255</v>
      </c>
    </row>
    <row r="257" spans="2:16" x14ac:dyDescent="0.25">
      <c r="B257" s="78">
        <v>437880</v>
      </c>
      <c r="C257" s="78" t="s">
        <v>45</v>
      </c>
      <c r="D257" s="78" t="s">
        <v>355</v>
      </c>
      <c r="E257" s="78" t="s">
        <v>16</v>
      </c>
      <c r="F257" s="78" t="s">
        <v>366</v>
      </c>
      <c r="G257" s="130">
        <v>5000000</v>
      </c>
      <c r="H257" s="130">
        <v>20000000</v>
      </c>
      <c r="I257" s="130">
        <v>0</v>
      </c>
      <c r="J257" s="130">
        <v>0</v>
      </c>
      <c r="K257" s="78" t="s">
        <v>325</v>
      </c>
      <c r="L257" s="131">
        <v>1.6250000000000001E-2</v>
      </c>
      <c r="M257" s="131">
        <v>0.25</v>
      </c>
      <c r="N257" s="124">
        <v>511.1</v>
      </c>
      <c r="O257" s="124">
        <v>335.47</v>
      </c>
      <c r="P257" s="124">
        <v>402.83749999999998</v>
      </c>
    </row>
    <row r="258" spans="2:16" x14ac:dyDescent="0.25">
      <c r="B258" s="78">
        <v>434017</v>
      </c>
      <c r="C258" s="78" t="s">
        <v>94</v>
      </c>
      <c r="D258" s="78" t="s">
        <v>301</v>
      </c>
      <c r="E258" s="78" t="s">
        <v>16</v>
      </c>
      <c r="F258" s="78" t="s">
        <v>369</v>
      </c>
      <c r="G258" s="130">
        <v>337500</v>
      </c>
      <c r="H258" s="130">
        <v>4500000</v>
      </c>
      <c r="I258" s="130">
        <v>0</v>
      </c>
      <c r="J258" s="130">
        <v>0</v>
      </c>
      <c r="K258" s="78" t="s">
        <v>370</v>
      </c>
      <c r="L258" s="131">
        <v>0.30999969999999999</v>
      </c>
      <c r="M258" s="131">
        <v>7.4999999999999997E-2</v>
      </c>
      <c r="N258" s="124">
        <v>303.42525000000001</v>
      </c>
      <c r="O258" s="124">
        <v>231.36975000000001</v>
      </c>
      <c r="P258" s="124">
        <v>700.15800000000002</v>
      </c>
    </row>
    <row r="259" spans="2:16" x14ac:dyDescent="0.25">
      <c r="B259" s="78">
        <v>288758</v>
      </c>
      <c r="C259" s="78" t="s">
        <v>87</v>
      </c>
      <c r="D259" s="78" t="s">
        <v>224</v>
      </c>
      <c r="E259" s="78" t="s">
        <v>14</v>
      </c>
      <c r="F259" s="78" t="s">
        <v>222</v>
      </c>
      <c r="G259" s="130">
        <v>1020000</v>
      </c>
      <c r="H259" s="130">
        <v>1020000</v>
      </c>
      <c r="I259" s="130">
        <v>0</v>
      </c>
      <c r="J259" s="130">
        <v>0</v>
      </c>
      <c r="K259" s="78" t="s">
        <v>14</v>
      </c>
      <c r="L259" s="131">
        <v>9.8039219999999996E-2</v>
      </c>
      <c r="M259" s="131">
        <v>1</v>
      </c>
      <c r="N259" s="124">
        <v>343.58</v>
      </c>
      <c r="O259" s="124">
        <v>471.48</v>
      </c>
      <c r="P259" s="124">
        <v>400.7</v>
      </c>
    </row>
    <row r="260" spans="2:16" x14ac:dyDescent="0.25">
      <c r="B260" s="78">
        <v>449439</v>
      </c>
      <c r="C260" s="78" t="s">
        <v>21</v>
      </c>
      <c r="D260" s="78" t="s">
        <v>567</v>
      </c>
      <c r="E260" s="78" t="s">
        <v>14</v>
      </c>
      <c r="F260" s="78" t="s">
        <v>568</v>
      </c>
      <c r="G260" s="130">
        <v>3032192.2302246098</v>
      </c>
      <c r="H260" s="130">
        <v>134764099.12109399</v>
      </c>
      <c r="I260" s="130">
        <v>0</v>
      </c>
      <c r="J260" s="130">
        <v>0</v>
      </c>
      <c r="K260" s="78" t="s">
        <v>335</v>
      </c>
      <c r="L260" s="131">
        <v>0.628</v>
      </c>
      <c r="M260" s="131">
        <v>2.2499999999999999E-2</v>
      </c>
      <c r="N260" s="124">
        <v>191.77190726000001</v>
      </c>
      <c r="O260" s="124">
        <v>635.04990870999995</v>
      </c>
      <c r="P260" s="124">
        <v>363.98435532000002</v>
      </c>
    </row>
    <row r="261" spans="2:16" x14ac:dyDescent="0.25">
      <c r="B261" s="78">
        <v>456761</v>
      </c>
      <c r="C261" s="78" t="s">
        <v>45</v>
      </c>
      <c r="D261" s="78" t="s">
        <v>577</v>
      </c>
      <c r="E261" s="78" t="s">
        <v>14</v>
      </c>
      <c r="F261" s="78" t="s">
        <v>589</v>
      </c>
      <c r="G261" s="130">
        <v>5094000</v>
      </c>
      <c r="H261" s="130">
        <v>25470000</v>
      </c>
      <c r="I261" s="130">
        <v>0</v>
      </c>
      <c r="J261" s="130">
        <v>0</v>
      </c>
      <c r="K261" s="78" t="s">
        <v>590</v>
      </c>
      <c r="L261" s="131">
        <v>1.7667840000000001E-2</v>
      </c>
      <c r="M261" s="131">
        <v>0.2</v>
      </c>
      <c r="N261" s="124">
        <v>48.898000000000003</v>
      </c>
      <c r="O261" s="124">
        <v>259.41800000000001</v>
      </c>
      <c r="P261" s="124">
        <v>788.024</v>
      </c>
    </row>
    <row r="262" spans="2:16" x14ac:dyDescent="0.25">
      <c r="B262" s="78">
        <v>437966</v>
      </c>
      <c r="C262" s="78" t="s">
        <v>45</v>
      </c>
      <c r="D262" s="78" t="s">
        <v>374</v>
      </c>
      <c r="E262" s="78" t="s">
        <v>16</v>
      </c>
      <c r="F262" s="78" t="s">
        <v>375</v>
      </c>
      <c r="G262" s="130">
        <v>6000000</v>
      </c>
      <c r="H262" s="130">
        <v>30000000</v>
      </c>
      <c r="I262" s="130">
        <v>0</v>
      </c>
      <c r="J262" s="130">
        <v>0</v>
      </c>
      <c r="K262" s="78" t="s">
        <v>376</v>
      </c>
      <c r="L262" s="131">
        <v>0.13092852999999999</v>
      </c>
      <c r="M262" s="131">
        <v>0.2</v>
      </c>
      <c r="N262" s="124">
        <v>341.72800000000001</v>
      </c>
      <c r="O262" s="124">
        <v>266.22199999999998</v>
      </c>
      <c r="P262" s="124">
        <v>476.714</v>
      </c>
    </row>
    <row r="263" spans="2:16" x14ac:dyDescent="0.25">
      <c r="B263" s="78">
        <v>484924</v>
      </c>
      <c r="C263" s="78" t="s">
        <v>94</v>
      </c>
      <c r="D263" s="78" t="s">
        <v>774</v>
      </c>
      <c r="E263" s="78" t="s">
        <v>16</v>
      </c>
      <c r="F263" s="78" t="s">
        <v>775</v>
      </c>
      <c r="G263" s="130">
        <v>1125000</v>
      </c>
      <c r="H263" s="130">
        <v>7500000</v>
      </c>
      <c r="I263" s="130">
        <v>0</v>
      </c>
      <c r="J263" s="130">
        <v>0</v>
      </c>
      <c r="K263" s="78" t="s">
        <v>776</v>
      </c>
      <c r="L263" s="131">
        <v>0.17499999999999999</v>
      </c>
      <c r="M263" s="131">
        <v>0.15</v>
      </c>
      <c r="N263" s="124">
        <v>451.48649999999998</v>
      </c>
      <c r="O263" s="124">
        <v>5.2545000000000002</v>
      </c>
      <c r="P263" s="124">
        <v>544.74300000000005</v>
      </c>
    </row>
    <row r="264" spans="2:16" x14ac:dyDescent="0.25">
      <c r="B264" s="78">
        <v>484031</v>
      </c>
      <c r="C264" s="78" t="s">
        <v>21</v>
      </c>
      <c r="D264" s="78" t="s">
        <v>729</v>
      </c>
      <c r="E264" s="78" t="s">
        <v>14</v>
      </c>
      <c r="F264" s="78" t="s">
        <v>730</v>
      </c>
      <c r="G264" s="130">
        <v>600000</v>
      </c>
      <c r="H264" s="130">
        <v>60000000</v>
      </c>
      <c r="I264" s="130">
        <v>0</v>
      </c>
      <c r="J264" s="130">
        <v>0</v>
      </c>
      <c r="K264" s="78" t="s">
        <v>620</v>
      </c>
      <c r="L264" s="131">
        <v>0.79666667000000002</v>
      </c>
      <c r="M264" s="131">
        <v>0.01</v>
      </c>
      <c r="N264" s="124">
        <v>275.07420000000002</v>
      </c>
      <c r="O264" s="124">
        <v>291.62349999999998</v>
      </c>
      <c r="P264" s="124">
        <v>423.27550000000002</v>
      </c>
    </row>
    <row r="265" spans="2:16" x14ac:dyDescent="0.25">
      <c r="B265" s="78">
        <v>288829</v>
      </c>
      <c r="C265" s="78" t="s">
        <v>87</v>
      </c>
      <c r="D265" s="78" t="s">
        <v>843</v>
      </c>
      <c r="E265" s="78" t="s">
        <v>14</v>
      </c>
      <c r="F265" s="78" t="s">
        <v>222</v>
      </c>
      <c r="G265" s="130">
        <v>13173969.359999999</v>
      </c>
      <c r="H265" s="130">
        <v>13173969.359999999</v>
      </c>
      <c r="I265" s="130">
        <v>0</v>
      </c>
      <c r="J265" s="130">
        <v>0</v>
      </c>
      <c r="K265" s="78" t="s">
        <v>14</v>
      </c>
      <c r="L265" s="131">
        <v>2.2772199999999999E-3</v>
      </c>
      <c r="M265" s="131">
        <v>1</v>
      </c>
      <c r="N265" s="124">
        <v>297.85000000000002</v>
      </c>
      <c r="O265" s="124">
        <v>364.34</v>
      </c>
      <c r="P265" s="124">
        <v>235.07</v>
      </c>
    </row>
    <row r="266" spans="2:16" x14ac:dyDescent="0.25">
      <c r="B266" s="78">
        <v>448237</v>
      </c>
      <c r="C266" s="78" t="s">
        <v>45</v>
      </c>
      <c r="D266" s="78" t="s">
        <v>553</v>
      </c>
      <c r="E266" s="78" t="s">
        <v>16</v>
      </c>
      <c r="F266" s="78" t="s">
        <v>554</v>
      </c>
      <c r="G266" s="130">
        <v>750000</v>
      </c>
      <c r="H266" s="130">
        <v>10000000</v>
      </c>
      <c r="I266" s="130">
        <v>0</v>
      </c>
      <c r="J266" s="130">
        <v>0</v>
      </c>
      <c r="K266" s="78" t="s">
        <v>315</v>
      </c>
      <c r="L266" s="131">
        <v>0.27500000000000002</v>
      </c>
      <c r="M266" s="131">
        <v>7.4999999999999997E-2</v>
      </c>
      <c r="N266" s="124">
        <v>489.39749999999998</v>
      </c>
      <c r="O266" s="124">
        <v>206.22524999999999</v>
      </c>
      <c r="P266" s="124">
        <v>172.536</v>
      </c>
    </row>
    <row r="267" spans="2:16" x14ac:dyDescent="0.25">
      <c r="B267" s="78">
        <v>434658</v>
      </c>
      <c r="C267" s="78" t="s">
        <v>94</v>
      </c>
      <c r="D267" s="78" t="s">
        <v>321</v>
      </c>
      <c r="E267" s="78" t="s">
        <v>16</v>
      </c>
      <c r="F267" s="78" t="s">
        <v>322</v>
      </c>
      <c r="G267" s="130">
        <v>450000</v>
      </c>
      <c r="H267" s="130">
        <v>15000000</v>
      </c>
      <c r="I267" s="130">
        <v>0</v>
      </c>
      <c r="J267" s="130">
        <v>0</v>
      </c>
      <c r="K267" s="78" t="s">
        <v>323</v>
      </c>
      <c r="L267" s="131">
        <v>0.88001543999999998</v>
      </c>
      <c r="M267" s="131">
        <v>0.03</v>
      </c>
      <c r="N267" s="124">
        <v>369.08609999999999</v>
      </c>
      <c r="O267" s="124">
        <v>134.33009999999999</v>
      </c>
      <c r="P267" s="124">
        <v>346.49130000000002</v>
      </c>
    </row>
    <row r="268" spans="2:16" x14ac:dyDescent="0.25">
      <c r="B268" s="78">
        <v>441789</v>
      </c>
      <c r="C268" s="78" t="s">
        <v>94</v>
      </c>
      <c r="D268" s="78" t="s">
        <v>380</v>
      </c>
      <c r="E268" s="78" t="s">
        <v>16</v>
      </c>
      <c r="F268" s="78" t="s">
        <v>447</v>
      </c>
      <c r="G268" s="130">
        <v>375000</v>
      </c>
      <c r="H268" s="130">
        <v>30000000</v>
      </c>
      <c r="I268" s="130">
        <v>0</v>
      </c>
      <c r="J268" s="130">
        <v>0</v>
      </c>
      <c r="K268" s="78" t="s">
        <v>122</v>
      </c>
      <c r="L268" s="131">
        <v>0.33333332999999998</v>
      </c>
      <c r="M268" s="131">
        <v>1.2500000000000001E-2</v>
      </c>
      <c r="N268" s="124">
        <v>214.573125</v>
      </c>
      <c r="O268" s="124">
        <v>299.89812499999999</v>
      </c>
      <c r="P268" s="124">
        <v>324.99900000000002</v>
      </c>
    </row>
    <row r="269" spans="2:16" x14ac:dyDescent="0.25">
      <c r="B269" s="78">
        <v>102</v>
      </c>
      <c r="C269" s="78" t="s">
        <v>86</v>
      </c>
      <c r="D269" s="78" t="s">
        <v>217</v>
      </c>
      <c r="E269" s="78" t="s">
        <v>16</v>
      </c>
      <c r="F269" s="78" t="s">
        <v>217</v>
      </c>
      <c r="G269" s="130">
        <v>152353276.241009</v>
      </c>
      <c r="H269" s="130">
        <v>0</v>
      </c>
      <c r="I269" s="130">
        <v>0</v>
      </c>
      <c r="J269" s="130">
        <v>0</v>
      </c>
      <c r="K269" s="78" t="s">
        <v>44</v>
      </c>
      <c r="L269" s="131">
        <v>0</v>
      </c>
      <c r="M269" s="131">
        <v>1</v>
      </c>
      <c r="N269" s="124">
        <v>168.44689099999999</v>
      </c>
      <c r="O269" s="124">
        <v>307.49983700000001</v>
      </c>
      <c r="P269" s="124">
        <v>329.54339700000003</v>
      </c>
    </row>
    <row r="270" spans="2:16" x14ac:dyDescent="0.25">
      <c r="B270" s="78">
        <v>426794</v>
      </c>
      <c r="C270" s="78" t="s">
        <v>45</v>
      </c>
      <c r="D270" s="78" t="s">
        <v>289</v>
      </c>
      <c r="E270" s="78" t="s">
        <v>16</v>
      </c>
      <c r="F270" s="78" t="s">
        <v>290</v>
      </c>
      <c r="G270" s="130">
        <v>6499999.7999999998</v>
      </c>
      <c r="H270" s="130">
        <v>60000000</v>
      </c>
      <c r="I270" s="130">
        <v>0</v>
      </c>
      <c r="J270" s="130">
        <v>0</v>
      </c>
      <c r="K270" s="78" t="s">
        <v>291</v>
      </c>
      <c r="L270" s="131">
        <v>0.21676117</v>
      </c>
      <c r="M270" s="131">
        <v>0.10833333000000001</v>
      </c>
      <c r="N270" s="124">
        <v>10.820333</v>
      </c>
      <c r="O270" s="124">
        <v>600.24464820000003</v>
      </c>
      <c r="P270" s="124">
        <v>149.5357454</v>
      </c>
    </row>
    <row r="271" spans="2:16" x14ac:dyDescent="0.25">
      <c r="B271" s="78">
        <v>420177</v>
      </c>
      <c r="C271" s="78" t="s">
        <v>94</v>
      </c>
      <c r="D271" s="78" t="s">
        <v>170</v>
      </c>
      <c r="E271" s="78" t="s">
        <v>16</v>
      </c>
      <c r="F271" s="78" t="s">
        <v>299</v>
      </c>
      <c r="G271" s="130">
        <v>1162775.0745000001</v>
      </c>
      <c r="H271" s="130">
        <v>25839446.100000001</v>
      </c>
      <c r="I271" s="130">
        <v>0</v>
      </c>
      <c r="J271" s="130">
        <v>0</v>
      </c>
      <c r="K271" s="78" t="s">
        <v>300</v>
      </c>
      <c r="L271" s="131">
        <v>0.25999266999999998</v>
      </c>
      <c r="M271" s="131">
        <v>4.4999999999999998E-2</v>
      </c>
      <c r="N271" s="124">
        <v>154.45665</v>
      </c>
      <c r="O271" s="124">
        <v>294.03989999999999</v>
      </c>
      <c r="P271" s="124">
        <v>297.27809999999999</v>
      </c>
    </row>
    <row r="272" spans="2:16" x14ac:dyDescent="0.25">
      <c r="B272" s="78">
        <v>480605</v>
      </c>
      <c r="C272" s="78" t="s">
        <v>45</v>
      </c>
      <c r="D272" s="78" t="s">
        <v>706</v>
      </c>
      <c r="E272" s="78" t="s">
        <v>14</v>
      </c>
      <c r="F272" s="78" t="s">
        <v>707</v>
      </c>
      <c r="G272" s="130">
        <v>650000</v>
      </c>
      <c r="H272" s="130">
        <v>65000000</v>
      </c>
      <c r="I272" s="130">
        <v>0</v>
      </c>
      <c r="J272" s="130">
        <v>0</v>
      </c>
      <c r="K272" s="78" t="s">
        <v>158</v>
      </c>
      <c r="L272" s="131">
        <v>0.55714898000000002</v>
      </c>
      <c r="M272" s="131">
        <v>0.01</v>
      </c>
      <c r="N272" s="124">
        <v>2.2084999999999999</v>
      </c>
      <c r="O272" s="124">
        <v>132.00210000000001</v>
      </c>
      <c r="P272" s="124">
        <v>598.05290000000002</v>
      </c>
    </row>
    <row r="273" spans="2:16" x14ac:dyDescent="0.25">
      <c r="B273" s="78">
        <v>474073</v>
      </c>
      <c r="C273" s="78" t="s">
        <v>94</v>
      </c>
      <c r="D273" s="78" t="s">
        <v>648</v>
      </c>
      <c r="E273" s="78" t="s">
        <v>16</v>
      </c>
      <c r="F273" s="78" t="s">
        <v>649</v>
      </c>
      <c r="G273" s="130">
        <v>300000</v>
      </c>
      <c r="H273" s="130">
        <v>10000000</v>
      </c>
      <c r="I273" s="130">
        <v>0</v>
      </c>
      <c r="J273" s="130">
        <v>0</v>
      </c>
      <c r="K273" s="78" t="s">
        <v>122</v>
      </c>
      <c r="L273" s="131">
        <v>0.98</v>
      </c>
      <c r="M273" s="131">
        <v>0.03</v>
      </c>
      <c r="N273" s="124">
        <v>160.6113</v>
      </c>
      <c r="O273" s="124">
        <v>229.61009999999999</v>
      </c>
      <c r="P273" s="124">
        <v>328.49549999999999</v>
      </c>
    </row>
    <row r="274" spans="2:16" x14ac:dyDescent="0.25">
      <c r="B274" s="78">
        <v>121</v>
      </c>
      <c r="C274" s="78" t="s">
        <v>92</v>
      </c>
      <c r="D274" s="78" t="s">
        <v>220</v>
      </c>
      <c r="E274" s="78" t="s">
        <v>16</v>
      </c>
      <c r="F274" s="78" t="s">
        <v>220</v>
      </c>
      <c r="G274" s="130">
        <v>46647943.011836402</v>
      </c>
      <c r="H274" s="130">
        <v>0</v>
      </c>
      <c r="I274" s="130">
        <v>0</v>
      </c>
      <c r="J274" s="130">
        <v>0</v>
      </c>
      <c r="K274" s="78" t="s">
        <v>44</v>
      </c>
      <c r="L274" s="131">
        <v>0</v>
      </c>
      <c r="M274" s="131">
        <v>1</v>
      </c>
      <c r="N274" s="124">
        <v>119.56910000000001</v>
      </c>
      <c r="O274" s="124">
        <v>418.763822</v>
      </c>
      <c r="P274" s="124">
        <v>130.59257199999999</v>
      </c>
    </row>
    <row r="275" spans="2:16" x14ac:dyDescent="0.25">
      <c r="B275" s="78">
        <v>442098</v>
      </c>
      <c r="C275" s="78" t="s">
        <v>45</v>
      </c>
      <c r="D275" s="78" t="s">
        <v>454</v>
      </c>
      <c r="E275" s="78" t="s">
        <v>16</v>
      </c>
      <c r="F275" s="78" t="s">
        <v>455</v>
      </c>
      <c r="G275" s="130">
        <v>13000000</v>
      </c>
      <c r="H275" s="130">
        <v>160000000</v>
      </c>
      <c r="I275" s="130">
        <v>0</v>
      </c>
      <c r="J275" s="130">
        <v>0</v>
      </c>
      <c r="K275" s="78" t="s">
        <v>456</v>
      </c>
      <c r="L275" s="131">
        <v>7.2696759999999999E-2</v>
      </c>
      <c r="M275" s="131">
        <v>8.1250000000000003E-2</v>
      </c>
      <c r="N275" s="124">
        <v>49.055500000000002</v>
      </c>
      <c r="O275" s="124">
        <v>163.7285</v>
      </c>
      <c r="P275" s="124">
        <v>437.282625</v>
      </c>
    </row>
    <row r="276" spans="2:16" x14ac:dyDescent="0.25">
      <c r="B276" s="78">
        <v>123</v>
      </c>
      <c r="C276" s="78" t="s">
        <v>92</v>
      </c>
      <c r="D276" s="78" t="s">
        <v>220</v>
      </c>
      <c r="E276" s="78" t="s">
        <v>16</v>
      </c>
      <c r="F276" s="78" t="s">
        <v>220</v>
      </c>
      <c r="G276" s="130">
        <v>60795147.652807899</v>
      </c>
      <c r="H276" s="130">
        <v>0</v>
      </c>
      <c r="I276" s="130">
        <v>0</v>
      </c>
      <c r="J276" s="130">
        <v>0</v>
      </c>
      <c r="K276" s="78" t="s">
        <v>44</v>
      </c>
      <c r="L276" s="131">
        <v>0</v>
      </c>
      <c r="M276" s="131">
        <v>1</v>
      </c>
      <c r="N276" s="124">
        <v>198.125067</v>
      </c>
      <c r="O276" s="124">
        <v>248.99534199999999</v>
      </c>
      <c r="P276" s="124">
        <v>185.790539</v>
      </c>
    </row>
    <row r="277" spans="2:16" x14ac:dyDescent="0.25">
      <c r="B277" s="78">
        <v>448798</v>
      </c>
      <c r="C277" s="78" t="s">
        <v>92</v>
      </c>
      <c r="D277" s="78" t="s">
        <v>562</v>
      </c>
      <c r="E277" s="78" t="s">
        <v>16</v>
      </c>
      <c r="F277" s="78" t="s">
        <v>563</v>
      </c>
      <c r="G277" s="130">
        <v>7669590.4588918304</v>
      </c>
      <c r="H277" s="130">
        <v>153391809.17783701</v>
      </c>
      <c r="I277" s="130">
        <v>0</v>
      </c>
      <c r="J277" s="130">
        <v>0</v>
      </c>
      <c r="K277" s="78" t="s">
        <v>564</v>
      </c>
      <c r="L277" s="131">
        <v>4.6056670000000001E-2</v>
      </c>
      <c r="M277" s="131">
        <v>0.05</v>
      </c>
      <c r="N277" s="124">
        <v>187.38813218999999</v>
      </c>
      <c r="O277" s="124">
        <v>148.17851754</v>
      </c>
      <c r="P277" s="124">
        <v>233.42422227</v>
      </c>
    </row>
    <row r="278" spans="2:16" x14ac:dyDescent="0.25">
      <c r="B278" s="78">
        <v>442828</v>
      </c>
      <c r="C278" s="78" t="s">
        <v>21</v>
      </c>
      <c r="D278" s="78" t="s">
        <v>408</v>
      </c>
      <c r="E278" s="78" t="s">
        <v>14</v>
      </c>
      <c r="F278" s="78" t="s">
        <v>409</v>
      </c>
      <c r="G278" s="130">
        <v>850000</v>
      </c>
      <c r="H278" s="130">
        <v>20000000</v>
      </c>
      <c r="I278" s="130">
        <v>0</v>
      </c>
      <c r="J278" s="130">
        <v>0</v>
      </c>
      <c r="K278" s="78" t="s">
        <v>410</v>
      </c>
      <c r="L278" s="131">
        <v>1.5</v>
      </c>
      <c r="M278" s="131">
        <v>4.2500000000000003E-2</v>
      </c>
      <c r="N278" s="124"/>
      <c r="O278" s="124">
        <v>75.124274999999997</v>
      </c>
      <c r="P278" s="124">
        <v>489.32204999999999</v>
      </c>
    </row>
    <row r="279" spans="2:16" x14ac:dyDescent="0.25">
      <c r="B279" s="78">
        <v>108</v>
      </c>
      <c r="C279" s="78" t="s">
        <v>86</v>
      </c>
      <c r="D279" s="78" t="s">
        <v>217</v>
      </c>
      <c r="E279" s="78" t="s">
        <v>16</v>
      </c>
      <c r="F279" s="78" t="s">
        <v>217</v>
      </c>
      <c r="G279" s="130">
        <v>27010805.971677601</v>
      </c>
      <c r="H279" s="130">
        <v>0</v>
      </c>
      <c r="I279" s="130">
        <v>0</v>
      </c>
      <c r="J279" s="130">
        <v>0</v>
      </c>
      <c r="K279" s="78" t="s">
        <v>44</v>
      </c>
      <c r="L279" s="131">
        <v>0</v>
      </c>
      <c r="M279" s="131">
        <v>1</v>
      </c>
      <c r="N279" s="124">
        <v>187.56989999999999</v>
      </c>
      <c r="O279" s="124">
        <v>152.61330000000001</v>
      </c>
      <c r="P279" s="124">
        <v>203.6251</v>
      </c>
    </row>
    <row r="280" spans="2:16" x14ac:dyDescent="0.25">
      <c r="B280" s="78">
        <v>483476</v>
      </c>
      <c r="C280" s="78" t="s">
        <v>94</v>
      </c>
      <c r="D280" s="78" t="s">
        <v>785</v>
      </c>
      <c r="E280" s="78" t="s">
        <v>16</v>
      </c>
      <c r="F280" s="78" t="s">
        <v>786</v>
      </c>
      <c r="G280" s="130">
        <v>175000</v>
      </c>
      <c r="H280" s="130">
        <v>3500000</v>
      </c>
      <c r="I280" s="130">
        <v>0</v>
      </c>
      <c r="J280" s="130">
        <v>0</v>
      </c>
      <c r="K280" s="78" t="s">
        <v>787</v>
      </c>
      <c r="L280" s="131">
        <v>0.21</v>
      </c>
      <c r="M280" s="131">
        <v>0.05</v>
      </c>
      <c r="N280" s="124">
        <v>227.2115</v>
      </c>
      <c r="O280" s="124">
        <v>60.985999999999997</v>
      </c>
      <c r="P280" s="124">
        <v>226.50200000000001</v>
      </c>
    </row>
    <row r="281" spans="2:16" x14ac:dyDescent="0.25">
      <c r="B281" s="78">
        <v>459057</v>
      </c>
      <c r="C281" s="78" t="s">
        <v>12</v>
      </c>
      <c r="D281" s="78" t="s">
        <v>829</v>
      </c>
      <c r="E281" s="78" t="s">
        <v>14</v>
      </c>
      <c r="F281" s="78" t="s">
        <v>830</v>
      </c>
      <c r="G281" s="130">
        <v>2438994.2000000002</v>
      </c>
      <c r="H281" s="130">
        <v>24389942</v>
      </c>
      <c r="I281" s="130">
        <v>0</v>
      </c>
      <c r="J281" s="130">
        <v>0</v>
      </c>
      <c r="K281" s="78" t="s">
        <v>831</v>
      </c>
      <c r="L281" s="131">
        <v>1.1275139599999999</v>
      </c>
      <c r="M281" s="131">
        <v>0.1</v>
      </c>
      <c r="N281" s="124">
        <v>11.573</v>
      </c>
      <c r="O281" s="124"/>
      <c r="P281" s="124">
        <v>483.63</v>
      </c>
    </row>
    <row r="282" spans="2:16" x14ac:dyDescent="0.25">
      <c r="B282" s="78">
        <v>468837</v>
      </c>
      <c r="C282" s="78" t="s">
        <v>94</v>
      </c>
      <c r="D282" s="78" t="s">
        <v>582</v>
      </c>
      <c r="E282" s="78" t="s">
        <v>16</v>
      </c>
      <c r="F282" s="78" t="s">
        <v>583</v>
      </c>
      <c r="G282" s="130">
        <v>500000</v>
      </c>
      <c r="H282" s="130">
        <v>10000000</v>
      </c>
      <c r="I282" s="130">
        <v>0</v>
      </c>
      <c r="J282" s="130">
        <v>0</v>
      </c>
      <c r="K282" s="78" t="s">
        <v>122</v>
      </c>
      <c r="L282" s="131">
        <v>2.2774999999999999</v>
      </c>
      <c r="M282" s="131">
        <v>0.05</v>
      </c>
      <c r="N282" s="124">
        <v>20.803000000000001</v>
      </c>
      <c r="O282" s="124">
        <v>156.41900000000001</v>
      </c>
      <c r="P282" s="124">
        <v>297.79349999999999</v>
      </c>
    </row>
    <row r="283" spans="2:16" x14ac:dyDescent="0.25">
      <c r="B283" s="78">
        <v>464876</v>
      </c>
      <c r="C283" s="78" t="s">
        <v>92</v>
      </c>
      <c r="D283" s="78" t="s">
        <v>621</v>
      </c>
      <c r="E283" s="78" t="s">
        <v>14</v>
      </c>
      <c r="F283" s="78" t="s">
        <v>622</v>
      </c>
      <c r="G283" s="130">
        <v>2500000</v>
      </c>
      <c r="H283" s="130">
        <v>50000000</v>
      </c>
      <c r="I283" s="130">
        <v>0</v>
      </c>
      <c r="J283" s="130">
        <v>0</v>
      </c>
      <c r="K283" s="78" t="s">
        <v>166</v>
      </c>
      <c r="L283" s="131">
        <v>0.19800000000000001</v>
      </c>
      <c r="M283" s="131">
        <v>0.05</v>
      </c>
      <c r="N283" s="124">
        <v>124.2765</v>
      </c>
      <c r="O283" s="124">
        <v>143.196</v>
      </c>
      <c r="P283" s="124">
        <v>189.0215</v>
      </c>
    </row>
    <row r="284" spans="2:16" x14ac:dyDescent="0.25">
      <c r="B284" s="78">
        <v>446144</v>
      </c>
      <c r="C284" s="78" t="s">
        <v>94</v>
      </c>
      <c r="D284" s="78" t="s">
        <v>527</v>
      </c>
      <c r="E284" s="78" t="s">
        <v>16</v>
      </c>
      <c r="F284" s="78" t="s">
        <v>528</v>
      </c>
      <c r="G284" s="130">
        <v>1000000</v>
      </c>
      <c r="H284" s="130">
        <v>40000000</v>
      </c>
      <c r="I284" s="130">
        <v>0</v>
      </c>
      <c r="J284" s="130">
        <v>0</v>
      </c>
      <c r="K284" s="78" t="s">
        <v>122</v>
      </c>
      <c r="L284" s="131">
        <v>0.48265581000000002</v>
      </c>
      <c r="M284" s="131">
        <v>2.5000000000000001E-2</v>
      </c>
      <c r="N284" s="124">
        <v>85.364999999999995</v>
      </c>
      <c r="O284" s="124">
        <v>186.97024999999999</v>
      </c>
      <c r="P284" s="124">
        <v>158.8015</v>
      </c>
    </row>
    <row r="285" spans="2:16" x14ac:dyDescent="0.25">
      <c r="B285" s="78">
        <v>471433</v>
      </c>
      <c r="C285" s="78" t="s">
        <v>45</v>
      </c>
      <c r="D285" s="78" t="s">
        <v>618</v>
      </c>
      <c r="E285" s="78" t="s">
        <v>14</v>
      </c>
      <c r="F285" s="78" t="s">
        <v>619</v>
      </c>
      <c r="G285" s="130">
        <v>9000000</v>
      </c>
      <c r="H285" s="130">
        <v>60000000</v>
      </c>
      <c r="I285" s="130">
        <v>0</v>
      </c>
      <c r="J285" s="130">
        <v>0</v>
      </c>
      <c r="K285" s="78" t="s">
        <v>620</v>
      </c>
      <c r="L285" s="131">
        <v>0.91666667000000002</v>
      </c>
      <c r="M285" s="131">
        <v>0.15</v>
      </c>
      <c r="N285" s="124">
        <v>26.200500000000002</v>
      </c>
      <c r="O285" s="124">
        <v>105.8445</v>
      </c>
      <c r="P285" s="124">
        <v>260.721</v>
      </c>
    </row>
    <row r="286" spans="2:16" x14ac:dyDescent="0.25">
      <c r="B286" s="78">
        <v>456760</v>
      </c>
      <c r="C286" s="78" t="s">
        <v>45</v>
      </c>
      <c r="D286" s="78" t="s">
        <v>577</v>
      </c>
      <c r="E286" s="78" t="s">
        <v>16</v>
      </c>
      <c r="F286" s="78" t="s">
        <v>578</v>
      </c>
      <c r="G286" s="130">
        <v>5094000</v>
      </c>
      <c r="H286" s="130">
        <v>25470000</v>
      </c>
      <c r="I286" s="130">
        <v>0</v>
      </c>
      <c r="J286" s="130">
        <v>0</v>
      </c>
      <c r="K286" s="78" t="s">
        <v>579</v>
      </c>
      <c r="L286" s="131">
        <v>0.42</v>
      </c>
      <c r="M286" s="131">
        <v>0.2</v>
      </c>
      <c r="N286" s="124">
        <v>63.932000000000002</v>
      </c>
      <c r="O286" s="124">
        <v>112.58799999999999</v>
      </c>
      <c r="P286" s="124">
        <v>210.20599999999999</v>
      </c>
    </row>
    <row r="287" spans="2:16" x14ac:dyDescent="0.25">
      <c r="B287" s="78">
        <v>448241</v>
      </c>
      <c r="C287" s="78" t="s">
        <v>45</v>
      </c>
      <c r="D287" s="78" t="s">
        <v>553</v>
      </c>
      <c r="E287" s="78" t="s">
        <v>16</v>
      </c>
      <c r="F287" s="78" t="s">
        <v>763</v>
      </c>
      <c r="G287" s="130">
        <v>6000000</v>
      </c>
      <c r="H287" s="130">
        <v>30000000</v>
      </c>
      <c r="I287" s="130">
        <v>0</v>
      </c>
      <c r="J287" s="130">
        <v>0</v>
      </c>
      <c r="K287" s="78" t="s">
        <v>376</v>
      </c>
      <c r="L287" s="131">
        <v>0.03</v>
      </c>
      <c r="M287" s="131">
        <v>0.2</v>
      </c>
      <c r="N287" s="124">
        <v>128.21199999999999</v>
      </c>
      <c r="O287" s="124">
        <v>181.09</v>
      </c>
      <c r="P287" s="124">
        <v>61.3</v>
      </c>
    </row>
    <row r="288" spans="2:16" x14ac:dyDescent="0.25">
      <c r="B288" s="78">
        <v>445707</v>
      </c>
      <c r="C288" s="78" t="s">
        <v>94</v>
      </c>
      <c r="D288" s="78" t="s">
        <v>430</v>
      </c>
      <c r="E288" s="78" t="s">
        <v>16</v>
      </c>
      <c r="F288" s="78" t="s">
        <v>431</v>
      </c>
      <c r="G288" s="130">
        <v>2250000</v>
      </c>
      <c r="H288" s="130">
        <v>50000000</v>
      </c>
      <c r="I288" s="130">
        <v>0</v>
      </c>
      <c r="J288" s="130">
        <v>0</v>
      </c>
      <c r="K288" s="78" t="s">
        <v>432</v>
      </c>
      <c r="L288" s="131">
        <v>6.2E-2</v>
      </c>
      <c r="M288" s="131">
        <v>4.4999999999999998E-2</v>
      </c>
      <c r="N288" s="124">
        <v>191.19465</v>
      </c>
      <c r="O288" s="124">
        <v>39.57705</v>
      </c>
      <c r="P288" s="124">
        <v>135.46125000000001</v>
      </c>
    </row>
    <row r="289" spans="2:16" x14ac:dyDescent="0.25">
      <c r="B289" s="78">
        <v>437854</v>
      </c>
      <c r="C289" s="78" t="s">
        <v>94</v>
      </c>
      <c r="D289" s="78" t="s">
        <v>427</v>
      </c>
      <c r="E289" s="78" t="s">
        <v>16</v>
      </c>
      <c r="F289" s="78" t="s">
        <v>428</v>
      </c>
      <c r="G289" s="130">
        <v>500000</v>
      </c>
      <c r="H289" s="130">
        <v>20000000</v>
      </c>
      <c r="I289" s="130">
        <v>0</v>
      </c>
      <c r="J289" s="130">
        <v>0</v>
      </c>
      <c r="K289" s="78" t="s">
        <v>429</v>
      </c>
      <c r="L289" s="131">
        <v>0.6</v>
      </c>
      <c r="M289" s="131">
        <v>2.5000000000000001E-2</v>
      </c>
      <c r="N289" s="124">
        <v>124.99575</v>
      </c>
      <c r="O289" s="124">
        <v>21.045500000000001</v>
      </c>
      <c r="P289" s="124">
        <v>207.63374999999999</v>
      </c>
    </row>
    <row r="290" spans="2:16" x14ac:dyDescent="0.25">
      <c r="B290" s="78">
        <v>129</v>
      </c>
      <c r="C290" s="78" t="s">
        <v>92</v>
      </c>
      <c r="D290" s="78" t="s">
        <v>220</v>
      </c>
      <c r="E290" s="78" t="s">
        <v>16</v>
      </c>
      <c r="F290" s="78" t="s">
        <v>220</v>
      </c>
      <c r="G290" s="130">
        <v>62314120.225133099</v>
      </c>
      <c r="H290" s="130">
        <v>0</v>
      </c>
      <c r="I290" s="130">
        <v>0</v>
      </c>
      <c r="J290" s="130">
        <v>0</v>
      </c>
      <c r="K290" s="78" t="s">
        <v>44</v>
      </c>
      <c r="L290" s="131">
        <v>0</v>
      </c>
      <c r="M290" s="131">
        <v>1</v>
      </c>
      <c r="N290" s="124">
        <v>86.651797999999999</v>
      </c>
      <c r="O290" s="124">
        <v>76.675561000000002</v>
      </c>
      <c r="P290" s="124">
        <v>181.516458</v>
      </c>
    </row>
    <row r="291" spans="2:16" x14ac:dyDescent="0.25">
      <c r="B291" s="78">
        <v>474074</v>
      </c>
      <c r="C291" s="78" t="s">
        <v>94</v>
      </c>
      <c r="D291" s="78" t="s">
        <v>648</v>
      </c>
      <c r="E291" s="78" t="s">
        <v>16</v>
      </c>
      <c r="F291" s="78" t="s">
        <v>657</v>
      </c>
      <c r="G291" s="130">
        <v>450000</v>
      </c>
      <c r="H291" s="130">
        <v>15000000</v>
      </c>
      <c r="I291" s="130">
        <v>0</v>
      </c>
      <c r="J291" s="130">
        <v>0</v>
      </c>
      <c r="K291" s="78" t="s">
        <v>122</v>
      </c>
      <c r="L291" s="131">
        <v>0.29333333</v>
      </c>
      <c r="M291" s="131">
        <v>0.03</v>
      </c>
      <c r="N291" s="124">
        <v>25.134</v>
      </c>
      <c r="O291" s="124">
        <v>148.77420000000001</v>
      </c>
      <c r="P291" s="124">
        <v>121.6602</v>
      </c>
    </row>
    <row r="292" spans="2:16" x14ac:dyDescent="0.25">
      <c r="B292" s="78">
        <v>434875</v>
      </c>
      <c r="C292" s="78" t="s">
        <v>94</v>
      </c>
      <c r="D292" s="78" t="s">
        <v>339</v>
      </c>
      <c r="E292" s="78" t="s">
        <v>16</v>
      </c>
      <c r="F292" s="78" t="s">
        <v>340</v>
      </c>
      <c r="G292" s="130">
        <v>1575000</v>
      </c>
      <c r="H292" s="130">
        <v>45000000</v>
      </c>
      <c r="I292" s="130">
        <v>0</v>
      </c>
      <c r="J292" s="130">
        <v>0</v>
      </c>
      <c r="K292" s="78" t="s">
        <v>341</v>
      </c>
      <c r="L292" s="131">
        <v>0.29499999999999998</v>
      </c>
      <c r="M292" s="131">
        <v>3.5000000000000003E-2</v>
      </c>
      <c r="N292" s="124">
        <v>42.137549999999997</v>
      </c>
      <c r="O292" s="124">
        <v>159.13624999999999</v>
      </c>
      <c r="P292" s="124">
        <v>93.945949999999996</v>
      </c>
    </row>
    <row r="293" spans="2:16" x14ac:dyDescent="0.25">
      <c r="B293" s="78">
        <v>138</v>
      </c>
      <c r="C293" s="78" t="s">
        <v>45</v>
      </c>
      <c r="D293" s="78" t="s">
        <v>46</v>
      </c>
      <c r="E293" s="78" t="s">
        <v>16</v>
      </c>
      <c r="F293" s="78" t="s">
        <v>46</v>
      </c>
      <c r="G293" s="130">
        <v>25670000</v>
      </c>
      <c r="H293" s="130">
        <v>0</v>
      </c>
      <c r="I293" s="130">
        <v>0</v>
      </c>
      <c r="J293" s="130">
        <v>0</v>
      </c>
      <c r="K293" s="78" t="s">
        <v>44</v>
      </c>
      <c r="L293" s="131">
        <v>0</v>
      </c>
      <c r="M293" s="131">
        <v>1</v>
      </c>
      <c r="N293" s="124">
        <v>100.1644</v>
      </c>
      <c r="O293" s="124">
        <v>65.089799999999997</v>
      </c>
      <c r="P293" s="124">
        <v>120.21980000000001</v>
      </c>
    </row>
    <row r="294" spans="2:16" x14ac:dyDescent="0.25">
      <c r="B294" s="78">
        <v>431801</v>
      </c>
      <c r="C294" s="78" t="s">
        <v>94</v>
      </c>
      <c r="D294" s="78" t="s">
        <v>272</v>
      </c>
      <c r="E294" s="78" t="s">
        <v>16</v>
      </c>
      <c r="F294" s="78" t="s">
        <v>294</v>
      </c>
      <c r="G294" s="130">
        <v>1500000</v>
      </c>
      <c r="H294" s="130">
        <v>15000000</v>
      </c>
      <c r="I294" s="130">
        <v>0</v>
      </c>
      <c r="J294" s="130">
        <v>0</v>
      </c>
      <c r="K294" s="78" t="s">
        <v>295</v>
      </c>
      <c r="L294" s="131">
        <v>0.12</v>
      </c>
      <c r="M294" s="131">
        <v>0.1</v>
      </c>
      <c r="N294" s="124">
        <v>138.273</v>
      </c>
      <c r="O294" s="124">
        <v>34.948999999999998</v>
      </c>
      <c r="P294" s="124">
        <v>97.459000000000003</v>
      </c>
    </row>
    <row r="295" spans="2:16" x14ac:dyDescent="0.25">
      <c r="B295" s="78">
        <v>114</v>
      </c>
      <c r="C295" s="78" t="s">
        <v>42</v>
      </c>
      <c r="D295" s="78" t="s">
        <v>43</v>
      </c>
      <c r="E295" s="78" t="s">
        <v>16</v>
      </c>
      <c r="F295" s="78" t="s">
        <v>43</v>
      </c>
      <c r="G295" s="130">
        <v>803852369.37632203</v>
      </c>
      <c r="H295" s="130">
        <v>0</v>
      </c>
      <c r="I295" s="130">
        <v>0</v>
      </c>
      <c r="J295" s="130">
        <v>0</v>
      </c>
      <c r="K295" s="78" t="s">
        <v>44</v>
      </c>
      <c r="L295" s="131">
        <v>0</v>
      </c>
      <c r="M295" s="131">
        <v>1</v>
      </c>
      <c r="N295" s="124">
        <v>2.9546999999999999</v>
      </c>
      <c r="O295" s="124">
        <v>206.75819999999999</v>
      </c>
      <c r="P295" s="124">
        <v>21.7485</v>
      </c>
    </row>
    <row r="296" spans="2:16" x14ac:dyDescent="0.25">
      <c r="B296" s="78">
        <v>479986</v>
      </c>
      <c r="C296" s="78" t="s">
        <v>94</v>
      </c>
      <c r="D296" s="78" t="s">
        <v>661</v>
      </c>
      <c r="E296" s="78" t="s">
        <v>16</v>
      </c>
      <c r="F296" s="78" t="s">
        <v>777</v>
      </c>
      <c r="G296" s="130">
        <v>1000000</v>
      </c>
      <c r="H296" s="130">
        <v>10000000</v>
      </c>
      <c r="I296" s="130">
        <v>0</v>
      </c>
      <c r="J296" s="130">
        <v>0</v>
      </c>
      <c r="K296" s="78" t="s">
        <v>271</v>
      </c>
      <c r="L296" s="131">
        <v>0.255</v>
      </c>
      <c r="M296" s="131">
        <v>0.1</v>
      </c>
      <c r="N296" s="124"/>
      <c r="O296" s="124">
        <v>61.243000000000002</v>
      </c>
      <c r="P296" s="124">
        <v>167.43299999999999</v>
      </c>
    </row>
    <row r="297" spans="2:16" x14ac:dyDescent="0.25">
      <c r="B297" s="78">
        <v>446145</v>
      </c>
      <c r="C297" s="78" t="s">
        <v>94</v>
      </c>
      <c r="D297" s="78" t="s">
        <v>527</v>
      </c>
      <c r="E297" s="78" t="s">
        <v>16</v>
      </c>
      <c r="F297" s="78" t="s">
        <v>536</v>
      </c>
      <c r="G297" s="130">
        <v>1875000</v>
      </c>
      <c r="H297" s="130">
        <v>75000000</v>
      </c>
      <c r="I297" s="130">
        <v>0</v>
      </c>
      <c r="J297" s="130">
        <v>0</v>
      </c>
      <c r="K297" s="78" t="s">
        <v>122</v>
      </c>
      <c r="L297" s="131">
        <v>0.19903773</v>
      </c>
      <c r="M297" s="131">
        <v>2.5000000000000001E-2</v>
      </c>
      <c r="N297" s="124">
        <v>65.3035</v>
      </c>
      <c r="O297" s="124">
        <v>76.492500000000007</v>
      </c>
      <c r="P297" s="124">
        <v>79.032499999999999</v>
      </c>
    </row>
    <row r="298" spans="2:16" x14ac:dyDescent="0.25">
      <c r="B298" s="78">
        <v>437855</v>
      </c>
      <c r="C298" s="78" t="s">
        <v>94</v>
      </c>
      <c r="D298" s="78" t="s">
        <v>427</v>
      </c>
      <c r="E298" s="78" t="s">
        <v>16</v>
      </c>
      <c r="F298" s="78" t="s">
        <v>472</v>
      </c>
      <c r="G298" s="130">
        <v>750000</v>
      </c>
      <c r="H298" s="130">
        <v>30000000</v>
      </c>
      <c r="I298" s="130">
        <v>0</v>
      </c>
      <c r="J298" s="130">
        <v>0</v>
      </c>
      <c r="K298" s="78" t="s">
        <v>391</v>
      </c>
      <c r="L298" s="131">
        <v>0.15</v>
      </c>
      <c r="M298" s="131">
        <v>2.5000000000000001E-2</v>
      </c>
      <c r="N298" s="124">
        <v>34.973999999999997</v>
      </c>
      <c r="O298" s="124"/>
      <c r="P298" s="124">
        <v>184.6995</v>
      </c>
    </row>
    <row r="299" spans="2:16" x14ac:dyDescent="0.25">
      <c r="B299" s="78">
        <v>435053</v>
      </c>
      <c r="C299" s="78" t="s">
        <v>94</v>
      </c>
      <c r="D299" s="78" t="s">
        <v>392</v>
      </c>
      <c r="E299" s="78" t="s">
        <v>16</v>
      </c>
      <c r="F299" s="78" t="s">
        <v>393</v>
      </c>
      <c r="G299" s="130">
        <v>330000</v>
      </c>
      <c r="H299" s="130">
        <v>11000000</v>
      </c>
      <c r="I299" s="130">
        <v>0</v>
      </c>
      <c r="J299" s="130">
        <v>0</v>
      </c>
      <c r="K299" s="78" t="s">
        <v>394</v>
      </c>
      <c r="L299" s="131">
        <v>0.10909091</v>
      </c>
      <c r="M299" s="131">
        <v>0.03</v>
      </c>
      <c r="N299" s="124">
        <v>24.398099999999999</v>
      </c>
      <c r="O299" s="124">
        <v>74.5929</v>
      </c>
      <c r="P299" s="124">
        <v>119.98050000000001</v>
      </c>
    </row>
    <row r="300" spans="2:16" x14ac:dyDescent="0.25">
      <c r="B300" s="78">
        <v>483214</v>
      </c>
      <c r="C300" s="78" t="s">
        <v>94</v>
      </c>
      <c r="D300" s="78" t="s">
        <v>715</v>
      </c>
      <c r="E300" s="78" t="s">
        <v>16</v>
      </c>
      <c r="F300" s="78" t="s">
        <v>716</v>
      </c>
      <c r="G300" s="130">
        <v>3000000</v>
      </c>
      <c r="H300" s="130">
        <v>40000000</v>
      </c>
      <c r="I300" s="130">
        <v>0</v>
      </c>
      <c r="J300" s="130">
        <v>0</v>
      </c>
      <c r="K300" s="78" t="s">
        <v>122</v>
      </c>
      <c r="L300" s="131">
        <v>9.9936960000000005E-2</v>
      </c>
      <c r="M300" s="131">
        <v>7.4999999999999997E-2</v>
      </c>
      <c r="N300" s="124">
        <v>29.954249999999998</v>
      </c>
      <c r="O300" s="124">
        <v>88.521000000000001</v>
      </c>
      <c r="P300" s="124">
        <v>89.644499999999994</v>
      </c>
    </row>
    <row r="301" spans="2:16" x14ac:dyDescent="0.25">
      <c r="B301" s="78">
        <v>473018</v>
      </c>
      <c r="C301" s="78" t="s">
        <v>94</v>
      </c>
      <c r="D301" s="78" t="s">
        <v>604</v>
      </c>
      <c r="E301" s="78" t="s">
        <v>16</v>
      </c>
      <c r="F301" s="78" t="s">
        <v>640</v>
      </c>
      <c r="G301" s="130">
        <v>210000</v>
      </c>
      <c r="H301" s="130">
        <v>12000000</v>
      </c>
      <c r="I301" s="130">
        <v>0</v>
      </c>
      <c r="J301" s="130">
        <v>0</v>
      </c>
      <c r="K301" s="78" t="s">
        <v>122</v>
      </c>
      <c r="L301" s="131">
        <v>1.1531666700000001</v>
      </c>
      <c r="M301" s="131">
        <v>1.7500000000000002E-2</v>
      </c>
      <c r="N301" s="124">
        <v>59.169600000000003</v>
      </c>
      <c r="O301" s="124">
        <v>50.654975</v>
      </c>
      <c r="P301" s="124">
        <v>92.108625000000004</v>
      </c>
    </row>
    <row r="302" spans="2:16" x14ac:dyDescent="0.25">
      <c r="B302" s="78">
        <v>441790</v>
      </c>
      <c r="C302" s="78" t="s">
        <v>94</v>
      </c>
      <c r="D302" s="78" t="s">
        <v>380</v>
      </c>
      <c r="E302" s="78" t="s">
        <v>16</v>
      </c>
      <c r="F302" s="78" t="s">
        <v>387</v>
      </c>
      <c r="G302" s="130">
        <v>375000</v>
      </c>
      <c r="H302" s="130">
        <v>30000000</v>
      </c>
      <c r="I302" s="130">
        <v>0</v>
      </c>
      <c r="J302" s="130">
        <v>0</v>
      </c>
      <c r="K302" s="78" t="s">
        <v>122</v>
      </c>
      <c r="L302" s="131">
        <v>0.125</v>
      </c>
      <c r="M302" s="131">
        <v>1.2500000000000001E-2</v>
      </c>
      <c r="N302" s="124">
        <v>59.015875000000001</v>
      </c>
      <c r="O302" s="124">
        <v>68.217124999999996</v>
      </c>
      <c r="P302" s="124">
        <v>73.644625000000005</v>
      </c>
    </row>
    <row r="303" spans="2:16" x14ac:dyDescent="0.25">
      <c r="B303" s="78">
        <v>478527</v>
      </c>
      <c r="C303" s="78" t="s">
        <v>94</v>
      </c>
      <c r="D303" s="78" t="s">
        <v>794</v>
      </c>
      <c r="E303" s="78" t="s">
        <v>16</v>
      </c>
      <c r="F303" s="78" t="s">
        <v>795</v>
      </c>
      <c r="G303" s="130">
        <v>4339224.6660000002</v>
      </c>
      <c r="H303" s="130">
        <v>28928164.440000001</v>
      </c>
      <c r="I303" s="130">
        <v>0</v>
      </c>
      <c r="J303" s="130">
        <v>0</v>
      </c>
      <c r="K303" s="78" t="s">
        <v>122</v>
      </c>
      <c r="L303" s="131">
        <v>0.2475</v>
      </c>
      <c r="M303" s="131">
        <v>0.15</v>
      </c>
      <c r="N303" s="124"/>
      <c r="O303" s="124">
        <v>49.398000000000003</v>
      </c>
      <c r="P303" s="124">
        <v>149.55000000000001</v>
      </c>
    </row>
    <row r="304" spans="2:16" x14ac:dyDescent="0.25">
      <c r="B304" s="78">
        <v>485540</v>
      </c>
      <c r="C304" s="78" t="s">
        <v>94</v>
      </c>
      <c r="D304" s="78" t="s">
        <v>720</v>
      </c>
      <c r="E304" s="78" t="s">
        <v>16</v>
      </c>
      <c r="F304" s="78" t="s">
        <v>721</v>
      </c>
      <c r="G304" s="130">
        <v>3000000</v>
      </c>
      <c r="H304" s="130">
        <v>30000000</v>
      </c>
      <c r="I304" s="130">
        <v>0</v>
      </c>
      <c r="J304" s="130">
        <v>0</v>
      </c>
      <c r="K304" s="78" t="s">
        <v>122</v>
      </c>
      <c r="L304" s="131">
        <v>1.3998577299999999</v>
      </c>
      <c r="M304" s="131">
        <v>0.1</v>
      </c>
      <c r="N304" s="124">
        <v>57.393000000000001</v>
      </c>
      <c r="O304" s="124">
        <v>47.134999999999998</v>
      </c>
      <c r="P304" s="124">
        <v>82.835999999999999</v>
      </c>
    </row>
    <row r="305" spans="2:16" x14ac:dyDescent="0.25">
      <c r="B305" s="78">
        <v>446146</v>
      </c>
      <c r="C305" s="78" t="s">
        <v>94</v>
      </c>
      <c r="D305" s="78" t="s">
        <v>527</v>
      </c>
      <c r="E305" s="78" t="s">
        <v>16</v>
      </c>
      <c r="F305" s="78" t="s">
        <v>758</v>
      </c>
      <c r="G305" s="130">
        <v>3750000</v>
      </c>
      <c r="H305" s="130">
        <v>150000000</v>
      </c>
      <c r="I305" s="130">
        <v>0</v>
      </c>
      <c r="J305" s="130">
        <v>0</v>
      </c>
      <c r="K305" s="78" t="s">
        <v>122</v>
      </c>
      <c r="L305" s="131">
        <v>5.2747130000000003E-2</v>
      </c>
      <c r="M305" s="131">
        <v>2.5000000000000001E-2</v>
      </c>
      <c r="N305" s="124">
        <v>40.307499999999997</v>
      </c>
      <c r="O305" s="124">
        <v>47.810749999999999</v>
      </c>
      <c r="P305" s="124">
        <v>95.133499999999998</v>
      </c>
    </row>
    <row r="306" spans="2:16" x14ac:dyDescent="0.25">
      <c r="B306" s="78">
        <v>473162</v>
      </c>
      <c r="C306" s="78" t="s">
        <v>94</v>
      </c>
      <c r="D306" s="78" t="s">
        <v>671</v>
      </c>
      <c r="E306" s="78" t="s">
        <v>16</v>
      </c>
      <c r="F306" s="78" t="s">
        <v>672</v>
      </c>
      <c r="G306" s="130">
        <v>1250000</v>
      </c>
      <c r="H306" s="130">
        <v>25000000</v>
      </c>
      <c r="I306" s="130">
        <v>0</v>
      </c>
      <c r="J306" s="130">
        <v>0</v>
      </c>
      <c r="K306" s="78" t="s">
        <v>407</v>
      </c>
      <c r="L306" s="131">
        <v>0.35</v>
      </c>
      <c r="M306" s="131">
        <v>0.05</v>
      </c>
      <c r="N306" s="124">
        <v>56.970999999999997</v>
      </c>
      <c r="O306" s="124">
        <v>44.296999999999997</v>
      </c>
      <c r="P306" s="124">
        <v>69.040000000000006</v>
      </c>
    </row>
    <row r="307" spans="2:16" x14ac:dyDescent="0.25">
      <c r="B307" s="78">
        <v>447863</v>
      </c>
      <c r="C307" s="78" t="s">
        <v>94</v>
      </c>
      <c r="D307" s="78" t="s">
        <v>489</v>
      </c>
      <c r="E307" s="78" t="s">
        <v>16</v>
      </c>
      <c r="F307" s="78" t="s">
        <v>490</v>
      </c>
      <c r="G307" s="130">
        <v>175000</v>
      </c>
      <c r="H307" s="130">
        <v>5000000</v>
      </c>
      <c r="I307" s="130">
        <v>0</v>
      </c>
      <c r="J307" s="130">
        <v>0</v>
      </c>
      <c r="K307" s="78" t="s">
        <v>475</v>
      </c>
      <c r="L307" s="131">
        <v>0.45</v>
      </c>
      <c r="M307" s="131">
        <v>3.5000000000000003E-2</v>
      </c>
      <c r="N307" s="124">
        <v>14.261799999999999</v>
      </c>
      <c r="O307" s="124">
        <v>56.303800000000003</v>
      </c>
      <c r="P307" s="124">
        <v>90.009150000000005</v>
      </c>
    </row>
    <row r="308" spans="2:16" x14ac:dyDescent="0.25">
      <c r="B308" s="78">
        <v>445341</v>
      </c>
      <c r="C308" s="78" t="s">
        <v>94</v>
      </c>
      <c r="D308" s="78" t="s">
        <v>416</v>
      </c>
      <c r="E308" s="78" t="s">
        <v>16</v>
      </c>
      <c r="F308" s="78" t="s">
        <v>423</v>
      </c>
      <c r="G308" s="130">
        <v>11250000</v>
      </c>
      <c r="H308" s="130">
        <v>375000000</v>
      </c>
      <c r="I308" s="130">
        <v>0</v>
      </c>
      <c r="J308" s="130">
        <v>0</v>
      </c>
      <c r="K308" s="78" t="s">
        <v>424</v>
      </c>
      <c r="L308" s="131">
        <v>4.9333330000000002E-2</v>
      </c>
      <c r="M308" s="131">
        <v>0.03</v>
      </c>
      <c r="N308" s="124">
        <v>21.348600000000001</v>
      </c>
      <c r="O308" s="124">
        <v>6.1853999999999996</v>
      </c>
      <c r="P308" s="124">
        <v>129.39269999999999</v>
      </c>
    </row>
    <row r="309" spans="2:16" x14ac:dyDescent="0.25">
      <c r="B309" s="78">
        <v>447864</v>
      </c>
      <c r="C309" s="78" t="s">
        <v>94</v>
      </c>
      <c r="D309" s="78" t="s">
        <v>489</v>
      </c>
      <c r="E309" s="78" t="s">
        <v>16</v>
      </c>
      <c r="F309" s="78" t="s">
        <v>529</v>
      </c>
      <c r="G309" s="130">
        <v>350000</v>
      </c>
      <c r="H309" s="130">
        <v>10000000</v>
      </c>
      <c r="I309" s="130">
        <v>0</v>
      </c>
      <c r="J309" s="130">
        <v>0</v>
      </c>
      <c r="K309" s="78" t="s">
        <v>257</v>
      </c>
      <c r="L309" s="131">
        <v>0.25</v>
      </c>
      <c r="M309" s="131">
        <v>3.5000000000000003E-2</v>
      </c>
      <c r="N309" s="124">
        <v>18.133150000000001</v>
      </c>
      <c r="O309" s="124">
        <v>73.588200000000001</v>
      </c>
      <c r="P309" s="124">
        <v>64.538250000000005</v>
      </c>
    </row>
    <row r="310" spans="2:16" x14ac:dyDescent="0.25">
      <c r="B310" s="78">
        <v>483407</v>
      </c>
      <c r="C310" s="78" t="s">
        <v>15</v>
      </c>
      <c r="D310" s="78" t="s">
        <v>790</v>
      </c>
      <c r="E310" s="78" t="s">
        <v>16</v>
      </c>
      <c r="F310" s="78" t="s">
        <v>791</v>
      </c>
      <c r="G310" s="130">
        <v>2021042.6874333001</v>
      </c>
      <c r="H310" s="130">
        <v>202104268.74333</v>
      </c>
      <c r="I310" s="130">
        <v>0</v>
      </c>
      <c r="J310" s="130">
        <v>0</v>
      </c>
      <c r="K310" s="78" t="s">
        <v>122</v>
      </c>
      <c r="L310" s="131">
        <v>0.31256476</v>
      </c>
      <c r="M310" s="131">
        <v>0.01</v>
      </c>
      <c r="N310" s="124">
        <v>24.59876053</v>
      </c>
      <c r="O310" s="124">
        <v>72.480175430000003</v>
      </c>
      <c r="P310" s="124">
        <v>54.474748439999999</v>
      </c>
    </row>
    <row r="311" spans="2:16" x14ac:dyDescent="0.25">
      <c r="B311" s="78">
        <v>469841</v>
      </c>
      <c r="C311" s="78" t="s">
        <v>94</v>
      </c>
      <c r="D311" s="78" t="s">
        <v>596</v>
      </c>
      <c r="E311" s="78" t="s">
        <v>16</v>
      </c>
      <c r="F311" s="78" t="s">
        <v>597</v>
      </c>
      <c r="G311" s="130">
        <v>300000</v>
      </c>
      <c r="H311" s="130">
        <v>6000000</v>
      </c>
      <c r="I311" s="130">
        <v>0</v>
      </c>
      <c r="J311" s="130">
        <v>0</v>
      </c>
      <c r="K311" s="78" t="s">
        <v>122</v>
      </c>
      <c r="L311" s="131">
        <v>1.33355</v>
      </c>
      <c r="M311" s="131">
        <v>0.05</v>
      </c>
      <c r="N311" s="124">
        <v>36.831499999999998</v>
      </c>
      <c r="O311" s="124">
        <v>42.9285</v>
      </c>
      <c r="P311" s="124">
        <v>71.521000000000001</v>
      </c>
    </row>
    <row r="312" spans="2:16" x14ac:dyDescent="0.25">
      <c r="B312" s="78">
        <v>480016</v>
      </c>
      <c r="C312" s="78" t="s">
        <v>94</v>
      </c>
      <c r="D312" s="78" t="s">
        <v>724</v>
      </c>
      <c r="E312" s="78" t="s">
        <v>16</v>
      </c>
      <c r="F312" s="78" t="s">
        <v>725</v>
      </c>
      <c r="G312" s="130">
        <v>2800000</v>
      </c>
      <c r="H312" s="130">
        <v>70000000</v>
      </c>
      <c r="I312" s="130">
        <v>0</v>
      </c>
      <c r="J312" s="130">
        <v>0</v>
      </c>
      <c r="K312" s="78" t="s">
        <v>122</v>
      </c>
      <c r="L312" s="131">
        <v>0.5427862</v>
      </c>
      <c r="M312" s="131">
        <v>0.04</v>
      </c>
      <c r="N312" s="124">
        <v>16.918800000000001</v>
      </c>
      <c r="O312" s="124">
        <v>37.206800000000001</v>
      </c>
      <c r="P312" s="124">
        <v>91.167199999999994</v>
      </c>
    </row>
    <row r="313" spans="2:16" x14ac:dyDescent="0.25">
      <c r="B313" s="78">
        <v>420178</v>
      </c>
      <c r="C313" s="78" t="s">
        <v>94</v>
      </c>
      <c r="D313" s="78" t="s">
        <v>170</v>
      </c>
      <c r="E313" s="78" t="s">
        <v>16</v>
      </c>
      <c r="F313" s="78" t="s">
        <v>242</v>
      </c>
      <c r="G313" s="130">
        <v>704434.61609999998</v>
      </c>
      <c r="H313" s="130">
        <v>15654102.58</v>
      </c>
      <c r="I313" s="130">
        <v>0</v>
      </c>
      <c r="J313" s="130">
        <v>0</v>
      </c>
      <c r="K313" s="78" t="s">
        <v>243</v>
      </c>
      <c r="L313" s="131">
        <v>0.21496517000000001</v>
      </c>
      <c r="M313" s="131">
        <v>4.4999999999999998E-2</v>
      </c>
      <c r="N313" s="124">
        <v>21.818249999999999</v>
      </c>
      <c r="O313" s="124">
        <v>61.594650000000001</v>
      </c>
      <c r="P313" s="124">
        <v>52.71255</v>
      </c>
    </row>
    <row r="314" spans="2:16" x14ac:dyDescent="0.25">
      <c r="B314" s="78">
        <v>435275</v>
      </c>
      <c r="C314" s="78" t="s">
        <v>94</v>
      </c>
      <c r="D314" s="78" t="s">
        <v>756</v>
      </c>
      <c r="E314" s="78" t="s">
        <v>16</v>
      </c>
      <c r="F314" s="78" t="s">
        <v>757</v>
      </c>
      <c r="G314" s="130">
        <v>2500000</v>
      </c>
      <c r="H314" s="130">
        <v>25000000</v>
      </c>
      <c r="I314" s="130">
        <v>0</v>
      </c>
      <c r="J314" s="130">
        <v>0</v>
      </c>
      <c r="K314" s="78" t="s">
        <v>407</v>
      </c>
      <c r="L314" s="131">
        <v>0.23199997</v>
      </c>
      <c r="M314" s="131">
        <v>0.1</v>
      </c>
      <c r="N314" s="124"/>
      <c r="O314" s="124">
        <v>66.069999999999993</v>
      </c>
      <c r="P314" s="124">
        <v>66.215000000000003</v>
      </c>
    </row>
    <row r="315" spans="2:16" x14ac:dyDescent="0.25">
      <c r="B315" s="78">
        <v>484879</v>
      </c>
      <c r="C315" s="78" t="s">
        <v>94</v>
      </c>
      <c r="D315" s="78" t="s">
        <v>808</v>
      </c>
      <c r="E315" s="78" t="s">
        <v>16</v>
      </c>
      <c r="F315" s="78" t="s">
        <v>810</v>
      </c>
      <c r="G315" s="130">
        <v>1690451.1705</v>
      </c>
      <c r="H315" s="130">
        <v>67618046.819999993</v>
      </c>
      <c r="I315" s="130">
        <v>0</v>
      </c>
      <c r="J315" s="130">
        <v>0</v>
      </c>
      <c r="K315" s="78" t="s">
        <v>122</v>
      </c>
      <c r="L315" s="131">
        <v>0.22</v>
      </c>
      <c r="M315" s="131">
        <v>2.5000000000000001E-2</v>
      </c>
      <c r="N315" s="124">
        <v>42.319499999999998</v>
      </c>
      <c r="O315" s="124">
        <v>36.535499999999999</v>
      </c>
      <c r="P315" s="124">
        <v>48.122250000000001</v>
      </c>
    </row>
    <row r="316" spans="2:16" x14ac:dyDescent="0.25">
      <c r="B316" s="78">
        <v>424514</v>
      </c>
      <c r="C316" s="78" t="s">
        <v>127</v>
      </c>
      <c r="D316" s="78" t="s">
        <v>326</v>
      </c>
      <c r="E316" s="78" t="s">
        <v>14</v>
      </c>
      <c r="F316" s="78" t="s">
        <v>327</v>
      </c>
      <c r="G316" s="130">
        <v>21503083.149999999</v>
      </c>
      <c r="H316" s="130">
        <v>21503083.149999999</v>
      </c>
      <c r="I316" s="130">
        <v>0</v>
      </c>
      <c r="J316" s="130">
        <v>0</v>
      </c>
      <c r="K316" s="78" t="s">
        <v>14</v>
      </c>
      <c r="L316" s="131">
        <v>6.9757400000000002E-3</v>
      </c>
      <c r="M316" s="131">
        <v>1</v>
      </c>
      <c r="N316" s="124"/>
      <c r="O316" s="124">
        <v>25.37</v>
      </c>
      <c r="P316" s="124">
        <v>90.12</v>
      </c>
    </row>
    <row r="317" spans="2:16" x14ac:dyDescent="0.25">
      <c r="B317" s="78">
        <v>131</v>
      </c>
      <c r="C317" s="78" t="s">
        <v>218</v>
      </c>
      <c r="D317" s="78" t="s">
        <v>219</v>
      </c>
      <c r="E317" s="78" t="s">
        <v>16</v>
      </c>
      <c r="F317" s="78" t="s">
        <v>219</v>
      </c>
      <c r="G317" s="130">
        <v>16348609.506002501</v>
      </c>
      <c r="H317" s="130">
        <v>0</v>
      </c>
      <c r="I317" s="130">
        <v>0</v>
      </c>
      <c r="J317" s="130">
        <v>0</v>
      </c>
      <c r="K317" s="78" t="s">
        <v>44</v>
      </c>
      <c r="L317" s="131">
        <v>0</v>
      </c>
      <c r="M317" s="131">
        <v>1</v>
      </c>
      <c r="N317" s="124">
        <v>31.444400000000002</v>
      </c>
      <c r="O317" s="124">
        <v>26.368600000000001</v>
      </c>
      <c r="P317" s="124">
        <v>32.464199999999998</v>
      </c>
    </row>
    <row r="318" spans="2:16" x14ac:dyDescent="0.25">
      <c r="B318" s="78">
        <v>426935</v>
      </c>
      <c r="C318" s="78" t="s">
        <v>94</v>
      </c>
      <c r="D318" s="78" t="s">
        <v>163</v>
      </c>
      <c r="E318" s="78" t="s">
        <v>16</v>
      </c>
      <c r="F318" s="78" t="s">
        <v>164</v>
      </c>
      <c r="G318" s="130">
        <v>312500</v>
      </c>
      <c r="H318" s="130">
        <v>2500000</v>
      </c>
      <c r="I318" s="130">
        <v>0</v>
      </c>
      <c r="J318" s="130">
        <v>0</v>
      </c>
      <c r="K318" s="78" t="s">
        <v>165</v>
      </c>
      <c r="L318" s="131">
        <v>0.25</v>
      </c>
      <c r="M318" s="131">
        <v>0.125</v>
      </c>
      <c r="N318" s="124">
        <v>17.065000000000001</v>
      </c>
      <c r="O318" s="124">
        <v>16.23</v>
      </c>
      <c r="P318" s="124">
        <v>55.712499999999999</v>
      </c>
    </row>
    <row r="319" spans="2:16" x14ac:dyDescent="0.25">
      <c r="B319" s="78">
        <v>431320</v>
      </c>
      <c r="C319" s="78" t="s">
        <v>94</v>
      </c>
      <c r="D319" s="78" t="s">
        <v>269</v>
      </c>
      <c r="E319" s="78" t="s">
        <v>16</v>
      </c>
      <c r="F319" s="78" t="s">
        <v>342</v>
      </c>
      <c r="G319" s="130">
        <v>542972.55599999998</v>
      </c>
      <c r="H319" s="130">
        <v>6033028.4000000004</v>
      </c>
      <c r="I319" s="130">
        <v>0</v>
      </c>
      <c r="J319" s="130">
        <v>0</v>
      </c>
      <c r="K319" s="78" t="s">
        <v>343</v>
      </c>
      <c r="L319" s="131">
        <v>0.24025046</v>
      </c>
      <c r="M319" s="131">
        <v>0.09</v>
      </c>
      <c r="N319" s="124">
        <v>25.078499999999998</v>
      </c>
      <c r="O319" s="124">
        <v>31.477499999999999</v>
      </c>
      <c r="P319" s="124">
        <v>29.593800000000002</v>
      </c>
    </row>
    <row r="320" spans="2:16" x14ac:dyDescent="0.25">
      <c r="B320" s="78">
        <v>447865</v>
      </c>
      <c r="C320" s="78" t="s">
        <v>94</v>
      </c>
      <c r="D320" s="78" t="s">
        <v>489</v>
      </c>
      <c r="E320" s="78" t="s">
        <v>16</v>
      </c>
      <c r="F320" s="78" t="s">
        <v>497</v>
      </c>
      <c r="G320" s="130">
        <v>350000</v>
      </c>
      <c r="H320" s="130">
        <v>10000000</v>
      </c>
      <c r="I320" s="130">
        <v>0</v>
      </c>
      <c r="J320" s="130">
        <v>0</v>
      </c>
      <c r="K320" s="78" t="s">
        <v>498</v>
      </c>
      <c r="L320" s="131">
        <v>0.1</v>
      </c>
      <c r="M320" s="131">
        <v>3.5000000000000003E-2</v>
      </c>
      <c r="N320" s="124">
        <v>3.1818499999999998</v>
      </c>
      <c r="O320" s="124">
        <v>46.746000000000002</v>
      </c>
      <c r="P320" s="124">
        <v>31.905650000000001</v>
      </c>
    </row>
    <row r="321" spans="2:16" x14ac:dyDescent="0.25">
      <c r="B321" s="78">
        <v>464186</v>
      </c>
      <c r="C321" s="78" t="s">
        <v>45</v>
      </c>
      <c r="D321" s="78" t="s">
        <v>606</v>
      </c>
      <c r="E321" s="78" t="s">
        <v>16</v>
      </c>
      <c r="F321" s="78" t="s">
        <v>607</v>
      </c>
      <c r="G321" s="130">
        <v>4000000</v>
      </c>
      <c r="H321" s="130">
        <v>20000000</v>
      </c>
      <c r="I321" s="130">
        <v>0</v>
      </c>
      <c r="J321" s="130">
        <v>0</v>
      </c>
      <c r="K321" s="78" t="s">
        <v>608</v>
      </c>
      <c r="L321" s="131">
        <v>0.21</v>
      </c>
      <c r="M321" s="131">
        <v>0.2</v>
      </c>
      <c r="N321" s="124">
        <v>22.564</v>
      </c>
      <c r="O321" s="124">
        <v>24.4</v>
      </c>
      <c r="P321" s="124">
        <v>33.457999999999998</v>
      </c>
    </row>
    <row r="322" spans="2:16" x14ac:dyDescent="0.25">
      <c r="B322" s="78">
        <v>471244</v>
      </c>
      <c r="C322" s="78" t="s">
        <v>45</v>
      </c>
      <c r="D322" s="78" t="s">
        <v>767</v>
      </c>
      <c r="E322" s="78" t="s">
        <v>16</v>
      </c>
      <c r="F322" s="78" t="s">
        <v>768</v>
      </c>
      <c r="G322" s="130">
        <v>4000000</v>
      </c>
      <c r="H322" s="130">
        <v>20000000</v>
      </c>
      <c r="I322" s="130">
        <v>0</v>
      </c>
      <c r="J322" s="130">
        <v>0</v>
      </c>
      <c r="K322" s="78" t="s">
        <v>248</v>
      </c>
      <c r="L322" s="131">
        <v>0.24723000000000001</v>
      </c>
      <c r="M322" s="131">
        <v>0.2</v>
      </c>
      <c r="N322" s="124">
        <v>38.914000000000001</v>
      </c>
      <c r="O322" s="124">
        <v>5.5519999999999996</v>
      </c>
      <c r="P322" s="124">
        <v>34.012</v>
      </c>
    </row>
    <row r="323" spans="2:16" x14ac:dyDescent="0.25">
      <c r="B323" s="78">
        <v>468971</v>
      </c>
      <c r="C323" s="78" t="s">
        <v>94</v>
      </c>
      <c r="D323" s="78" t="s">
        <v>832</v>
      </c>
      <c r="E323" s="78" t="s">
        <v>16</v>
      </c>
      <c r="F323" s="78" t="s">
        <v>833</v>
      </c>
      <c r="G323" s="130">
        <v>4092128.8162500001</v>
      </c>
      <c r="H323" s="130">
        <v>32737030.530000001</v>
      </c>
      <c r="I323" s="130">
        <v>0</v>
      </c>
      <c r="J323" s="130">
        <v>0</v>
      </c>
      <c r="K323" s="78" t="s">
        <v>122</v>
      </c>
      <c r="L323" s="131">
        <v>0.26500000000000001</v>
      </c>
      <c r="M323" s="131">
        <v>0.125</v>
      </c>
      <c r="N323" s="124">
        <v>26.46</v>
      </c>
      <c r="O323" s="124">
        <v>20.73</v>
      </c>
      <c r="P323" s="124">
        <v>27.03125</v>
      </c>
    </row>
    <row r="324" spans="2:16" x14ac:dyDescent="0.25">
      <c r="B324" s="78">
        <v>441791</v>
      </c>
      <c r="C324" s="78" t="s">
        <v>94</v>
      </c>
      <c r="D324" s="78" t="s">
        <v>380</v>
      </c>
      <c r="E324" s="78" t="s">
        <v>16</v>
      </c>
      <c r="F324" s="78" t="s">
        <v>381</v>
      </c>
      <c r="G324" s="130">
        <v>375000</v>
      </c>
      <c r="H324" s="130">
        <v>30000000</v>
      </c>
      <c r="I324" s="130">
        <v>0</v>
      </c>
      <c r="J324" s="130">
        <v>0</v>
      </c>
      <c r="K324" s="78" t="s">
        <v>122</v>
      </c>
      <c r="L324" s="131">
        <v>0.05</v>
      </c>
      <c r="M324" s="131">
        <v>1.2500000000000001E-2</v>
      </c>
      <c r="N324" s="124">
        <v>28.126124999999998</v>
      </c>
      <c r="O324" s="124">
        <v>11.134625</v>
      </c>
      <c r="P324" s="124">
        <v>33.3705</v>
      </c>
    </row>
    <row r="325" spans="2:16" x14ac:dyDescent="0.25">
      <c r="B325" s="78">
        <v>475297</v>
      </c>
      <c r="C325" s="78" t="s">
        <v>94</v>
      </c>
      <c r="D325" s="78" t="s">
        <v>792</v>
      </c>
      <c r="E325" s="78" t="s">
        <v>16</v>
      </c>
      <c r="F325" s="78" t="s">
        <v>793</v>
      </c>
      <c r="G325" s="130">
        <v>562500</v>
      </c>
      <c r="H325" s="130">
        <v>7500000</v>
      </c>
      <c r="I325" s="130">
        <v>0</v>
      </c>
      <c r="J325" s="130">
        <v>0</v>
      </c>
      <c r="K325" s="78" t="s">
        <v>122</v>
      </c>
      <c r="L325" s="131">
        <v>0.43333333000000002</v>
      </c>
      <c r="M325" s="131">
        <v>7.4999999999999997E-2</v>
      </c>
      <c r="N325" s="124"/>
      <c r="O325" s="124">
        <v>30.231000000000002</v>
      </c>
      <c r="P325" s="124">
        <v>39.257249999999999</v>
      </c>
    </row>
    <row r="326" spans="2:16" x14ac:dyDescent="0.25">
      <c r="B326" s="78">
        <v>476659</v>
      </c>
      <c r="C326" s="78" t="s">
        <v>45</v>
      </c>
      <c r="D326" s="78" t="s">
        <v>669</v>
      </c>
      <c r="E326" s="78" t="s">
        <v>16</v>
      </c>
      <c r="F326" s="78" t="s">
        <v>769</v>
      </c>
      <c r="G326" s="130">
        <v>500000</v>
      </c>
      <c r="H326" s="130">
        <v>5000000</v>
      </c>
      <c r="I326" s="130">
        <v>0</v>
      </c>
      <c r="J326" s="130">
        <v>0</v>
      </c>
      <c r="K326" s="78" t="s">
        <v>475</v>
      </c>
      <c r="L326" s="131">
        <v>0.17499999999999999</v>
      </c>
      <c r="M326" s="131">
        <v>0.1</v>
      </c>
      <c r="N326" s="124">
        <v>11.999000000000001</v>
      </c>
      <c r="O326" s="124">
        <v>17.670999999999999</v>
      </c>
      <c r="P326" s="124">
        <v>35.832999999999998</v>
      </c>
    </row>
    <row r="327" spans="2:16" x14ac:dyDescent="0.25">
      <c r="B327" s="78">
        <v>115</v>
      </c>
      <c r="C327" s="78" t="s">
        <v>42</v>
      </c>
      <c r="D327" s="78" t="s">
        <v>43</v>
      </c>
      <c r="E327" s="78" t="s">
        <v>16</v>
      </c>
      <c r="F327" s="78" t="s">
        <v>43</v>
      </c>
      <c r="G327" s="130">
        <v>45686581.967204303</v>
      </c>
      <c r="H327" s="130">
        <v>0</v>
      </c>
      <c r="I327" s="130">
        <v>0</v>
      </c>
      <c r="J327" s="130">
        <v>0</v>
      </c>
      <c r="K327" s="78" t="s">
        <v>44</v>
      </c>
      <c r="L327" s="131">
        <v>0</v>
      </c>
      <c r="M327" s="131">
        <v>1</v>
      </c>
      <c r="N327" s="124"/>
      <c r="O327" s="124">
        <v>62.994</v>
      </c>
      <c r="P327" s="124"/>
    </row>
    <row r="328" spans="2:16" x14ac:dyDescent="0.25">
      <c r="B328" s="78">
        <v>434018</v>
      </c>
      <c r="C328" s="78" t="s">
        <v>94</v>
      </c>
      <c r="D328" s="78" t="s">
        <v>301</v>
      </c>
      <c r="E328" s="78" t="s">
        <v>16</v>
      </c>
      <c r="F328" s="78" t="s">
        <v>302</v>
      </c>
      <c r="G328" s="130">
        <v>562500</v>
      </c>
      <c r="H328" s="130">
        <v>7500000</v>
      </c>
      <c r="I328" s="130">
        <v>0</v>
      </c>
      <c r="J328" s="130">
        <v>0</v>
      </c>
      <c r="K328" s="78" t="s">
        <v>303</v>
      </c>
      <c r="L328" s="131">
        <v>0.105</v>
      </c>
      <c r="M328" s="131">
        <v>7.4999999999999997E-2</v>
      </c>
      <c r="N328" s="124">
        <v>13.116</v>
      </c>
      <c r="O328" s="124">
        <v>17.357250000000001</v>
      </c>
      <c r="P328" s="124">
        <v>21.797999999999998</v>
      </c>
    </row>
    <row r="329" spans="2:16" x14ac:dyDescent="0.25">
      <c r="B329" s="78">
        <v>432267</v>
      </c>
      <c r="C329" s="78" t="s">
        <v>94</v>
      </c>
      <c r="D329" s="78" t="s">
        <v>287</v>
      </c>
      <c r="E329" s="78" t="s">
        <v>16</v>
      </c>
      <c r="F329" s="78" t="s">
        <v>288</v>
      </c>
      <c r="G329" s="130">
        <v>750000</v>
      </c>
      <c r="H329" s="130">
        <v>15000000</v>
      </c>
      <c r="I329" s="130">
        <v>0</v>
      </c>
      <c r="J329" s="130">
        <v>0</v>
      </c>
      <c r="K329" s="78" t="s">
        <v>274</v>
      </c>
      <c r="L329" s="131">
        <v>0.29499999999999998</v>
      </c>
      <c r="M329" s="131">
        <v>0.05</v>
      </c>
      <c r="N329" s="124">
        <v>6.4675000000000002</v>
      </c>
      <c r="O329" s="124">
        <v>27.277999999999999</v>
      </c>
      <c r="P329" s="124">
        <v>17.236000000000001</v>
      </c>
    </row>
    <row r="330" spans="2:16" x14ac:dyDescent="0.25">
      <c r="B330" s="78">
        <v>468838</v>
      </c>
      <c r="C330" s="78" t="s">
        <v>94</v>
      </c>
      <c r="D330" s="78" t="s">
        <v>582</v>
      </c>
      <c r="E330" s="78" t="s">
        <v>16</v>
      </c>
      <c r="F330" s="78" t="s">
        <v>805</v>
      </c>
      <c r="G330" s="130">
        <v>750000</v>
      </c>
      <c r="H330" s="130">
        <v>15000000</v>
      </c>
      <c r="I330" s="130">
        <v>0</v>
      </c>
      <c r="J330" s="130">
        <v>0</v>
      </c>
      <c r="K330" s="78" t="s">
        <v>122</v>
      </c>
      <c r="L330" s="131">
        <v>0.34921667000000001</v>
      </c>
      <c r="M330" s="131">
        <v>0.05</v>
      </c>
      <c r="N330" s="124"/>
      <c r="O330" s="124">
        <v>12.724500000000001</v>
      </c>
      <c r="P330" s="124">
        <v>25.945</v>
      </c>
    </row>
    <row r="331" spans="2:16" x14ac:dyDescent="0.25">
      <c r="B331" s="78">
        <v>471725</v>
      </c>
      <c r="C331" s="78" t="s">
        <v>94</v>
      </c>
      <c r="D331" s="78" t="s">
        <v>663</v>
      </c>
      <c r="E331" s="78" t="s">
        <v>16</v>
      </c>
      <c r="F331" s="78" t="s">
        <v>664</v>
      </c>
      <c r="G331" s="130">
        <v>1000000</v>
      </c>
      <c r="H331" s="130">
        <v>50000000</v>
      </c>
      <c r="I331" s="130">
        <v>0</v>
      </c>
      <c r="J331" s="130">
        <v>0</v>
      </c>
      <c r="K331" s="78" t="s">
        <v>122</v>
      </c>
      <c r="L331" s="131">
        <v>0.22163552</v>
      </c>
      <c r="M331" s="131">
        <v>0.02</v>
      </c>
      <c r="N331" s="124">
        <v>3.1741999999999999</v>
      </c>
      <c r="O331" s="124">
        <v>13.214</v>
      </c>
      <c r="P331" s="124">
        <v>19.8306</v>
      </c>
    </row>
    <row r="332" spans="2:16" x14ac:dyDescent="0.25">
      <c r="B332" s="78">
        <v>485125</v>
      </c>
      <c r="C332" s="78" t="s">
        <v>94</v>
      </c>
      <c r="D332" s="78" t="s">
        <v>808</v>
      </c>
      <c r="E332" s="78" t="s">
        <v>16</v>
      </c>
      <c r="F332" s="78" t="s">
        <v>809</v>
      </c>
      <c r="G332" s="130">
        <v>3403678.8454999998</v>
      </c>
      <c r="H332" s="130">
        <v>68073576.909999996</v>
      </c>
      <c r="I332" s="130">
        <v>0</v>
      </c>
      <c r="J332" s="130">
        <v>0</v>
      </c>
      <c r="K332" s="78" t="s">
        <v>122</v>
      </c>
      <c r="L332" s="131">
        <v>5.5E-2</v>
      </c>
      <c r="M332" s="131">
        <v>0.05</v>
      </c>
      <c r="N332" s="124">
        <v>11.727499999999999</v>
      </c>
      <c r="O332" s="124">
        <v>9.4354999999999993</v>
      </c>
      <c r="P332" s="124">
        <v>12.589</v>
      </c>
    </row>
    <row r="333" spans="2:16" x14ac:dyDescent="0.25">
      <c r="B333" s="78">
        <v>481623</v>
      </c>
      <c r="C333" s="78" t="s">
        <v>94</v>
      </c>
      <c r="D333" s="78" t="s">
        <v>677</v>
      </c>
      <c r="E333" s="78" t="s">
        <v>16</v>
      </c>
      <c r="F333" s="78" t="s">
        <v>678</v>
      </c>
      <c r="G333" s="130">
        <v>500000</v>
      </c>
      <c r="H333" s="130">
        <v>5000000</v>
      </c>
      <c r="I333" s="130">
        <v>0</v>
      </c>
      <c r="J333" s="130">
        <v>0</v>
      </c>
      <c r="K333" s="78" t="s">
        <v>475</v>
      </c>
      <c r="L333" s="131">
        <v>1.6</v>
      </c>
      <c r="M333" s="131">
        <v>0.1</v>
      </c>
      <c r="N333" s="124">
        <v>4.4690000000000003</v>
      </c>
      <c r="O333" s="124">
        <v>4.4740000000000002</v>
      </c>
      <c r="P333" s="124">
        <v>24.119</v>
      </c>
    </row>
    <row r="334" spans="2:16" x14ac:dyDescent="0.25">
      <c r="B334" s="78">
        <v>449981</v>
      </c>
      <c r="C334" s="78" t="s">
        <v>94</v>
      </c>
      <c r="D334" s="78" t="s">
        <v>584</v>
      </c>
      <c r="E334" s="78" t="s">
        <v>16</v>
      </c>
      <c r="F334" s="78" t="s">
        <v>585</v>
      </c>
      <c r="G334" s="130">
        <v>900000</v>
      </c>
      <c r="H334" s="130">
        <v>15000000</v>
      </c>
      <c r="I334" s="130">
        <v>0</v>
      </c>
      <c r="J334" s="130">
        <v>0</v>
      </c>
      <c r="K334" s="78" t="s">
        <v>271</v>
      </c>
      <c r="L334" s="131">
        <v>0.22500000000000001</v>
      </c>
      <c r="M334" s="131">
        <v>0.06</v>
      </c>
      <c r="N334" s="124">
        <v>8.8632000000000009</v>
      </c>
      <c r="O334" s="124">
        <v>10.211399999999999</v>
      </c>
      <c r="P334" s="124">
        <v>11.2782</v>
      </c>
    </row>
    <row r="335" spans="2:16" x14ac:dyDescent="0.25">
      <c r="B335" s="78">
        <v>449414</v>
      </c>
      <c r="C335" s="78" t="s">
        <v>92</v>
      </c>
      <c r="D335" s="78" t="s">
        <v>575</v>
      </c>
      <c r="E335" s="78" t="s">
        <v>14</v>
      </c>
      <c r="F335" s="78" t="s">
        <v>576</v>
      </c>
      <c r="G335" s="130">
        <v>8810414.67189789</v>
      </c>
      <c r="H335" s="130">
        <v>352416586.875916</v>
      </c>
      <c r="I335" s="130">
        <v>0</v>
      </c>
      <c r="J335" s="130">
        <v>0</v>
      </c>
      <c r="K335" s="78" t="s">
        <v>153</v>
      </c>
      <c r="L335" s="131">
        <v>7.1478E-2</v>
      </c>
      <c r="M335" s="131">
        <v>2.5000000000000001E-2</v>
      </c>
      <c r="N335" s="124">
        <v>2.46456666</v>
      </c>
      <c r="O335" s="124">
        <v>4.4210660800000001</v>
      </c>
      <c r="P335" s="124">
        <v>16.390014409999999</v>
      </c>
    </row>
    <row r="336" spans="2:16" x14ac:dyDescent="0.25">
      <c r="B336" s="78">
        <v>471712</v>
      </c>
      <c r="C336" s="78" t="s">
        <v>45</v>
      </c>
      <c r="D336" s="78" t="s">
        <v>683</v>
      </c>
      <c r="E336" s="78" t="s">
        <v>16</v>
      </c>
      <c r="F336" s="78" t="s">
        <v>684</v>
      </c>
      <c r="G336" s="130">
        <v>15000000</v>
      </c>
      <c r="H336" s="130">
        <v>150000000</v>
      </c>
      <c r="I336" s="130">
        <v>0</v>
      </c>
      <c r="J336" s="130">
        <v>0</v>
      </c>
      <c r="K336" s="78" t="s">
        <v>685</v>
      </c>
      <c r="L336" s="131">
        <v>4.7142530000000002E-2</v>
      </c>
      <c r="M336" s="131">
        <v>0.1</v>
      </c>
      <c r="N336" s="124"/>
      <c r="O336" s="124">
        <v>4.9409999999999998</v>
      </c>
      <c r="P336" s="124">
        <v>17.236000000000001</v>
      </c>
    </row>
    <row r="337" spans="2:16" x14ac:dyDescent="0.25">
      <c r="B337" s="78">
        <v>468872</v>
      </c>
      <c r="C337" s="78" t="s">
        <v>94</v>
      </c>
      <c r="D337" s="78" t="s">
        <v>591</v>
      </c>
      <c r="E337" s="78" t="s">
        <v>16</v>
      </c>
      <c r="F337" s="78" t="s">
        <v>650</v>
      </c>
      <c r="G337" s="130">
        <v>2500000</v>
      </c>
      <c r="H337" s="130">
        <v>50000000</v>
      </c>
      <c r="I337" s="130">
        <v>0</v>
      </c>
      <c r="J337" s="130">
        <v>0</v>
      </c>
      <c r="K337" s="78" t="s">
        <v>651</v>
      </c>
      <c r="L337" s="131">
        <v>0.51004959999999999</v>
      </c>
      <c r="M337" s="131">
        <v>0.05</v>
      </c>
      <c r="N337" s="124"/>
      <c r="O337" s="124">
        <v>17.206</v>
      </c>
      <c r="P337" s="124"/>
    </row>
    <row r="338" spans="2:16" x14ac:dyDescent="0.25">
      <c r="B338" s="78">
        <v>288756</v>
      </c>
      <c r="C338" s="78" t="s">
        <v>87</v>
      </c>
      <c r="D338" s="78" t="s">
        <v>223</v>
      </c>
      <c r="E338" s="78" t="s">
        <v>14</v>
      </c>
      <c r="F338" s="78" t="s">
        <v>222</v>
      </c>
      <c r="G338" s="130">
        <v>1391867.3</v>
      </c>
      <c r="H338" s="130">
        <v>1391867.3</v>
      </c>
      <c r="I338" s="130">
        <v>0</v>
      </c>
      <c r="J338" s="130">
        <v>0</v>
      </c>
      <c r="K338" s="78" t="s">
        <v>14</v>
      </c>
      <c r="L338" s="131">
        <v>3.5922959999999997E-2</v>
      </c>
      <c r="M338" s="131">
        <v>1</v>
      </c>
      <c r="N338" s="124">
        <v>2.52</v>
      </c>
      <c r="O338" s="124">
        <v>2.66</v>
      </c>
      <c r="P338" s="124">
        <v>11.48</v>
      </c>
    </row>
    <row r="339" spans="2:16" x14ac:dyDescent="0.25">
      <c r="B339" s="78">
        <v>467040</v>
      </c>
      <c r="C339" s="78" t="s">
        <v>94</v>
      </c>
      <c r="D339" s="78" t="s">
        <v>565</v>
      </c>
      <c r="E339" s="78" t="s">
        <v>16</v>
      </c>
      <c r="F339" s="78" t="s">
        <v>566</v>
      </c>
      <c r="G339" s="130">
        <v>4000000</v>
      </c>
      <c r="H339" s="130">
        <v>80000000</v>
      </c>
      <c r="I339" s="130">
        <v>0</v>
      </c>
      <c r="J339" s="130">
        <v>0</v>
      </c>
      <c r="K339" s="78" t="s">
        <v>122</v>
      </c>
      <c r="L339" s="131">
        <v>0.20624999999999999</v>
      </c>
      <c r="M339" s="131">
        <v>0.05</v>
      </c>
      <c r="N339" s="124">
        <v>2.3264999999999998</v>
      </c>
      <c r="O339" s="124">
        <v>4.4264999999999999</v>
      </c>
      <c r="P339" s="124">
        <v>7.6924999999999999</v>
      </c>
    </row>
    <row r="340" spans="2:16" x14ac:dyDescent="0.25">
      <c r="B340" s="78">
        <v>483235</v>
      </c>
      <c r="C340" s="78" t="s">
        <v>94</v>
      </c>
      <c r="D340" s="78" t="s">
        <v>803</v>
      </c>
      <c r="E340" s="78" t="s">
        <v>16</v>
      </c>
      <c r="F340" s="78" t="s">
        <v>804</v>
      </c>
      <c r="G340" s="130">
        <v>200000</v>
      </c>
      <c r="H340" s="130">
        <v>8000000</v>
      </c>
      <c r="I340" s="130">
        <v>0</v>
      </c>
      <c r="J340" s="130">
        <v>0</v>
      </c>
      <c r="K340" s="78" t="s">
        <v>122</v>
      </c>
      <c r="L340" s="131">
        <v>0.77500000000000002</v>
      </c>
      <c r="M340" s="131">
        <v>2.5000000000000001E-2</v>
      </c>
      <c r="N340" s="124">
        <v>6.0644999999999998</v>
      </c>
      <c r="O340" s="124"/>
      <c r="P340" s="124">
        <v>6.6137499999999996</v>
      </c>
    </row>
    <row r="341" spans="2:16" x14ac:dyDescent="0.25">
      <c r="B341" s="78">
        <v>462061</v>
      </c>
      <c r="C341" s="78" t="s">
        <v>94</v>
      </c>
      <c r="D341" s="78" t="s">
        <v>841</v>
      </c>
      <c r="E341" s="78" t="s">
        <v>16</v>
      </c>
      <c r="F341" s="78" t="s">
        <v>842</v>
      </c>
      <c r="G341" s="130">
        <v>600000</v>
      </c>
      <c r="H341" s="130">
        <v>12000000</v>
      </c>
      <c r="I341" s="130">
        <v>0</v>
      </c>
      <c r="J341" s="130">
        <v>0</v>
      </c>
      <c r="K341" s="78" t="s">
        <v>122</v>
      </c>
      <c r="L341" s="131">
        <v>1.2999801</v>
      </c>
      <c r="M341" s="131">
        <v>0.05</v>
      </c>
      <c r="N341" s="124">
        <v>3.0870000000000002</v>
      </c>
      <c r="O341" s="124">
        <v>3.9285000000000001</v>
      </c>
      <c r="P341" s="124">
        <v>5.5465</v>
      </c>
    </row>
    <row r="342" spans="2:16" x14ac:dyDescent="0.25">
      <c r="B342" s="78">
        <v>468871</v>
      </c>
      <c r="C342" s="78" t="s">
        <v>94</v>
      </c>
      <c r="D342" s="78" t="s">
        <v>591</v>
      </c>
      <c r="E342" s="78" t="s">
        <v>16</v>
      </c>
      <c r="F342" s="78" t="s">
        <v>592</v>
      </c>
      <c r="G342" s="130">
        <v>700000</v>
      </c>
      <c r="H342" s="130">
        <v>14000000</v>
      </c>
      <c r="I342" s="130">
        <v>0</v>
      </c>
      <c r="J342" s="130">
        <v>0</v>
      </c>
      <c r="K342" s="78" t="s">
        <v>593</v>
      </c>
      <c r="L342" s="131">
        <v>2.024</v>
      </c>
      <c r="M342" s="131">
        <v>0.05</v>
      </c>
      <c r="N342" s="124"/>
      <c r="O342" s="124">
        <v>11.7125</v>
      </c>
      <c r="P342" s="124"/>
    </row>
    <row r="343" spans="2:16" x14ac:dyDescent="0.25">
      <c r="B343" s="78">
        <v>468870</v>
      </c>
      <c r="C343" s="78" t="s">
        <v>94</v>
      </c>
      <c r="D343" s="78" t="s">
        <v>591</v>
      </c>
      <c r="E343" s="78" t="s">
        <v>16</v>
      </c>
      <c r="F343" s="78" t="s">
        <v>641</v>
      </c>
      <c r="G343" s="130">
        <v>500000</v>
      </c>
      <c r="H343" s="130">
        <v>10000000</v>
      </c>
      <c r="I343" s="130">
        <v>0</v>
      </c>
      <c r="J343" s="130">
        <v>0</v>
      </c>
      <c r="K343" s="78" t="s">
        <v>642</v>
      </c>
      <c r="L343" s="131">
        <v>9.9176000000000002</v>
      </c>
      <c r="M343" s="131">
        <v>0.05</v>
      </c>
      <c r="N343" s="124"/>
      <c r="O343" s="124">
        <v>7.7874999999999996</v>
      </c>
      <c r="P343" s="124">
        <v>3.347</v>
      </c>
    </row>
    <row r="344" spans="2:16" x14ac:dyDescent="0.25">
      <c r="B344" s="78">
        <v>469079</v>
      </c>
      <c r="C344" s="78" t="s">
        <v>45</v>
      </c>
      <c r="D344" s="78" t="s">
        <v>658</v>
      </c>
      <c r="E344" s="78" t="s">
        <v>16</v>
      </c>
      <c r="F344" s="78" t="s">
        <v>659</v>
      </c>
      <c r="G344" s="130">
        <v>20000000</v>
      </c>
      <c r="H344" s="130">
        <v>100000000</v>
      </c>
      <c r="I344" s="130">
        <v>0</v>
      </c>
      <c r="J344" s="130">
        <v>0</v>
      </c>
      <c r="K344" s="78" t="s">
        <v>660</v>
      </c>
      <c r="L344" s="131">
        <v>4.9893899999999998E-2</v>
      </c>
      <c r="M344" s="131">
        <v>0.2</v>
      </c>
      <c r="N344" s="124"/>
      <c r="O344" s="124"/>
      <c r="P344" s="124">
        <v>8.3480000000000008</v>
      </c>
    </row>
    <row r="345" spans="2:16" x14ac:dyDescent="0.25">
      <c r="B345" s="78">
        <v>473122</v>
      </c>
      <c r="C345" s="78" t="s">
        <v>94</v>
      </c>
      <c r="D345" s="78" t="s">
        <v>761</v>
      </c>
      <c r="E345" s="78" t="s">
        <v>16</v>
      </c>
      <c r="F345" s="78" t="s">
        <v>762</v>
      </c>
      <c r="G345" s="130">
        <v>2000000</v>
      </c>
      <c r="H345" s="130">
        <v>10000000</v>
      </c>
      <c r="I345" s="130">
        <v>0</v>
      </c>
      <c r="J345" s="130">
        <v>0</v>
      </c>
      <c r="K345" s="78" t="s">
        <v>122</v>
      </c>
      <c r="L345" s="131">
        <v>0.32</v>
      </c>
      <c r="M345" s="131">
        <v>0.2</v>
      </c>
      <c r="N345" s="124">
        <v>2.1379999999999999</v>
      </c>
      <c r="O345" s="124">
        <v>1.9059999999999999</v>
      </c>
      <c r="P345" s="124">
        <v>4.1020000000000003</v>
      </c>
    </row>
    <row r="346" spans="2:16" x14ac:dyDescent="0.25">
      <c r="B346" s="78">
        <v>474078</v>
      </c>
      <c r="C346" s="78" t="s">
        <v>94</v>
      </c>
      <c r="D346" s="78" t="s">
        <v>604</v>
      </c>
      <c r="E346" s="78" t="s">
        <v>16</v>
      </c>
      <c r="F346" s="78" t="s">
        <v>605</v>
      </c>
      <c r="G346" s="130">
        <v>87500</v>
      </c>
      <c r="H346" s="130">
        <v>5000000</v>
      </c>
      <c r="I346" s="130">
        <v>0</v>
      </c>
      <c r="J346" s="130">
        <v>0</v>
      </c>
      <c r="K346" s="78" t="s">
        <v>122</v>
      </c>
      <c r="L346" s="131">
        <v>0.28499999999999998</v>
      </c>
      <c r="M346" s="131">
        <v>1.7500000000000002E-2</v>
      </c>
      <c r="N346" s="124">
        <v>1.11755</v>
      </c>
      <c r="O346" s="124">
        <v>1.9512499999999999</v>
      </c>
      <c r="P346" s="124">
        <v>3.4646499999999998</v>
      </c>
    </row>
    <row r="347" spans="2:16" x14ac:dyDescent="0.25">
      <c r="B347" s="78">
        <v>474075</v>
      </c>
      <c r="C347" s="78" t="s">
        <v>94</v>
      </c>
      <c r="D347" s="78" t="s">
        <v>648</v>
      </c>
      <c r="E347" s="78" t="s">
        <v>16</v>
      </c>
      <c r="F347" s="78" t="s">
        <v>822</v>
      </c>
      <c r="G347" s="130">
        <v>2250000</v>
      </c>
      <c r="H347" s="130">
        <v>75000000</v>
      </c>
      <c r="I347" s="130">
        <v>0</v>
      </c>
      <c r="J347" s="130">
        <v>0</v>
      </c>
      <c r="K347" s="78" t="s">
        <v>122</v>
      </c>
      <c r="L347" s="131">
        <v>6.8000000000000005E-2</v>
      </c>
      <c r="M347" s="131">
        <v>0.03</v>
      </c>
      <c r="N347" s="124"/>
      <c r="O347" s="124">
        <v>4.8996000000000004</v>
      </c>
      <c r="P347" s="124">
        <v>1.1919</v>
      </c>
    </row>
    <row r="348" spans="2:16" x14ac:dyDescent="0.25">
      <c r="B348" s="78">
        <v>468269</v>
      </c>
      <c r="C348" s="78" t="s">
        <v>94</v>
      </c>
      <c r="D348" s="78" t="s">
        <v>600</v>
      </c>
      <c r="E348" s="78" t="s">
        <v>16</v>
      </c>
      <c r="F348" s="78" t="s">
        <v>839</v>
      </c>
      <c r="G348" s="130">
        <v>1875000</v>
      </c>
      <c r="H348" s="130">
        <v>75000000</v>
      </c>
      <c r="I348" s="130">
        <v>0</v>
      </c>
      <c r="J348" s="130">
        <v>0</v>
      </c>
      <c r="K348" s="78" t="s">
        <v>122</v>
      </c>
      <c r="L348" s="131">
        <v>0.16749992</v>
      </c>
      <c r="M348" s="131">
        <v>2.5000000000000001E-2</v>
      </c>
      <c r="N348" s="124"/>
      <c r="O348" s="124"/>
      <c r="P348" s="124">
        <v>5.1905000000000001</v>
      </c>
    </row>
    <row r="349" spans="2:16" x14ac:dyDescent="0.25">
      <c r="B349" s="78">
        <v>476660</v>
      </c>
      <c r="C349" s="78" t="s">
        <v>45</v>
      </c>
      <c r="D349" s="78" t="s">
        <v>669</v>
      </c>
      <c r="E349" s="78" t="s">
        <v>16</v>
      </c>
      <c r="F349" s="78" t="s">
        <v>770</v>
      </c>
      <c r="G349" s="130">
        <v>500000</v>
      </c>
      <c r="H349" s="130">
        <v>5000000</v>
      </c>
      <c r="I349" s="130">
        <v>0</v>
      </c>
      <c r="J349" s="130">
        <v>0</v>
      </c>
      <c r="K349" s="78" t="s">
        <v>771</v>
      </c>
      <c r="L349" s="131">
        <v>7.4999999999999997E-2</v>
      </c>
      <c r="M349" s="131">
        <v>0.1</v>
      </c>
      <c r="N349" s="124">
        <v>1.847</v>
      </c>
      <c r="O349" s="124"/>
      <c r="P349" s="124">
        <v>2.677</v>
      </c>
    </row>
    <row r="350" spans="2:16" x14ac:dyDescent="0.25">
      <c r="B350" s="78">
        <v>444836</v>
      </c>
      <c r="C350" s="78" t="s">
        <v>92</v>
      </c>
      <c r="D350" s="78" t="s">
        <v>848</v>
      </c>
      <c r="E350" s="78" t="s">
        <v>14</v>
      </c>
      <c r="F350" s="78" t="s">
        <v>849</v>
      </c>
      <c r="G350" s="130">
        <v>13215622.007846801</v>
      </c>
      <c r="H350" s="130">
        <v>176208293.437958</v>
      </c>
      <c r="I350" s="130">
        <v>0</v>
      </c>
      <c r="J350" s="130">
        <v>0</v>
      </c>
      <c r="K350" s="78" t="s">
        <v>161</v>
      </c>
      <c r="L350" s="131">
        <v>3.378888E-2</v>
      </c>
      <c r="M350" s="131">
        <v>7.4999999999999997E-2</v>
      </c>
      <c r="N350" s="124"/>
      <c r="O350" s="124">
        <v>2.22374866</v>
      </c>
      <c r="P350" s="124">
        <v>2.0959976500000002</v>
      </c>
    </row>
    <row r="351" spans="2:16" x14ac:dyDescent="0.25">
      <c r="B351" s="78">
        <v>478529</v>
      </c>
      <c r="C351" s="78" t="s">
        <v>94</v>
      </c>
      <c r="D351" s="78" t="s">
        <v>794</v>
      </c>
      <c r="E351" s="78" t="s">
        <v>16</v>
      </c>
      <c r="F351" s="78" t="s">
        <v>840</v>
      </c>
      <c r="G351" s="130">
        <v>4674193.0109999999</v>
      </c>
      <c r="H351" s="130">
        <v>31161286.739999998</v>
      </c>
      <c r="I351" s="130">
        <v>0</v>
      </c>
      <c r="J351" s="130">
        <v>0</v>
      </c>
      <c r="K351" s="78" t="s">
        <v>122</v>
      </c>
      <c r="L351" s="131">
        <v>4.7500000000000001E-2</v>
      </c>
      <c r="M351" s="131">
        <v>0.15</v>
      </c>
      <c r="N351" s="124"/>
      <c r="O351" s="124"/>
      <c r="P351" s="124">
        <v>3.8805000000000001</v>
      </c>
    </row>
    <row r="352" spans="2:16" x14ac:dyDescent="0.25">
      <c r="B352" s="78">
        <v>478528</v>
      </c>
      <c r="C352" s="78" t="s">
        <v>94</v>
      </c>
      <c r="D352" s="78" t="s">
        <v>794</v>
      </c>
      <c r="E352" s="78" t="s">
        <v>16</v>
      </c>
      <c r="F352" s="78" t="s">
        <v>847</v>
      </c>
      <c r="G352" s="130">
        <v>2906060.2170000002</v>
      </c>
      <c r="H352" s="130">
        <v>19373734.780000001</v>
      </c>
      <c r="I352" s="130">
        <v>0</v>
      </c>
      <c r="J352" s="130">
        <v>0</v>
      </c>
      <c r="K352" s="78" t="s">
        <v>122</v>
      </c>
      <c r="L352" s="131">
        <v>0.1085</v>
      </c>
      <c r="M352" s="131">
        <v>0.15</v>
      </c>
      <c r="N352" s="124"/>
      <c r="O352" s="124"/>
      <c r="P352" s="124">
        <v>3.702</v>
      </c>
    </row>
    <row r="353" spans="2:16" x14ac:dyDescent="0.25">
      <c r="B353" s="78">
        <v>431333</v>
      </c>
      <c r="C353" s="78" t="s">
        <v>94</v>
      </c>
      <c r="D353" s="78" t="s">
        <v>255</v>
      </c>
      <c r="E353" s="78" t="s">
        <v>16</v>
      </c>
      <c r="F353" s="78" t="s">
        <v>278</v>
      </c>
      <c r="G353" s="130">
        <v>1550000</v>
      </c>
      <c r="H353" s="130">
        <v>10000000</v>
      </c>
      <c r="I353" s="130">
        <v>0</v>
      </c>
      <c r="J353" s="130">
        <v>0</v>
      </c>
      <c r="K353" s="78" t="s">
        <v>257</v>
      </c>
      <c r="L353" s="131">
        <v>0.34485139999999997</v>
      </c>
      <c r="M353" s="131">
        <v>0.155</v>
      </c>
      <c r="N353" s="124"/>
      <c r="O353" s="124"/>
      <c r="P353" s="124">
        <v>2.9232999999999998</v>
      </c>
    </row>
    <row r="354" spans="2:16" x14ac:dyDescent="0.25">
      <c r="B354" s="78">
        <v>481461</v>
      </c>
      <c r="C354" s="78" t="s">
        <v>45</v>
      </c>
      <c r="D354" s="78" t="s">
        <v>806</v>
      </c>
      <c r="E354" s="78" t="s">
        <v>16</v>
      </c>
      <c r="F354" s="78" t="s">
        <v>807</v>
      </c>
      <c r="G354" s="130">
        <v>1800000</v>
      </c>
      <c r="H354" s="130">
        <v>15000000</v>
      </c>
      <c r="I354" s="130">
        <v>0</v>
      </c>
      <c r="J354" s="130">
        <v>0</v>
      </c>
      <c r="K354" s="78" t="s">
        <v>308</v>
      </c>
      <c r="L354" s="131">
        <v>0.12486667</v>
      </c>
      <c r="M354" s="131">
        <v>0.12</v>
      </c>
      <c r="N354" s="124"/>
      <c r="O354" s="124"/>
      <c r="P354" s="124">
        <v>2.6520000000000001</v>
      </c>
    </row>
    <row r="355" spans="2:16" x14ac:dyDescent="0.25">
      <c r="B355" s="78">
        <v>471730</v>
      </c>
      <c r="C355" s="78" t="s">
        <v>94</v>
      </c>
      <c r="D355" s="78" t="s">
        <v>663</v>
      </c>
      <c r="E355" s="78" t="s">
        <v>16</v>
      </c>
      <c r="F355" s="78" t="s">
        <v>796</v>
      </c>
      <c r="G355" s="130">
        <v>500000</v>
      </c>
      <c r="H355" s="130">
        <v>25000000</v>
      </c>
      <c r="I355" s="130">
        <v>0</v>
      </c>
      <c r="J355" s="130">
        <v>0</v>
      </c>
      <c r="K355" s="78" t="s">
        <v>122</v>
      </c>
      <c r="L355" s="131">
        <v>0.11499081</v>
      </c>
      <c r="M355" s="131">
        <v>0.02</v>
      </c>
      <c r="N355" s="124"/>
      <c r="O355" s="124"/>
      <c r="P355" s="124">
        <v>1.7996000000000001</v>
      </c>
    </row>
    <row r="356" spans="2:16" x14ac:dyDescent="0.25">
      <c r="B356" s="78">
        <v>2</v>
      </c>
      <c r="C356" s="78" t="s">
        <v>121</v>
      </c>
      <c r="D356" s="78" t="s">
        <v>26</v>
      </c>
      <c r="E356" s="78" t="s">
        <v>14</v>
      </c>
      <c r="F356" s="78" t="s">
        <v>122</v>
      </c>
      <c r="G356" s="130">
        <v>0</v>
      </c>
      <c r="H356" s="130">
        <v>0</v>
      </c>
      <c r="I356" s="130">
        <v>0</v>
      </c>
      <c r="J356" s="130">
        <v>0</v>
      </c>
      <c r="K356" s="78" t="s">
        <v>122</v>
      </c>
      <c r="L356" s="131">
        <v>0</v>
      </c>
      <c r="M356" s="131">
        <v>1</v>
      </c>
      <c r="N356" s="124">
        <v>0</v>
      </c>
      <c r="O356" s="124">
        <v>0</v>
      </c>
      <c r="P356" s="124">
        <v>0</v>
      </c>
    </row>
    <row r="357" spans="2:16" x14ac:dyDescent="0.25">
      <c r="B357" s="78">
        <v>424644</v>
      </c>
      <c r="C357" s="78" t="s">
        <v>100</v>
      </c>
      <c r="D357" s="78" t="s">
        <v>230</v>
      </c>
      <c r="E357" s="78" t="s">
        <v>14</v>
      </c>
      <c r="F357" s="78" t="s">
        <v>231</v>
      </c>
      <c r="G357" s="130">
        <v>-11501738.939999999</v>
      </c>
      <c r="H357" s="130">
        <v>-11501738.939999999</v>
      </c>
      <c r="I357" s="130">
        <v>0</v>
      </c>
      <c r="J357" s="130">
        <v>0</v>
      </c>
      <c r="K357" s="78" t="s">
        <v>14</v>
      </c>
      <c r="L357" s="131">
        <v>0</v>
      </c>
      <c r="M357" s="131">
        <v>1</v>
      </c>
      <c r="N357" s="124"/>
      <c r="O357" s="124">
        <v>0</v>
      </c>
      <c r="P357" s="124">
        <v>0</v>
      </c>
    </row>
    <row r="358" spans="2:16" x14ac:dyDescent="0.25">
      <c r="B358" s="78">
        <v>329411</v>
      </c>
      <c r="C358" s="78" t="s">
        <v>100</v>
      </c>
      <c r="D358" s="78" t="s">
        <v>118</v>
      </c>
      <c r="E358" s="78" t="s">
        <v>14</v>
      </c>
      <c r="F358" s="78" t="s">
        <v>119</v>
      </c>
      <c r="G358" s="130">
        <v>-53237924.369999997</v>
      </c>
      <c r="H358" s="130">
        <v>-53237924.369999997</v>
      </c>
      <c r="I358" s="130">
        <v>0</v>
      </c>
      <c r="J358" s="130">
        <v>0</v>
      </c>
      <c r="K358" s="78" t="s">
        <v>14</v>
      </c>
      <c r="L358" s="131">
        <v>0</v>
      </c>
      <c r="M358" s="131">
        <v>1</v>
      </c>
      <c r="N358" s="124">
        <v>0</v>
      </c>
      <c r="O358" s="124">
        <v>0</v>
      </c>
      <c r="P358" s="124">
        <v>0</v>
      </c>
    </row>
    <row r="359" spans="2:16" x14ac:dyDescent="0.25">
      <c r="B359" s="78">
        <v>388342</v>
      </c>
      <c r="C359" s="78" t="s">
        <v>100</v>
      </c>
      <c r="D359" s="78" t="s">
        <v>145</v>
      </c>
      <c r="E359" s="78" t="s">
        <v>14</v>
      </c>
      <c r="F359" s="78" t="s">
        <v>146</v>
      </c>
      <c r="G359" s="130">
        <v>-337886333.38</v>
      </c>
      <c r="H359" s="130">
        <v>-337886333.38</v>
      </c>
      <c r="I359" s="130">
        <v>0</v>
      </c>
      <c r="J359" s="130">
        <v>0</v>
      </c>
      <c r="K359" s="78" t="s">
        <v>14</v>
      </c>
      <c r="L359" s="131">
        <v>0</v>
      </c>
      <c r="M359" s="131">
        <v>1</v>
      </c>
      <c r="N359" s="124">
        <v>0</v>
      </c>
      <c r="O359" s="124">
        <v>0</v>
      </c>
      <c r="P359" s="124">
        <v>0</v>
      </c>
    </row>
    <row r="360" spans="2:16" x14ac:dyDescent="0.25">
      <c r="B360" s="78">
        <v>388306</v>
      </c>
      <c r="C360" s="78" t="s">
        <v>100</v>
      </c>
      <c r="D360" s="78" t="s">
        <v>267</v>
      </c>
      <c r="E360" s="78" t="s">
        <v>16</v>
      </c>
      <c r="F360" s="78" t="s">
        <v>268</v>
      </c>
      <c r="G360" s="130">
        <v>-206418014.86000001</v>
      </c>
      <c r="H360" s="130">
        <v>-206418014.86000001</v>
      </c>
      <c r="I360" s="130">
        <v>0</v>
      </c>
      <c r="J360" s="130">
        <v>0</v>
      </c>
      <c r="K360" s="78" t="s">
        <v>254</v>
      </c>
      <c r="L360" s="131">
        <v>0</v>
      </c>
      <c r="M360" s="131">
        <v>1</v>
      </c>
      <c r="N360" s="124">
        <v>0</v>
      </c>
      <c r="O360" s="124">
        <v>0</v>
      </c>
      <c r="P360" s="124">
        <v>0</v>
      </c>
    </row>
    <row r="361" spans="2:16" x14ac:dyDescent="0.25">
      <c r="B361" s="78">
        <v>359086</v>
      </c>
      <c r="C361" s="78" t="s">
        <v>100</v>
      </c>
      <c r="D361" s="78" t="s">
        <v>147</v>
      </c>
      <c r="E361" s="78" t="s">
        <v>14</v>
      </c>
      <c r="F361" s="78" t="s">
        <v>148</v>
      </c>
      <c r="G361" s="130">
        <v>-21336730.800000001</v>
      </c>
      <c r="H361" s="130">
        <v>-21336730.800000001</v>
      </c>
      <c r="I361" s="130">
        <v>0</v>
      </c>
      <c r="J361" s="130">
        <v>0</v>
      </c>
      <c r="K361" s="78" t="s">
        <v>14</v>
      </c>
      <c r="L361" s="131">
        <v>0</v>
      </c>
      <c r="M361" s="131">
        <v>1</v>
      </c>
      <c r="N361" s="124">
        <v>0</v>
      </c>
      <c r="O361" s="124">
        <v>0</v>
      </c>
      <c r="P361" s="124">
        <v>0</v>
      </c>
    </row>
    <row r="362" spans="2:16" x14ac:dyDescent="0.25">
      <c r="B362" s="78">
        <v>326823</v>
      </c>
      <c r="C362" s="78" t="s">
        <v>130</v>
      </c>
      <c r="D362" s="78" t="s">
        <v>252</v>
      </c>
      <c r="E362" s="78" t="s">
        <v>16</v>
      </c>
      <c r="F362" s="78" t="s">
        <v>253</v>
      </c>
      <c r="G362" s="130">
        <v>-2092219.9</v>
      </c>
      <c r="H362" s="130">
        <v>-2092219.9</v>
      </c>
      <c r="I362" s="130">
        <v>0</v>
      </c>
      <c r="J362" s="130">
        <v>0</v>
      </c>
      <c r="K362" s="78" t="s">
        <v>254</v>
      </c>
      <c r="L362" s="131">
        <v>0</v>
      </c>
      <c r="M362" s="131">
        <v>1</v>
      </c>
      <c r="N362" s="124">
        <v>0</v>
      </c>
      <c r="O362" s="124">
        <v>0</v>
      </c>
      <c r="P362" s="124">
        <v>0</v>
      </c>
    </row>
    <row r="363" spans="2:16" x14ac:dyDescent="0.25">
      <c r="B363" s="78" t="s">
        <v>28</v>
      </c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78"/>
      <c r="N363" s="124">
        <v>18391370.078309182</v>
      </c>
      <c r="O363" s="124">
        <v>25500812.80233844</v>
      </c>
      <c r="P363" s="124">
        <v>33600852.768369988</v>
      </c>
    </row>
  </sheetData>
  <mergeCells count="1">
    <mergeCell ref="B4:P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X74"/>
  <sheetViews>
    <sheetView tabSelected="1" zoomScale="105" zoomScaleNormal="10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D20" sqref="D20"/>
    </sheetView>
  </sheetViews>
  <sheetFormatPr defaultColWidth="9.140625" defaultRowHeight="12.75" x14ac:dyDescent="0.2"/>
  <cols>
    <col min="1" max="1" width="25.42578125" style="28" customWidth="1"/>
    <col min="2" max="2" width="23.5703125" style="28" customWidth="1"/>
    <col min="3" max="3" width="18" style="28" bestFit="1" customWidth="1"/>
    <col min="4" max="5" width="20.140625" style="28" customWidth="1"/>
    <col min="6" max="6" width="2.42578125" style="28" customWidth="1"/>
    <col min="7" max="7" width="16.7109375" style="28" bestFit="1" customWidth="1"/>
    <col min="8" max="9" width="17.5703125" style="28" customWidth="1"/>
    <col min="10" max="10" width="2.42578125" style="28" customWidth="1"/>
    <col min="11" max="11" width="16.7109375" style="28" bestFit="1" customWidth="1"/>
    <col min="12" max="13" width="21" style="28" customWidth="1"/>
    <col min="14" max="14" width="2.42578125" style="28" customWidth="1"/>
    <col min="15" max="15" width="14.28515625" style="28" bestFit="1" customWidth="1"/>
    <col min="16" max="17" width="13.7109375" style="28" bestFit="1" customWidth="1"/>
    <col min="18" max="18" width="3" style="28" customWidth="1"/>
    <col min="19" max="21" width="16.7109375" style="28" bestFit="1" customWidth="1"/>
    <col min="22" max="22" width="9.140625" style="28"/>
    <col min="23" max="23" width="14.28515625" style="28" bestFit="1" customWidth="1"/>
    <col min="24" max="16384" width="9.140625" style="28"/>
  </cols>
  <sheetData>
    <row r="1" spans="1:23" x14ac:dyDescent="0.2">
      <c r="A1" s="16" t="str">
        <f>_xlfn.CONCAT(Input!B2,":  ",Input!B3, " - ",Input!B4)</f>
        <v>Winter Storm Fern:  North America - 1/30/26</v>
      </c>
      <c r="B1" s="17"/>
      <c r="C1" s="26"/>
      <c r="D1" s="17"/>
      <c r="E1" s="17"/>
      <c r="F1" s="17"/>
      <c r="G1" s="17"/>
      <c r="H1" s="17"/>
      <c r="I1" s="17"/>
      <c r="J1" s="17"/>
      <c r="K1" s="27"/>
      <c r="L1" s="27"/>
      <c r="M1" s="27"/>
      <c r="N1" s="17"/>
      <c r="O1" s="17"/>
      <c r="P1" s="17"/>
      <c r="Q1" s="17"/>
      <c r="R1" s="17"/>
      <c r="S1" s="17"/>
      <c r="T1" s="17"/>
      <c r="U1" s="17"/>
    </row>
    <row r="2" spans="1:23" x14ac:dyDescent="0.2">
      <c r="A2" s="17" t="str">
        <f>_xlfn.CONCAT("As-Of ",Input!B5)</f>
        <v>As-Of 1/1/26</v>
      </c>
      <c r="B2" s="17"/>
      <c r="C2" s="17"/>
      <c r="D2" s="17"/>
      <c r="E2" s="17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</row>
    <row r="3" spans="1:23" x14ac:dyDescent="0.2">
      <c r="A3" s="17" t="s">
        <v>47</v>
      </c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</row>
    <row r="4" spans="1:23" ht="15" customHeight="1" x14ac:dyDescent="0.2">
      <c r="A4" s="17"/>
      <c r="B4" s="17"/>
      <c r="C4" s="114" t="s">
        <v>48</v>
      </c>
      <c r="D4" s="114"/>
      <c r="E4" s="114"/>
      <c r="F4" s="17"/>
      <c r="G4" s="114" t="s">
        <v>49</v>
      </c>
      <c r="H4" s="114"/>
      <c r="I4" s="114"/>
      <c r="J4" s="17"/>
      <c r="K4" s="114" t="s">
        <v>50</v>
      </c>
      <c r="L4" s="114"/>
      <c r="M4" s="114"/>
      <c r="N4" s="17"/>
      <c r="O4" s="114" t="s">
        <v>51</v>
      </c>
      <c r="P4" s="114"/>
      <c r="Q4" s="114"/>
      <c r="R4" s="17"/>
      <c r="S4" s="114" t="s">
        <v>52</v>
      </c>
      <c r="T4" s="114"/>
      <c r="U4" s="114"/>
    </row>
    <row r="5" spans="1:23" x14ac:dyDescent="0.2">
      <c r="A5" s="17"/>
      <c r="B5" s="17"/>
      <c r="C5" s="15" t="s">
        <v>53</v>
      </c>
      <c r="D5" s="15" t="s">
        <v>54</v>
      </c>
      <c r="E5" s="15" t="s">
        <v>55</v>
      </c>
      <c r="F5" s="17"/>
      <c r="G5" s="15" t="s">
        <v>53</v>
      </c>
      <c r="H5" s="15" t="s">
        <v>54</v>
      </c>
      <c r="I5" s="15" t="s">
        <v>55</v>
      </c>
      <c r="J5" s="17"/>
      <c r="K5" s="15" t="s">
        <v>53</v>
      </c>
      <c r="L5" s="15" t="s">
        <v>54</v>
      </c>
      <c r="M5" s="15" t="s">
        <v>55</v>
      </c>
      <c r="N5" s="17"/>
      <c r="O5" s="15" t="s">
        <v>53</v>
      </c>
      <c r="P5" s="15" t="s">
        <v>54</v>
      </c>
      <c r="Q5" s="15" t="s">
        <v>55</v>
      </c>
      <c r="R5" s="30"/>
      <c r="S5" s="15" t="s">
        <v>53</v>
      </c>
      <c r="T5" s="15" t="s">
        <v>54</v>
      </c>
      <c r="U5" s="15" t="s">
        <v>55</v>
      </c>
    </row>
    <row r="6" spans="1:23" ht="15" x14ac:dyDescent="0.25">
      <c r="A6" s="16" t="s">
        <v>56</v>
      </c>
      <c r="B6" s="17"/>
      <c r="C6" s="104">
        <f>VLOOKUP(Input!$B$8,Input!$E$3:$W$1010,19,FALSE)*1000000</f>
        <v>3280094077.3799996</v>
      </c>
      <c r="D6" s="103">
        <f>VLOOKUP(Input!$B$9,Input!$E$3:$W$1010,19,FALSE)*1000000</f>
        <v>3949197646.0300002</v>
      </c>
      <c r="E6" s="103">
        <f>VLOOKUP(Input!$B$10,Input!$E$3:$W$1010,19,FALSE)*1000000</f>
        <v>4781603634.2600002</v>
      </c>
      <c r="F6" s="17"/>
      <c r="G6" s="31">
        <f>C6</f>
        <v>3280094077.3799996</v>
      </c>
      <c r="H6" s="31">
        <f>D6</f>
        <v>3949197646.0300002</v>
      </c>
      <c r="I6" s="31">
        <f>E6</f>
        <v>4781603634.2600002</v>
      </c>
      <c r="J6" s="17"/>
      <c r="K6" s="31">
        <f>C6</f>
        <v>3280094077.3799996</v>
      </c>
      <c r="L6" s="31">
        <f>D6</f>
        <v>3949197646.0300002</v>
      </c>
      <c r="M6" s="31">
        <f>E6</f>
        <v>4781603634.2600002</v>
      </c>
      <c r="N6" s="17"/>
      <c r="O6" s="31"/>
      <c r="P6" s="31"/>
      <c r="Q6" s="31"/>
      <c r="R6" s="30"/>
      <c r="S6" s="31">
        <f>C6</f>
        <v>3280094077.3799996</v>
      </c>
      <c r="T6" s="31">
        <f>D6</f>
        <v>3949197646.0300002</v>
      </c>
      <c r="U6" s="31">
        <f>E6</f>
        <v>4781603634.2600002</v>
      </c>
    </row>
    <row r="7" spans="1:23" x14ac:dyDescent="0.2">
      <c r="A7" s="16" t="s">
        <v>57</v>
      </c>
      <c r="B7" s="17"/>
      <c r="C7" s="32">
        <f>+C32/C6</f>
        <v>5.6069546177771228E-3</v>
      </c>
      <c r="D7" s="32">
        <f>+D32/D6</f>
        <v>6.4572069365466007E-3</v>
      </c>
      <c r="E7" s="32">
        <f>+E32/E6</f>
        <v>7.0271028036329678E-3</v>
      </c>
      <c r="F7" s="32"/>
      <c r="G7" s="32">
        <f>C7*(G32/C32)</f>
        <v>5.2265372734997054E-3</v>
      </c>
      <c r="H7" s="32">
        <f>D7*(H32/D32)</f>
        <v>6.1529702218991612E-3</v>
      </c>
      <c r="I7" s="32">
        <f>E7*(I32/E32)</f>
        <v>6.7412872523039662E-3</v>
      </c>
      <c r="J7" s="32"/>
      <c r="K7" s="33">
        <f>G7*(K32/G32)</f>
        <v>4.8598881479127738E-3</v>
      </c>
      <c r="L7" s="32">
        <f>H7*(L32/H32)</f>
        <v>5.8744978985003733E-3</v>
      </c>
      <c r="M7" s="32">
        <f>I7*(M32/I32)</f>
        <v>6.3931528924449817E-3</v>
      </c>
      <c r="N7" s="32"/>
      <c r="O7" s="32"/>
      <c r="P7" s="32"/>
      <c r="Q7" s="32"/>
      <c r="R7" s="30"/>
      <c r="S7" s="32">
        <f>K7*(S32/K32)</f>
        <v>4.7949368325009376E-3</v>
      </c>
      <c r="T7" s="32">
        <f>L7*(T32/L32)</f>
        <v>5.7527065606417689E-3</v>
      </c>
      <c r="U7" s="32">
        <f>M7*(U32/M32)</f>
        <v>6.2926866898743725E-3</v>
      </c>
    </row>
    <row r="8" spans="1:23" x14ac:dyDescent="0.2">
      <c r="A8" s="17"/>
      <c r="B8" s="102"/>
      <c r="C8" s="34"/>
      <c r="D8" s="34"/>
      <c r="E8" s="34"/>
      <c r="F8" s="17"/>
      <c r="G8" s="35"/>
      <c r="H8" s="34"/>
      <c r="I8" s="34"/>
      <c r="J8" s="17"/>
      <c r="K8" s="34"/>
      <c r="L8" s="34"/>
      <c r="M8" s="34"/>
      <c r="N8" s="17"/>
      <c r="O8" s="34"/>
      <c r="P8" s="34"/>
      <c r="Q8" s="34"/>
      <c r="R8" s="30"/>
      <c r="S8" s="34"/>
      <c r="T8" s="34"/>
      <c r="U8" s="34"/>
    </row>
    <row r="9" spans="1:23" x14ac:dyDescent="0.2">
      <c r="A9" s="16" t="s">
        <v>58</v>
      </c>
      <c r="B9" s="102"/>
      <c r="C9" s="36"/>
      <c r="D9" s="101"/>
      <c r="E9" s="36"/>
      <c r="F9" s="17"/>
      <c r="G9" s="36"/>
      <c r="H9" s="36"/>
      <c r="I9" s="36"/>
      <c r="J9" s="17"/>
      <c r="K9" s="36"/>
      <c r="L9" s="36"/>
      <c r="M9" s="36"/>
      <c r="N9" s="17"/>
      <c r="O9" s="37"/>
      <c r="P9" s="37"/>
      <c r="Q9" s="37"/>
      <c r="R9" s="30"/>
      <c r="S9" s="36"/>
      <c r="T9" s="36"/>
      <c r="U9" s="36"/>
    </row>
    <row r="10" spans="1:23" x14ac:dyDescent="0.2">
      <c r="A10" s="17"/>
      <c r="B10" s="17"/>
      <c r="C10" s="37"/>
      <c r="D10" s="37"/>
      <c r="E10" s="37"/>
      <c r="F10" s="17"/>
      <c r="G10" s="36"/>
      <c r="H10" s="36"/>
      <c r="I10" s="36"/>
      <c r="J10" s="17"/>
      <c r="K10" s="36"/>
      <c r="L10" s="36"/>
      <c r="M10" s="36"/>
      <c r="N10" s="17"/>
      <c r="O10" s="36"/>
      <c r="P10" s="36"/>
      <c r="Q10" s="36"/>
      <c r="R10" s="30"/>
      <c r="S10" s="37"/>
      <c r="T10" s="37"/>
      <c r="U10" s="37"/>
    </row>
    <row r="11" spans="1:23" x14ac:dyDescent="0.2">
      <c r="A11" s="16" t="s">
        <v>59</v>
      </c>
      <c r="B11" s="18"/>
      <c r="C11" s="38"/>
      <c r="D11" s="38"/>
      <c r="E11" s="38"/>
      <c r="F11" s="39"/>
      <c r="G11" s="38"/>
      <c r="H11" s="38"/>
      <c r="I11" s="38"/>
      <c r="J11" s="39"/>
      <c r="K11" s="38"/>
      <c r="L11" s="38"/>
      <c r="M11" s="38"/>
      <c r="N11" s="39"/>
      <c r="O11" s="38"/>
      <c r="P11" s="38"/>
      <c r="Q11" s="38"/>
      <c r="R11" s="40"/>
      <c r="S11" s="38"/>
      <c r="T11" s="38"/>
      <c r="U11" s="38"/>
    </row>
    <row r="12" spans="1:23" x14ac:dyDescent="0.2">
      <c r="A12" s="17"/>
      <c r="B12" s="17"/>
      <c r="C12" s="31"/>
      <c r="D12" s="31"/>
      <c r="E12" s="31"/>
      <c r="F12" s="41"/>
      <c r="G12" s="31"/>
      <c r="H12" s="31"/>
      <c r="I12" s="31"/>
      <c r="J12" s="41"/>
      <c r="K12" s="31"/>
      <c r="L12" s="31"/>
      <c r="M12" s="31"/>
      <c r="N12" s="41"/>
      <c r="O12" s="31"/>
      <c r="P12" s="31"/>
      <c r="Q12" s="31"/>
      <c r="R12" s="42"/>
      <c r="S12" s="31"/>
      <c r="T12" s="31"/>
      <c r="U12" s="31"/>
    </row>
    <row r="13" spans="1:23" ht="15" customHeight="1" x14ac:dyDescent="0.2">
      <c r="A13" s="16" t="s">
        <v>60</v>
      </c>
      <c r="B13" s="17" t="s">
        <v>61</v>
      </c>
      <c r="C13" s="43"/>
      <c r="D13" s="43"/>
      <c r="E13" s="43"/>
      <c r="F13" s="41"/>
      <c r="G13" s="44"/>
      <c r="H13" s="44"/>
      <c r="I13" s="44"/>
      <c r="J13" s="41"/>
      <c r="K13" s="44"/>
      <c r="L13" s="44"/>
      <c r="M13" s="44"/>
      <c r="N13" s="41"/>
      <c r="O13" s="44"/>
      <c r="P13" s="44"/>
      <c r="Q13" s="44"/>
      <c r="R13" s="42"/>
      <c r="S13" s="44"/>
      <c r="T13" s="44"/>
      <c r="U13" s="44"/>
    </row>
    <row r="14" spans="1:23" x14ac:dyDescent="0.2">
      <c r="A14" s="17"/>
      <c r="B14" s="17"/>
      <c r="C14" s="113" t="s">
        <v>62</v>
      </c>
      <c r="D14" s="113"/>
      <c r="E14" s="113"/>
      <c r="F14" s="17"/>
      <c r="G14" s="113" t="s">
        <v>63</v>
      </c>
      <c r="H14" s="113"/>
      <c r="I14" s="113"/>
      <c r="J14" s="17"/>
      <c r="K14" s="113" t="s">
        <v>63</v>
      </c>
      <c r="L14" s="113"/>
      <c r="M14" s="113"/>
      <c r="N14" s="17"/>
      <c r="O14" s="113" t="s">
        <v>63</v>
      </c>
      <c r="P14" s="113"/>
      <c r="Q14" s="113"/>
      <c r="R14" s="30"/>
      <c r="S14" s="113" t="s">
        <v>63</v>
      </c>
      <c r="T14" s="113"/>
      <c r="U14" s="113"/>
      <c r="W14" s="45"/>
    </row>
    <row r="15" spans="1:23" x14ac:dyDescent="0.2">
      <c r="A15" s="17"/>
      <c r="B15" s="17"/>
      <c r="C15" s="84" t="s">
        <v>53</v>
      </c>
      <c r="D15" s="84" t="s">
        <v>54</v>
      </c>
      <c r="E15" s="84" t="s">
        <v>55</v>
      </c>
      <c r="F15" s="17"/>
      <c r="G15" s="84" t="s">
        <v>53</v>
      </c>
      <c r="H15" s="84" t="s">
        <v>54</v>
      </c>
      <c r="I15" s="84" t="s">
        <v>55</v>
      </c>
      <c r="J15" s="17"/>
      <c r="K15" s="84" t="s">
        <v>53</v>
      </c>
      <c r="L15" s="84" t="s">
        <v>54</v>
      </c>
      <c r="M15" s="84" t="s">
        <v>55</v>
      </c>
      <c r="N15" s="17"/>
      <c r="O15" s="84" t="s">
        <v>53</v>
      </c>
      <c r="P15" s="84" t="s">
        <v>54</v>
      </c>
      <c r="Q15" s="84" t="s">
        <v>55</v>
      </c>
      <c r="R15" s="30"/>
      <c r="S15" s="84" t="s">
        <v>53</v>
      </c>
      <c r="T15" s="84" t="s">
        <v>54</v>
      </c>
      <c r="U15" s="84" t="s">
        <v>55</v>
      </c>
      <c r="W15" s="46"/>
    </row>
    <row r="16" spans="1:23" ht="14.45" customHeight="1" x14ac:dyDescent="0.2">
      <c r="A16" s="17"/>
      <c r="B16" s="17" t="s">
        <v>12</v>
      </c>
      <c r="C16" s="27">
        <f>SUMIFS(LossTable[Gross],LossTable[EventID],Input!$B$8,LossTable[Department_Map],'Net Waterfall'!$B16)</f>
        <v>1519442.6260286302</v>
      </c>
      <c r="D16" s="47">
        <f>SUMIFS(LossTable[Gross],LossTable[EventID],Input!$B$9,LossTable[Department_Map],'Net Waterfall'!$B16)</f>
        <v>2264368.94856804</v>
      </c>
      <c r="E16" s="47">
        <f>SUMIFS(LossTable[Gross],LossTable[EventID],Input!$B$10,LossTable[Department_Map],'Net Waterfall'!$B16)</f>
        <v>2815625.9689655099</v>
      </c>
      <c r="F16" s="43"/>
      <c r="G16" s="47">
        <f>SUMIFS(LossTable[NetOfLogan],LossTable[EventID],Input!$B$8,LossTable[Department_Map],'Net Waterfall'!$B16)</f>
        <v>1519442.6260286302</v>
      </c>
      <c r="H16" s="47">
        <f>SUMIFS(LossTable[NetOfLogan],LossTable[EventID],Input!$B$9,LossTable[Department_Map],'Net Waterfall'!$B16)</f>
        <v>2264368.94856804</v>
      </c>
      <c r="I16" s="47">
        <f>SUMIFS(LossTable[NetOfLogan],LossTable[EventID],Input!$B$10,LossTable[Department_Map],'Net Waterfall'!$B16)</f>
        <v>2815625.9689655099</v>
      </c>
      <c r="J16" s="43"/>
      <c r="K16" s="47">
        <f>SUMIFS(LossTable[NetofAllCessions],LossTable[EventID],Input!$B$8,LossTable[Department_Map],'Net Waterfall'!$B16)</f>
        <v>1519442.6260286302</v>
      </c>
      <c r="L16" s="47">
        <f>SUMIFS(LossTable[NetofAllCessions],LossTable[EventID],Input!$B$9,LossTable[Department_Map],'Net Waterfall'!$B16)</f>
        <v>2264368.94856804</v>
      </c>
      <c r="M16" s="47">
        <f>SUMIFS(LossTable[NetofAllCessions],LossTable[EventID],Input!$B$10,LossTable[Department_Map],'Net Waterfall'!$B16)</f>
        <v>2815625.9689655099</v>
      </c>
      <c r="N16" s="43"/>
      <c r="O16" s="27">
        <f>SUMIFS(LossTable[Expected_RIPs],LossTable[EventID],Input!$B$8,LossTable[Department_Map],'Net Waterfall'!$B16)</f>
        <v>0</v>
      </c>
      <c r="P16" s="48">
        <f>SUMIFS(LossTable[Expected_RIPs],LossTable[EventID],Input!$B$9,LossTable[Department_Map],'Net Waterfall'!$B16)</f>
        <v>0</v>
      </c>
      <c r="Q16" s="48">
        <f>SUMIFS(LossTable[Expected_RIPs],LossTable[EventID],Input!$B$10,LossTable[Department_Map],'Net Waterfall'!$B16)</f>
        <v>0</v>
      </c>
      <c r="R16" s="43"/>
      <c r="S16" s="43">
        <f>K16-O16</f>
        <v>1519442.6260286302</v>
      </c>
      <c r="T16" s="43">
        <f>L16-P16</f>
        <v>2264368.94856804</v>
      </c>
      <c r="U16" s="43">
        <f>M16-Q16</f>
        <v>2815625.9689655099</v>
      </c>
      <c r="W16" s="46"/>
    </row>
    <row r="17" spans="1:24" ht="14.45" customHeight="1" x14ac:dyDescent="0.2">
      <c r="A17" s="17"/>
      <c r="B17" s="17" t="s">
        <v>21</v>
      </c>
      <c r="C17" s="27">
        <f>SUMIFS(LossTable[Gross],LossTable[EventID],Input!$B$8,LossTable[Department_Map],'Net Waterfall'!$B17)</f>
        <v>328700.05720856995</v>
      </c>
      <c r="D17" s="27">
        <f>SUMIFS(LossTable[Gross],LossTable[EventID],Input!$B$9,LossTable[Department_Map],'Net Waterfall'!$B17)</f>
        <v>317761.03777707001</v>
      </c>
      <c r="E17" s="27">
        <f>SUMIFS(LossTable[Gross],LossTable[EventID],Input!$B$10,LossTable[Department_Map],'Net Waterfall'!$B17)</f>
        <v>479127.79110897001</v>
      </c>
      <c r="F17" s="43"/>
      <c r="G17" s="27">
        <f>SUMIFS(LossTable[NetOfLogan],LossTable[EventID],Input!$B$8,LossTable[Department_Map],'Net Waterfall'!$B17)</f>
        <v>328700.05720856995</v>
      </c>
      <c r="H17" s="27">
        <f>SUMIFS(LossTable[NetOfLogan],LossTable[EventID],Input!$B$9,LossTable[Department_Map],'Net Waterfall'!$B17)</f>
        <v>317761.03777707001</v>
      </c>
      <c r="I17" s="27">
        <f>SUMIFS(LossTable[NetOfLogan],LossTable[EventID],Input!$B$10,LossTable[Department_Map],'Net Waterfall'!$B17)</f>
        <v>479127.79110897001</v>
      </c>
      <c r="J17" s="43"/>
      <c r="K17" s="27">
        <f>SUMIFS(LossTable[NetofAllCessions],LossTable[EventID],Input!$B$8,LossTable[Department_Map],'Net Waterfall'!$B17)</f>
        <v>328700.05720856995</v>
      </c>
      <c r="L17" s="27">
        <f>SUMIFS(LossTable[NetofAllCessions],LossTable[EventID],Input!$B$9,LossTable[Department_Map],'Net Waterfall'!$B17)</f>
        <v>317761.03777707001</v>
      </c>
      <c r="M17" s="27">
        <f>SUMIFS(LossTable[NetofAllCessions],LossTable[EventID],Input!$B$10,LossTable[Department_Map],'Net Waterfall'!$B17)</f>
        <v>479127.79110897001</v>
      </c>
      <c r="N17" s="43"/>
      <c r="O17" s="27">
        <f>SUMIFS(LossTable[Expected_RIPs],LossTable[EventID],Input!$B$8,LossTable[Department_Map],'Net Waterfall'!$B17)</f>
        <v>0</v>
      </c>
      <c r="P17" s="49">
        <f>SUMIFS(LossTable[Expected_RIPs],LossTable[EventID],Input!$B$9,LossTable[Department_Map],'Net Waterfall'!$B17)</f>
        <v>0</v>
      </c>
      <c r="Q17" s="49">
        <f>SUMIFS(LossTable[Expected_RIPs],LossTable[EventID],Input!$B$10,LossTable[Department_Map],'Net Waterfall'!$B17)</f>
        <v>0</v>
      </c>
      <c r="R17" s="43"/>
      <c r="S17" s="43">
        <f t="shared" ref="S17:S31" si="0">K17-O17</f>
        <v>328700.05720856995</v>
      </c>
      <c r="T17" s="43">
        <f t="shared" ref="T17:T31" si="1">L17-P17</f>
        <v>317761.03777707001</v>
      </c>
      <c r="U17" s="43">
        <f t="shared" ref="U17:U31" si="2">M17-Q17</f>
        <v>479127.79110897001</v>
      </c>
      <c r="W17" s="46"/>
    </row>
    <row r="18" spans="1:24" ht="14.45" customHeight="1" x14ac:dyDescent="0.2">
      <c r="A18" s="17"/>
      <c r="B18" s="17" t="s">
        <v>64</v>
      </c>
      <c r="C18" s="27">
        <f>SUMIFS(LossTable[Gross],LossTable[EventID],Input!$B$8,LossTable[Department_Map],'Net Waterfall'!$B18)</f>
        <v>0</v>
      </c>
      <c r="D18" s="27">
        <f>SUMIFS(LossTable[Gross],LossTable[EventID],Input!$B$9,LossTable[Department_Map],'Net Waterfall'!$B18)</f>
        <v>0</v>
      </c>
      <c r="E18" s="27">
        <f>SUMIFS(LossTable[Gross],LossTable[EventID],Input!$B$10,LossTable[Department_Map],'Net Waterfall'!$B18)</f>
        <v>0</v>
      </c>
      <c r="F18" s="43"/>
      <c r="G18" s="27">
        <f>SUMIFS(LossTable[NetOfLogan],LossTable[EventID],Input!$B$8,LossTable[Department_Map],'Net Waterfall'!$B18)</f>
        <v>0</v>
      </c>
      <c r="H18" s="27">
        <f>SUMIFS(LossTable[NetOfLogan],LossTable[EventID],Input!$B$9,LossTable[Department_Map],'Net Waterfall'!$B18)</f>
        <v>0</v>
      </c>
      <c r="I18" s="27">
        <f>SUMIFS(LossTable[NetOfLogan],LossTable[EventID],Input!$B$10,LossTable[Department_Map],'Net Waterfall'!$B18)</f>
        <v>0</v>
      </c>
      <c r="J18" s="43"/>
      <c r="K18" s="27">
        <f>SUMIFS(LossTable[NetofAllCessions],LossTable[EventID],Input!$B$8,LossTable[Department_Map],'Net Waterfall'!$B18)</f>
        <v>0</v>
      </c>
      <c r="L18" s="27">
        <f>SUMIFS(LossTable[NetofAllCessions],LossTable[EventID],Input!$B$9,LossTable[Department_Map],'Net Waterfall'!$B18)</f>
        <v>0</v>
      </c>
      <c r="M18" s="27">
        <f>SUMIFS(LossTable[NetofAllCessions],LossTable[EventID],Input!$B$10,LossTable[Department_Map],'Net Waterfall'!$B18)</f>
        <v>0</v>
      </c>
      <c r="N18" s="43"/>
      <c r="O18" s="27">
        <f>SUMIFS(LossTable[Expected_RIPs],LossTable[EventID],Input!$B$8,LossTable[Department_Map],'Net Waterfall'!$B18)</f>
        <v>0</v>
      </c>
      <c r="P18" s="49">
        <f>SUMIFS(LossTable[Expected_RIPs],LossTable[EventID],Input!$B$9,LossTable[Department_Map],'Net Waterfall'!$B18)</f>
        <v>0</v>
      </c>
      <c r="Q18" s="49">
        <f>SUMIFS(LossTable[Expected_RIPs],LossTable[EventID],Input!$B$10,LossTable[Department_Map],'Net Waterfall'!$B18)</f>
        <v>0</v>
      </c>
      <c r="R18" s="43"/>
      <c r="S18" s="43">
        <f t="shared" si="0"/>
        <v>0</v>
      </c>
      <c r="T18" s="43">
        <f t="shared" si="1"/>
        <v>0</v>
      </c>
      <c r="U18" s="43">
        <f t="shared" si="2"/>
        <v>0</v>
      </c>
      <c r="W18" s="46"/>
    </row>
    <row r="19" spans="1:24" x14ac:dyDescent="0.2">
      <c r="A19" s="17"/>
      <c r="B19" s="17" t="s">
        <v>22</v>
      </c>
      <c r="C19" s="27">
        <f>SUMIFS(LossTable[Gross],LossTable[EventID],Input!$B$8,LossTable[Department_Map],'Net Waterfall'!$B19)</f>
        <v>2339.63</v>
      </c>
      <c r="D19" s="27">
        <f>SUMIFS(LossTable[Gross],LossTable[EventID],Input!$B$9,LossTable[Department_Map],'Net Waterfall'!$B19)</f>
        <v>2226.3409999999999</v>
      </c>
      <c r="E19" s="27">
        <f>SUMIFS(LossTable[Gross],LossTable[EventID],Input!$B$10,LossTable[Department_Map],'Net Waterfall'!$B19)</f>
        <v>2681.8609999999999</v>
      </c>
      <c r="F19" s="43"/>
      <c r="G19" s="27">
        <f>SUMIFS(LossTable[NetOfLogan],LossTable[EventID],Input!$B$8,LossTable[Department_Map],'Net Waterfall'!$B19)</f>
        <v>2339.63</v>
      </c>
      <c r="H19" s="27">
        <f>SUMIFS(LossTable[NetOfLogan],LossTable[EventID],Input!$B$9,LossTable[Department_Map],'Net Waterfall'!$B19)</f>
        <v>2226.3409999999999</v>
      </c>
      <c r="I19" s="27">
        <f>SUMIFS(LossTable[NetOfLogan],LossTable[EventID],Input!$B$10,LossTable[Department_Map],'Net Waterfall'!$B19)</f>
        <v>2681.8609999999999</v>
      </c>
      <c r="J19" s="43"/>
      <c r="K19" s="27">
        <f>SUMIFS(LossTable[NetofAllCessions],LossTable[EventID],Input!$B$8,LossTable[Department_Map],'Net Waterfall'!$B19)</f>
        <v>2339.63</v>
      </c>
      <c r="L19" s="27">
        <f>SUMIFS(LossTable[NetofAllCessions],LossTable[EventID],Input!$B$9,LossTable[Department_Map],'Net Waterfall'!$B19)</f>
        <v>2226.3409999999999</v>
      </c>
      <c r="M19" s="27">
        <f>SUMIFS(LossTable[NetofAllCessions],LossTable[EventID],Input!$B$10,LossTable[Department_Map],'Net Waterfall'!$B19)</f>
        <v>2681.8609999999999</v>
      </c>
      <c r="N19" s="43"/>
      <c r="O19" s="27">
        <f>SUMIFS(LossTable[Expected_RIPs],LossTable[EventID],Input!$B$8,LossTable[Department_Map],'Net Waterfall'!$B19)</f>
        <v>0</v>
      </c>
      <c r="P19" s="49">
        <f>SUMIFS(LossTable[Expected_RIPs],LossTable[EventID],Input!$B$9,LossTable[Department_Map],'Net Waterfall'!$B19)</f>
        <v>0</v>
      </c>
      <c r="Q19" s="49">
        <f>SUMIFS(LossTable[Expected_RIPs],LossTable[EventID],Input!$B$10,LossTable[Department_Map],'Net Waterfall'!$B19)</f>
        <v>0</v>
      </c>
      <c r="R19" s="43"/>
      <c r="S19" s="43">
        <f t="shared" si="0"/>
        <v>2339.63</v>
      </c>
      <c r="T19" s="43">
        <f t="shared" si="1"/>
        <v>2226.3409999999999</v>
      </c>
      <c r="U19" s="43">
        <f t="shared" si="2"/>
        <v>2681.8609999999999</v>
      </c>
    </row>
    <row r="20" spans="1:24" x14ac:dyDescent="0.2">
      <c r="A20" s="17"/>
      <c r="B20" s="17" t="s">
        <v>65</v>
      </c>
      <c r="C20" s="27">
        <f>SUMIFS(LossTable[Gross],LossTable[EventID],Input!$B$8,LossTable[Department_Map],'Net Waterfall'!$B20)</f>
        <v>0</v>
      </c>
      <c r="D20" s="27">
        <f>SUMIFS(LossTable[Gross],LossTable[EventID],Input!$B$9,LossTable[Department_Map],'Net Waterfall'!$B20)</f>
        <v>0</v>
      </c>
      <c r="E20" s="27">
        <f>SUMIFS(LossTable[Gross],LossTable[EventID],Input!$B$10,LossTable[Department_Map],'Net Waterfall'!$B20)</f>
        <v>0</v>
      </c>
      <c r="F20" s="43"/>
      <c r="G20" s="27">
        <f>SUMIFS(LossTable[NetOfLogan],LossTable[EventID],Input!$B$8,LossTable[Department_Map],'Net Waterfall'!$B20)</f>
        <v>0</v>
      </c>
      <c r="H20" s="27">
        <f>SUMIFS(LossTable[NetOfLogan],LossTable[EventID],Input!$B$9,LossTable[Department_Map],'Net Waterfall'!$B20)</f>
        <v>0</v>
      </c>
      <c r="I20" s="27">
        <f>SUMIFS(LossTable[NetOfLogan],LossTable[EventID],Input!$B$10,LossTable[Department_Map],'Net Waterfall'!$B20)</f>
        <v>0</v>
      </c>
      <c r="J20" s="43"/>
      <c r="K20" s="27">
        <f>SUMIFS(LossTable[NetofAllCessions],LossTable[EventID],Input!$B$8,LossTable[Department_Map],'Net Waterfall'!$B20)</f>
        <v>0</v>
      </c>
      <c r="L20" s="27">
        <f>SUMIFS(LossTable[NetofAllCessions],LossTable[EventID],Input!$B$9,LossTable[Department_Map],'Net Waterfall'!$B20)</f>
        <v>0</v>
      </c>
      <c r="M20" s="27">
        <f>SUMIFS(LossTable[NetofAllCessions],LossTable[EventID],Input!$B$10,LossTable[Department_Map],'Net Waterfall'!$B20)</f>
        <v>0</v>
      </c>
      <c r="N20" s="43"/>
      <c r="O20" s="27">
        <f>SUMIFS(LossTable[Expected_RIPs],LossTable[EventID],Input!$B$8,LossTable[Department_Map],'Net Waterfall'!$B20)</f>
        <v>0</v>
      </c>
      <c r="P20" s="49">
        <f>SUMIFS(LossTable[Expected_RIPs],LossTable[EventID],Input!$B$9,LossTable[Department_Map],'Net Waterfall'!$B20)</f>
        <v>0</v>
      </c>
      <c r="Q20" s="49">
        <f>SUMIFS(LossTable[Expected_RIPs],LossTable[EventID],Input!$B$10,LossTable[Department_Map],'Net Waterfall'!$B20)</f>
        <v>0</v>
      </c>
      <c r="R20" s="43"/>
      <c r="S20" s="43">
        <f t="shared" si="0"/>
        <v>0</v>
      </c>
      <c r="T20" s="43">
        <f t="shared" si="1"/>
        <v>0</v>
      </c>
      <c r="U20" s="43">
        <f t="shared" si="2"/>
        <v>0</v>
      </c>
    </row>
    <row r="21" spans="1:24" x14ac:dyDescent="0.2">
      <c r="A21" s="17"/>
      <c r="B21" s="17" t="s">
        <v>23</v>
      </c>
      <c r="C21" s="27">
        <f>SUMIFS(LossTable[Gross],LossTable[EventID],Input!$B$8,LossTable[Department_Map],'Net Waterfall'!$B21)</f>
        <v>0</v>
      </c>
      <c r="D21" s="27">
        <f>SUMIFS(LossTable[Gross],LossTable[EventID],Input!$B$9,LossTable[Department_Map],'Net Waterfall'!$B21)</f>
        <v>0</v>
      </c>
      <c r="E21" s="27">
        <f>SUMIFS(LossTable[Gross],LossTable[EventID],Input!$B$10,LossTable[Department_Map],'Net Waterfall'!$B21)</f>
        <v>0</v>
      </c>
      <c r="F21" s="43"/>
      <c r="G21" s="27">
        <f>SUMIFS(LossTable[NetOfLogan],LossTable[EventID],Input!$B$8,LossTable[Department_Map],'Net Waterfall'!$B21)</f>
        <v>0</v>
      </c>
      <c r="H21" s="27">
        <f>SUMIFS(LossTable[NetOfLogan],LossTable[EventID],Input!$B$9,LossTable[Department_Map],'Net Waterfall'!$B21)</f>
        <v>0</v>
      </c>
      <c r="I21" s="27">
        <f>SUMIFS(LossTable[NetOfLogan],LossTable[EventID],Input!$B$10,LossTable[Department_Map],'Net Waterfall'!$B21)</f>
        <v>0</v>
      </c>
      <c r="J21" s="43"/>
      <c r="K21" s="27">
        <f>SUMIFS(LossTable[NetofAllCessions],LossTable[EventID],Input!$B$8,LossTable[Department_Map],'Net Waterfall'!$B21)</f>
        <v>0</v>
      </c>
      <c r="L21" s="27">
        <f>SUMIFS(LossTable[NetofAllCessions],LossTable[EventID],Input!$B$9,LossTable[Department_Map],'Net Waterfall'!$B21)</f>
        <v>0</v>
      </c>
      <c r="M21" s="27">
        <f>SUMIFS(LossTable[NetofAllCessions],LossTable[EventID],Input!$B$10,LossTable[Department_Map],'Net Waterfall'!$B21)</f>
        <v>0</v>
      </c>
      <c r="N21" s="43"/>
      <c r="O21" s="27">
        <f>SUMIFS(LossTable[Expected_RIPs],LossTable[EventID],Input!$B$8,LossTable[Department_Map],'Net Waterfall'!$B21)</f>
        <v>0</v>
      </c>
      <c r="P21" s="49">
        <f>SUMIFS(LossTable[Expected_RIPs],LossTable[EventID],Input!$B$9,LossTable[Department_Map],'Net Waterfall'!$B21)</f>
        <v>0</v>
      </c>
      <c r="Q21" s="49">
        <f>SUMIFS(LossTable[Expected_RIPs],LossTable[EventID],Input!$B$10,LossTable[Department_Map],'Net Waterfall'!$B21)</f>
        <v>0</v>
      </c>
      <c r="R21" s="43"/>
      <c r="S21" s="43">
        <f t="shared" si="0"/>
        <v>0</v>
      </c>
      <c r="T21" s="43">
        <f t="shared" si="1"/>
        <v>0</v>
      </c>
      <c r="U21" s="43">
        <f t="shared" si="2"/>
        <v>0</v>
      </c>
      <c r="W21" s="45" t="s">
        <v>66</v>
      </c>
    </row>
    <row r="22" spans="1:24" ht="14.45" customHeight="1" x14ac:dyDescent="0.2">
      <c r="A22" s="17"/>
      <c r="B22" s="17" t="s">
        <v>25</v>
      </c>
      <c r="C22" s="27">
        <f>SUMIFS(LossTable[Gross],LossTable[EventID],Input!$B$8,LossTable[Department_Map],'Net Waterfall'!$B22)</f>
        <v>11490022.35710101</v>
      </c>
      <c r="D22" s="27">
        <f>SUMIFS(LossTable[Gross],LossTable[EventID],Input!$B$9,LossTable[Department_Map],'Net Waterfall'!$B22)</f>
        <v>17417603.721095398</v>
      </c>
      <c r="E22" s="27">
        <f>SUMIFS(LossTable[Gross],LossTable[EventID],Input!$B$10,LossTable[Department_Map],'Net Waterfall'!$B22)</f>
        <v>21888495.765423011</v>
      </c>
      <c r="F22" s="43"/>
      <c r="G22" s="27">
        <f>SUMIFS(LossTable[NetOfLogan],LossTable[EventID],Input!$B$8,LossTable[Department_Map],'Net Waterfall'!$B22)</f>
        <v>10242217.679204026</v>
      </c>
      <c r="H22" s="27">
        <f>SUMIFS(LossTable[NetOfLogan],LossTable[EventID],Input!$B$9,LossTable[Department_Map],'Net Waterfall'!$B22)</f>
        <v>16216112.803773828</v>
      </c>
      <c r="I22" s="27">
        <f>SUMIFS(LossTable[NetOfLogan],LossTable[EventID],Input!$B$10,LossTable[Department_Map],'Net Waterfall'!$B22)</f>
        <v>20521839.086460229</v>
      </c>
      <c r="J22" s="43"/>
      <c r="K22" s="27">
        <f>SUMIFS(LossTable[NetofAllCessions],LossTable[EventID],Input!$B$8,LossTable[Department_Map],'Net Waterfall'!$B22)</f>
        <v>10242217.679204026</v>
      </c>
      <c r="L22" s="27">
        <f>SUMIFS(LossTable[NetofAllCessions],LossTable[EventID],Input!$B$9,LossTable[Department_Map],'Net Waterfall'!$B22)</f>
        <v>16216112.803773828</v>
      </c>
      <c r="M22" s="27">
        <f>SUMIFS(LossTable[NetofAllCessions],LossTable[EventID],Input!$B$10,LossTable[Department_Map],'Net Waterfall'!$B22)</f>
        <v>20521839.086460229</v>
      </c>
      <c r="N22" s="43"/>
      <c r="O22" s="27">
        <f>SUMIFS(LossTable[Expected_RIPs],LossTable[EventID],Input!$B$8,LossTable[Department_Map],'Net Waterfall'!$B22)</f>
        <v>138630.73715917801</v>
      </c>
      <c r="P22" s="49">
        <f>SUMIFS(LossTable[Expected_RIPs],LossTable[EventID],Input!$B$9,LossTable[Department_Map],'Net Waterfall'!$B22)</f>
        <v>318271.02152889664</v>
      </c>
      <c r="Q22" s="49">
        <f>SUMIFS(LossTable[Expected_RIPs],LossTable[EventID],Input!$B$10,LossTable[Department_Map],'Net Waterfall'!$B22)</f>
        <v>292650.49383453571</v>
      </c>
      <c r="R22" s="43"/>
      <c r="S22" s="43">
        <f t="shared" si="0"/>
        <v>10103586.942044849</v>
      </c>
      <c r="T22" s="43">
        <f t="shared" si="1"/>
        <v>15897841.782244932</v>
      </c>
      <c r="U22" s="43">
        <f t="shared" si="2"/>
        <v>20229188.592625692</v>
      </c>
      <c r="W22" s="50"/>
    </row>
    <row r="23" spans="1:24" ht="14.45" customHeight="1" x14ac:dyDescent="0.2">
      <c r="A23" s="17"/>
      <c r="B23" s="17" t="s">
        <v>19</v>
      </c>
      <c r="C23" s="27">
        <f>SUMIFS(LossTable[Gross],LossTable[EventID],Input!$B$8,LossTable[Department_Map],'Net Waterfall'!$B23)</f>
        <v>1151330.2898734699</v>
      </c>
      <c r="D23" s="27">
        <f>SUMIFS(LossTable[Gross],LossTable[EventID],Input!$B$9,LossTable[Department_Map],'Net Waterfall'!$B23)</f>
        <v>1399890.9537804204</v>
      </c>
      <c r="E23" s="27">
        <f>SUMIFS(LossTable[Gross],LossTable[EventID],Input!$B$10,LossTable[Department_Map],'Net Waterfall'!$B23)</f>
        <v>2018897.0840372206</v>
      </c>
      <c r="F23" s="43"/>
      <c r="G23" s="27">
        <f>SUMIFS(LossTable[NetOfLogan],LossTable[EventID],Input!$B$8,LossTable[Department_Map],'Net Waterfall'!$B23)</f>
        <v>1151330.2898734699</v>
      </c>
      <c r="H23" s="27">
        <f>SUMIFS(LossTable[NetOfLogan],LossTable[EventID],Input!$B$9,LossTable[Department_Map],'Net Waterfall'!$B23)</f>
        <v>1399890.9537804204</v>
      </c>
      <c r="I23" s="27">
        <f>SUMIFS(LossTable[NetOfLogan],LossTable[EventID],Input!$B$10,LossTable[Department_Map],'Net Waterfall'!$B23)</f>
        <v>2018897.0840372206</v>
      </c>
      <c r="J23" s="43"/>
      <c r="K23" s="27">
        <f>SUMIFS(LossTable[NetofAllCessions],LossTable[EventID],Input!$B$8,LossTable[Department_Map],'Net Waterfall'!$B23)</f>
        <v>1151330.2898734699</v>
      </c>
      <c r="L23" s="27">
        <f>SUMIFS(LossTable[NetofAllCessions],LossTable[EventID],Input!$B$9,LossTable[Department_Map],'Net Waterfall'!$B23)</f>
        <v>1399890.9537804204</v>
      </c>
      <c r="M23" s="27">
        <f>SUMIFS(LossTable[NetofAllCessions],LossTable[EventID],Input!$B$10,LossTable[Department_Map],'Net Waterfall'!$B23)</f>
        <v>2018897.0840372206</v>
      </c>
      <c r="N23" s="43"/>
      <c r="O23" s="27">
        <f>SUMIFS(LossTable[Expected_RIPs],LossTable[EventID],Input!$B$8,LossTable[Department_Map],'Net Waterfall'!$B23)</f>
        <v>80849.562841229999</v>
      </c>
      <c r="P23" s="49">
        <f>SUMIFS(LossTable[Expected_RIPs],LossTable[EventID],Input!$B$9,LossTable[Department_Map],'Net Waterfall'!$B23)</f>
        <v>177041.42785605</v>
      </c>
      <c r="Q23" s="49">
        <f>SUMIFS(LossTable[Expected_RIPs],LossTable[EventID],Input!$B$10,LossTable[Department_Map],'Net Waterfall'!$B23)</f>
        <v>200919.79900957004</v>
      </c>
      <c r="R23" s="43"/>
      <c r="S23" s="43">
        <f t="shared" si="0"/>
        <v>1070480.7270322398</v>
      </c>
      <c r="T23" s="43">
        <f t="shared" si="1"/>
        <v>1222849.5259243704</v>
      </c>
      <c r="U23" s="43">
        <f t="shared" si="2"/>
        <v>1817977.2850276507</v>
      </c>
      <c r="W23" s="50"/>
    </row>
    <row r="24" spans="1:24" ht="14.45" customHeight="1" x14ac:dyDescent="0.2">
      <c r="A24" s="17"/>
      <c r="B24" s="17" t="s">
        <v>17</v>
      </c>
      <c r="C24" s="27">
        <f>SUMIFS(LossTable[Gross],LossTable[EventID],Input!$B$8,LossTable[Department_Map],'Net Waterfall'!$B24)</f>
        <v>116661.55451002</v>
      </c>
      <c r="D24" s="27">
        <f>SUMIFS(LossTable[Gross],LossTable[EventID],Input!$B$9,LossTable[Department_Map],'Net Waterfall'!$B24)</f>
        <v>156694.22077213999</v>
      </c>
      <c r="E24" s="27">
        <f>SUMIFS(LossTable[Gross],LossTable[EventID],Input!$B$10,LossTable[Department_Map],'Net Waterfall'!$B24)</f>
        <v>167704.60568261001</v>
      </c>
      <c r="F24" s="49"/>
      <c r="G24" s="27">
        <f>SUMIFS(LossTable[NetOfLogan],LossTable[EventID],Input!$B$8,LossTable[Department_Map],'Net Waterfall'!$B24)</f>
        <v>116661.55451002</v>
      </c>
      <c r="H24" s="27">
        <f>SUMIFS(LossTable[NetOfLogan],LossTable[EventID],Input!$B$9,LossTable[Department_Map],'Net Waterfall'!$B24)</f>
        <v>156694.22077213999</v>
      </c>
      <c r="I24" s="27">
        <f>SUMIFS(LossTable[NetOfLogan],LossTable[EventID],Input!$B$10,LossTable[Department_Map],'Net Waterfall'!$B24)</f>
        <v>167704.60568261001</v>
      </c>
      <c r="J24" s="49"/>
      <c r="K24" s="27">
        <f>SUMIFS(LossTable[NetofAllCessions],LossTable[EventID],Input!$B$8,LossTable[Department_Map],'Net Waterfall'!$B24)</f>
        <v>116661.55451002</v>
      </c>
      <c r="L24" s="27">
        <f>SUMIFS(LossTable[NetofAllCessions],LossTable[EventID],Input!$B$9,LossTable[Department_Map],'Net Waterfall'!$B24)</f>
        <v>156694.22077213999</v>
      </c>
      <c r="M24" s="27">
        <f>SUMIFS(LossTable[NetofAllCessions],LossTable[EventID],Input!$B$10,LossTable[Department_Map],'Net Waterfall'!$B24)</f>
        <v>167704.60568261001</v>
      </c>
      <c r="N24" s="43"/>
      <c r="O24" s="27">
        <f>SUMIFS(LossTable[Expected_RIPs],LossTable[EventID],Input!$B$8,LossTable[Department_Map],'Net Waterfall'!$B24)</f>
        <v>0</v>
      </c>
      <c r="P24" s="49">
        <f>SUMIFS(LossTable[Expected_RIPs],LossTable[EventID],Input!$B$9,LossTable[Department_Map],'Net Waterfall'!$B24)</f>
        <v>0</v>
      </c>
      <c r="Q24" s="49">
        <f>SUMIFS(LossTable[Expected_RIPs],LossTable[EventID],Input!$B$10,LossTable[Department_Map],'Net Waterfall'!$B24)</f>
        <v>0</v>
      </c>
      <c r="R24" s="43"/>
      <c r="S24" s="43">
        <f t="shared" si="0"/>
        <v>116661.55451002</v>
      </c>
      <c r="T24" s="43">
        <f t="shared" si="1"/>
        <v>156694.22077213999</v>
      </c>
      <c r="U24" s="43">
        <f t="shared" si="2"/>
        <v>167704.60568261001</v>
      </c>
      <c r="W24" s="50"/>
    </row>
    <row r="25" spans="1:24" ht="14.45" customHeight="1" x14ac:dyDescent="0.2">
      <c r="A25" s="17"/>
      <c r="B25" s="17" t="s">
        <v>15</v>
      </c>
      <c r="C25" s="27">
        <f>SUMIFS(LossTable[Gross],LossTable[EventID],Input!$B$8,LossTable[Department_Map],'Net Waterfall'!$B25)</f>
        <v>7063.00918748</v>
      </c>
      <c r="D25" s="27">
        <f>SUMIFS(LossTable[Gross],LossTable[EventID],Input!$B$9,LossTable[Department_Map],'Net Waterfall'!$B25)</f>
        <v>11407.930745359999</v>
      </c>
      <c r="E25" s="27">
        <f>SUMIFS(LossTable[Gross],LossTable[EventID],Input!$B$10,LossTable[Department_Map],'Net Waterfall'!$B25)</f>
        <v>11741.20795271</v>
      </c>
      <c r="F25" s="49"/>
      <c r="G25" s="27">
        <f>SUMIFS(LossTable[NetOfLogan],LossTable[EventID],Input!$B$8,LossTable[Department_Map],'Net Waterfall'!$B25)</f>
        <v>7063.00918748</v>
      </c>
      <c r="H25" s="27">
        <f>SUMIFS(LossTable[NetOfLogan],LossTable[EventID],Input!$B$9,LossTable[Department_Map],'Net Waterfall'!$B25)</f>
        <v>11407.930745359999</v>
      </c>
      <c r="I25" s="27">
        <f>SUMIFS(LossTable[NetOfLogan],LossTable[EventID],Input!$B$10,LossTable[Department_Map],'Net Waterfall'!$B25)</f>
        <v>11741.20795271</v>
      </c>
      <c r="J25" s="49"/>
      <c r="K25" s="27">
        <f>SUMIFS(LossTable[NetofAllCessions],LossTable[EventID],Input!$B$8,LossTable[Department_Map],'Net Waterfall'!$B25)</f>
        <v>7063.00918748</v>
      </c>
      <c r="L25" s="27">
        <f>SUMIFS(LossTable[NetofAllCessions],LossTable[EventID],Input!$B$9,LossTable[Department_Map],'Net Waterfall'!$B25)</f>
        <v>11407.930745359999</v>
      </c>
      <c r="M25" s="27">
        <f>SUMIFS(LossTable[NetofAllCessions],LossTable[EventID],Input!$B$10,LossTable[Department_Map],'Net Waterfall'!$B25)</f>
        <v>11741.20795271</v>
      </c>
      <c r="N25" s="43"/>
      <c r="O25" s="27">
        <f>SUMIFS(LossTable[Expected_RIPs],LossTable[EventID],Input!$B$8,LossTable[Department_Map],'Net Waterfall'!$B25)</f>
        <v>0</v>
      </c>
      <c r="P25" s="49">
        <f>SUMIFS(LossTable[Expected_RIPs],LossTable[EventID],Input!$B$9,LossTable[Department_Map],'Net Waterfall'!$B25)</f>
        <v>0</v>
      </c>
      <c r="Q25" s="49">
        <f>SUMIFS(LossTable[Expected_RIPs],LossTable[EventID],Input!$B$10,LossTable[Department_Map],'Net Waterfall'!$B25)</f>
        <v>0</v>
      </c>
      <c r="R25" s="43"/>
      <c r="S25" s="43">
        <f t="shared" si="0"/>
        <v>7063.00918748</v>
      </c>
      <c r="T25" s="43">
        <f t="shared" si="1"/>
        <v>11407.930745359999</v>
      </c>
      <c r="U25" s="43">
        <f t="shared" si="2"/>
        <v>11741.20795271</v>
      </c>
      <c r="W25" s="51"/>
      <c r="X25" s="51"/>
    </row>
    <row r="26" spans="1:24" ht="14.45" customHeight="1" x14ac:dyDescent="0.2">
      <c r="A26" s="17"/>
      <c r="B26" s="17" t="s">
        <v>20</v>
      </c>
      <c r="C26" s="27">
        <f>SUMIFS(LossTable[Gross],LossTable[EventID],Input!$B$8,LossTable[Department_Map],'Net Waterfall'!$B26)</f>
        <v>3775779.1100000003</v>
      </c>
      <c r="D26" s="27">
        <f>SUMIFS(LossTable[Gross],LossTable[EventID],Input!$B$9,LossTable[Department_Map],'Net Waterfall'!$B26)</f>
        <v>3930833.2799999993</v>
      </c>
      <c r="E26" s="27">
        <f>SUMIFS(LossTable[Gross],LossTable[EventID],Input!$B$10,LossTable[Department_Map],'Net Waterfall'!$B26)</f>
        <v>6216546.0199999996</v>
      </c>
      <c r="F26" s="49"/>
      <c r="G26" s="27">
        <f>SUMIFS(LossTable[NetOfLogan],LossTable[EventID],Input!$B$8,LossTable[Department_Map],'Net Waterfall'!$B26)</f>
        <v>3775779.1100000003</v>
      </c>
      <c r="H26" s="27">
        <f>SUMIFS(LossTable[NetOfLogan],LossTable[EventID],Input!$B$9,LossTable[Department_Map],'Net Waterfall'!$B26)</f>
        <v>3930833.2799999993</v>
      </c>
      <c r="I26" s="27">
        <f>SUMIFS(LossTable[NetOfLogan],LossTable[EventID],Input!$B$10,LossTable[Department_Map],'Net Waterfall'!$B26)</f>
        <v>6216546.0199999996</v>
      </c>
      <c r="J26" s="49"/>
      <c r="K26" s="27">
        <f>SUMIFS(LossTable[NetofAllCessions],LossTable[EventID],Input!$B$8,LossTable[Department_Map],'Net Waterfall'!$B26)</f>
        <v>3775195.6100000003</v>
      </c>
      <c r="L26" s="27">
        <f>SUMIFS(LossTable[NetofAllCessions],LossTable[EventID],Input!$B$9,LossTable[Department_Map],'Net Waterfall'!$B26)</f>
        <v>3930261.1999999993</v>
      </c>
      <c r="M26" s="27">
        <f>SUMIFS(LossTable[NetofAllCessions],LossTable[EventID],Input!$B$10,LossTable[Department_Map],'Net Waterfall'!$B26)</f>
        <v>6215659.8399999999</v>
      </c>
      <c r="N26" s="43"/>
      <c r="O26" s="27">
        <f>SUMIFS(LossTable[Expected_RIPs],LossTable[EventID],Input!$B$8,LossTable[Department_Map],'Net Waterfall'!$B26)</f>
        <v>0</v>
      </c>
      <c r="P26" s="49">
        <f>SUMIFS(LossTable[Expected_RIPs],LossTable[EventID],Input!$B$9,LossTable[Department_Map],'Net Waterfall'!$B26)</f>
        <v>0</v>
      </c>
      <c r="Q26" s="49">
        <f>SUMIFS(LossTable[Expected_RIPs],LossTable[EventID],Input!$B$10,LossTable[Department_Map],'Net Waterfall'!$B26)</f>
        <v>0</v>
      </c>
      <c r="R26" s="43"/>
      <c r="S26" s="43">
        <f t="shared" si="0"/>
        <v>3775195.6100000003</v>
      </c>
      <c r="T26" s="43">
        <f t="shared" si="1"/>
        <v>3930261.1999999993</v>
      </c>
      <c r="U26" s="43">
        <f t="shared" si="2"/>
        <v>6215659.8399999999</v>
      </c>
      <c r="W26" s="50"/>
    </row>
    <row r="27" spans="1:24" ht="14.45" customHeight="1" x14ac:dyDescent="0.2">
      <c r="A27" s="17"/>
      <c r="B27" s="17" t="s">
        <v>67</v>
      </c>
      <c r="C27" s="27">
        <f>SUMIFS(LossTable[Gross],LossTable[EventID],Input!$B$8,LossTable[Department_Map],'Net Waterfall'!$B27)</f>
        <v>0</v>
      </c>
      <c r="D27" s="27">
        <f>SUMIFS(LossTable[Gross],LossTable[EventID],Input!$B$9,LossTable[Department_Map],'Net Waterfall'!$B27)</f>
        <v>0</v>
      </c>
      <c r="E27" s="27">
        <f>SUMIFS(LossTable[Gross],LossTable[EventID],Input!$B$10,LossTable[Department_Map],'Net Waterfall'!$B27)</f>
        <v>0</v>
      </c>
      <c r="F27" s="49"/>
      <c r="G27" s="27">
        <f>SUMIFS(LossTable[NetOfLogan],LossTable[EventID],Input!$B$8,LossTable[Department_Map],'Net Waterfall'!$B27)</f>
        <v>0</v>
      </c>
      <c r="H27" s="27">
        <f>SUMIFS(LossTable[NetOfLogan],LossTable[EventID],Input!$B$9,LossTable[Department_Map],'Net Waterfall'!$B27)</f>
        <v>0</v>
      </c>
      <c r="I27" s="27">
        <f>SUMIFS(LossTable[NetOfLogan],LossTable[EventID],Input!$B$10,LossTable[Department_Map],'Net Waterfall'!$B27)</f>
        <v>0</v>
      </c>
      <c r="J27" s="49"/>
      <c r="K27" s="27">
        <f>SUMIFS(LossTable[NetofAllCessions],LossTable[EventID],Input!$B$8,LossTable[Department_Map],'Net Waterfall'!$B27)</f>
        <v>0</v>
      </c>
      <c r="L27" s="27">
        <f>SUMIFS(LossTable[NetofAllCessions],LossTable[EventID],Input!$B$9,LossTable[Department_Map],'Net Waterfall'!$B27)</f>
        <v>0</v>
      </c>
      <c r="M27" s="27">
        <f>SUMIFS(LossTable[NetofAllCessions],LossTable[EventID],Input!$B$10,LossTable[Department_Map],'Net Waterfall'!$B27)</f>
        <v>0</v>
      </c>
      <c r="N27" s="43"/>
      <c r="O27" s="27">
        <f>SUMIFS(LossTable[Expected_RIPs],LossTable[EventID],Input!$B$8,LossTable[Department_Map],'Net Waterfall'!$B27)</f>
        <v>0</v>
      </c>
      <c r="P27" s="49">
        <f>SUMIFS(LossTable[Expected_RIPs],LossTable[EventID],Input!$B$9,LossTable[Department_Map],'Net Waterfall'!$B27)</f>
        <v>0</v>
      </c>
      <c r="Q27" s="49">
        <f>SUMIFS(LossTable[Expected_RIPs],LossTable[EventID],Input!$B$10,LossTable[Department_Map],'Net Waterfall'!$B27)</f>
        <v>0</v>
      </c>
      <c r="R27" s="43"/>
      <c r="S27" s="43">
        <f t="shared" si="0"/>
        <v>0</v>
      </c>
      <c r="T27" s="43">
        <f t="shared" si="1"/>
        <v>0</v>
      </c>
      <c r="U27" s="43">
        <f t="shared" si="2"/>
        <v>0</v>
      </c>
      <c r="W27" s="50"/>
    </row>
    <row r="28" spans="1:24" ht="14.45" customHeight="1" x14ac:dyDescent="0.2">
      <c r="A28" s="17"/>
      <c r="B28" s="17" t="s">
        <v>27</v>
      </c>
      <c r="C28" s="27">
        <f>SUMIFS(LossTable[Gross],LossTable[EventID],Input!$B$8,LossTable[Department_Map],'Net Waterfall'!$B28)</f>
        <v>0</v>
      </c>
      <c r="D28" s="27">
        <f>SUMIFS(LossTable[Gross],LossTable[EventID],Input!$B$9,LossTable[Department_Map],'Net Waterfall'!$B28)</f>
        <v>0</v>
      </c>
      <c r="E28" s="27">
        <f>SUMIFS(LossTable[Gross],LossTable[EventID],Input!$B$10,LossTable[Department_Map],'Net Waterfall'!$B28)</f>
        <v>0</v>
      </c>
      <c r="F28" s="49"/>
      <c r="G28" s="27">
        <f>SUMIFS(LossTable[NetOfLogan],LossTable[EventID],Input!$B$8,LossTable[Department_Map],'Net Waterfall'!$B28)</f>
        <v>0</v>
      </c>
      <c r="H28" s="27">
        <f>SUMIFS(LossTable[NetOfLogan],LossTable[EventID],Input!$B$9,LossTable[Department_Map],'Net Waterfall'!$B28)</f>
        <v>0</v>
      </c>
      <c r="I28" s="27">
        <f>SUMIFS(LossTable[NetOfLogan],LossTable[EventID],Input!$B$10,LossTable[Department_Map],'Net Waterfall'!$B28)</f>
        <v>0</v>
      </c>
      <c r="J28" s="49"/>
      <c r="K28" s="27">
        <f>SUMIFS(LossTable[NetofAllCessions],LossTable[EventID],Input!$B$8,LossTable[Department_Map],'Net Waterfall'!$B28)</f>
        <v>0</v>
      </c>
      <c r="L28" s="27">
        <f>SUMIFS(LossTable[NetofAllCessions],LossTable[EventID],Input!$B$9,LossTable[Department_Map],'Net Waterfall'!$B28)</f>
        <v>0</v>
      </c>
      <c r="M28" s="27">
        <f>SUMIFS(LossTable[NetofAllCessions],LossTable[EventID],Input!$B$10,LossTable[Department_Map],'Net Waterfall'!$B28)</f>
        <v>0</v>
      </c>
      <c r="N28" s="43"/>
      <c r="O28" s="27">
        <f>SUMIFS(LossTable[Expected_RIPs],LossTable[EventID],Input!$B$8,LossTable[Department_Map],'Net Waterfall'!$B28)</f>
        <v>0</v>
      </c>
      <c r="P28" s="49">
        <f>SUMIFS(LossTable[Expected_RIPs],LossTable[EventID],Input!$B$9,LossTable[Department_Map],'Net Waterfall'!$B28)</f>
        <v>0</v>
      </c>
      <c r="Q28" s="49">
        <f>SUMIFS(LossTable[Expected_RIPs],LossTable[EventID],Input!$B$10,LossTable[Department_Map],'Net Waterfall'!$B28)</f>
        <v>0</v>
      </c>
      <c r="R28" s="43"/>
      <c r="S28" s="43">
        <f t="shared" ref="S28" si="3">K28-O28</f>
        <v>0</v>
      </c>
      <c r="T28" s="43">
        <f t="shared" ref="T28" si="4">L28-P28</f>
        <v>0</v>
      </c>
      <c r="U28" s="43">
        <f t="shared" ref="U28" si="5">M28-Q28</f>
        <v>0</v>
      </c>
      <c r="W28" s="50"/>
    </row>
    <row r="29" spans="1:24" ht="14.45" customHeight="1" x14ac:dyDescent="0.2">
      <c r="A29" s="17"/>
      <c r="B29" s="17" t="s">
        <v>26</v>
      </c>
      <c r="C29" s="27">
        <f>SUMIFS(LossTable[Gross],LossTable[EventID],Input!$B$8,LossTable[Department_Map],'Net Waterfall'!$B29)</f>
        <v>0</v>
      </c>
      <c r="D29" s="27">
        <f>SUMIFS(LossTable[Gross],LossTable[EventID],Input!$B$9,LossTable[Department_Map],'Net Waterfall'!$B29)</f>
        <v>0</v>
      </c>
      <c r="E29" s="27">
        <f>SUMIFS(LossTable[Gross],LossTable[EventID],Input!$B$10,LossTable[Department_Map],'Net Waterfall'!$B29)</f>
        <v>0</v>
      </c>
      <c r="F29" s="49"/>
      <c r="G29" s="27">
        <f>SUMIFS(LossTable[NetOfLogan],LossTable[EventID],Input!$B$8,LossTable[Department_Map],'Net Waterfall'!$B29)</f>
        <v>0</v>
      </c>
      <c r="H29" s="27">
        <f>SUMIFS(LossTable[NetOfLogan],LossTable[EventID],Input!$B$9,LossTable[Department_Map],'Net Waterfall'!$B29)</f>
        <v>0</v>
      </c>
      <c r="I29" s="27">
        <f>SUMIFS(LossTable[NetOfLogan],LossTable[EventID],Input!$B$10,LossTable[Department_Map],'Net Waterfall'!$B29)</f>
        <v>0</v>
      </c>
      <c r="J29" s="49"/>
      <c r="K29" s="27">
        <f>SUMIFS(LossTable[NetofAllCessions],LossTable[EventID],Input!$B$8,LossTable[Department_Map],'Net Waterfall'!$B29)</f>
        <v>-252122.92531424999</v>
      </c>
      <c r="L29" s="27">
        <f>SUMIFS(LossTable[NetofAllCessions],LossTable[EventID],Input!$B$9,LossTable[Department_Map],'Net Waterfall'!$B29)</f>
        <v>-95762.304050999999</v>
      </c>
      <c r="M29" s="27">
        <f>SUMIFS(LossTable[NetofAllCessions],LossTable[EventID],Input!$B$10,LossTable[Department_Map],'Net Waterfall'!$B29)</f>
        <v>-152403.37031249999</v>
      </c>
      <c r="N29" s="43"/>
      <c r="O29" s="27">
        <f>SUMIFS(LossTable[Expected_RIPs],LossTable[EventID],Input!$B$8,LossTable[Department_Map],'Net Waterfall'!$B29)</f>
        <v>-6433.875</v>
      </c>
      <c r="P29" s="49">
        <f>SUMIFS(LossTable[Expected_RIPs],LossTable[EventID],Input!$B$9,LossTable[Department_Map],'Net Waterfall'!$B29)</f>
        <v>-14334.384606899999</v>
      </c>
      <c r="Q29" s="49">
        <f>SUMIFS(LossTable[Expected_RIPs],LossTable[EventID],Input!$B$10,LossTable[Department_Map],'Net Waterfall'!$B29)</f>
        <v>-13180.733512186</v>
      </c>
      <c r="R29" s="43"/>
      <c r="S29" s="43">
        <f t="shared" ref="S29" si="6">K29-O29</f>
        <v>-245689.05031424999</v>
      </c>
      <c r="T29" s="43">
        <f t="shared" ref="T29" si="7">L29-P29</f>
        <v>-81427.9194441</v>
      </c>
      <c r="U29" s="43">
        <f t="shared" ref="U29" si="8">M29-Q29</f>
        <v>-139222.63680031398</v>
      </c>
      <c r="W29" s="50"/>
    </row>
    <row r="30" spans="1:24" ht="14.45" customHeight="1" x14ac:dyDescent="0.2">
      <c r="A30" s="17"/>
      <c r="B30" s="17" t="s">
        <v>68</v>
      </c>
      <c r="C30" s="27">
        <f>SUMIFS(LossTable[Gross],LossTable[EventID],Input!$B$8,LossTable[Department_Map],'Net Waterfall'!$B30)</f>
        <v>0</v>
      </c>
      <c r="D30" s="27">
        <f>SUMIFS(LossTable[Gross],LossTable[EventID],Input!$B$9,LossTable[Department_Map],'Net Waterfall'!$B30)</f>
        <v>0</v>
      </c>
      <c r="E30" s="27">
        <f>SUMIFS(LossTable[Gross],LossTable[EventID],Input!$B$10,LossTable[Department_Map],'Net Waterfall'!$B30)</f>
        <v>0</v>
      </c>
      <c r="F30" s="49"/>
      <c r="G30" s="27">
        <f>SUMIFS(LossTable[NetOfLogan],LossTable[EventID],Input!$B$8,LossTable[Department_Map],'Net Waterfall'!$B30)</f>
        <v>0</v>
      </c>
      <c r="H30" s="27">
        <f>SUMIFS(LossTable[NetOfLogan],LossTable[EventID],Input!$B$9,LossTable[Department_Map],'Net Waterfall'!$B30)</f>
        <v>0</v>
      </c>
      <c r="I30" s="27">
        <f>SUMIFS(LossTable[NetOfLogan],LossTable[EventID],Input!$B$10,LossTable[Department_Map],'Net Waterfall'!$B30)</f>
        <v>0</v>
      </c>
      <c r="J30" s="49"/>
      <c r="K30" s="27">
        <f>SUMIFS(LossTable[NetofAllCessions],LossTable[EventID],Input!$B$8,LossTable[Department_Map],'Net Waterfall'!$B30)</f>
        <v>0</v>
      </c>
      <c r="L30" s="27">
        <f>SUMIFS(LossTable[NetofAllCessions],LossTable[EventID],Input!$B$9,LossTable[Department_Map],'Net Waterfall'!$B30)</f>
        <v>0</v>
      </c>
      <c r="M30" s="27">
        <f>SUMIFS(LossTable[NetofAllCessions],LossTable[EventID],Input!$B$10,LossTable[Department_Map],'Net Waterfall'!$B30)</f>
        <v>0</v>
      </c>
      <c r="N30" s="43"/>
      <c r="O30" s="27">
        <f>SUMIFS(LossTable[Expected_RIPs],LossTable[EventID],Input!$B$8,LossTable[Department_Map],'Net Waterfall'!$B30)</f>
        <v>0</v>
      </c>
      <c r="P30" s="49">
        <f>SUMIFS(LossTable[Expected_RIPs],LossTable[EventID],Input!$B$9,LossTable[Department_Map],'Net Waterfall'!$B30)</f>
        <v>0</v>
      </c>
      <c r="Q30" s="49">
        <f>SUMIFS(LossTable[Expected_RIPs],LossTable[EventID],Input!$B$10,LossTable[Department_Map],'Net Waterfall'!$B30)</f>
        <v>0</v>
      </c>
      <c r="R30" s="43"/>
      <c r="S30" s="43">
        <f t="shared" si="0"/>
        <v>0</v>
      </c>
      <c r="T30" s="43">
        <f t="shared" si="1"/>
        <v>0</v>
      </c>
      <c r="U30" s="43">
        <f t="shared" si="2"/>
        <v>0</v>
      </c>
      <c r="W30" s="50"/>
    </row>
    <row r="31" spans="1:24" ht="14.45" customHeight="1" x14ac:dyDescent="0.2">
      <c r="A31" s="17"/>
      <c r="B31" s="18" t="s">
        <v>18</v>
      </c>
      <c r="C31" s="52">
        <f>SUMIFS(LossTable[Gross],LossTable[EventID],Input!$B$8,LossTable[Department_Map],'Net Waterfall'!$B31)</f>
        <v>0</v>
      </c>
      <c r="D31" s="52">
        <f>SUMIFS(LossTable[Gross],LossTable[EventID],Input!$B$9,LossTable[Department_Map],'Net Waterfall'!$B31)</f>
        <v>0</v>
      </c>
      <c r="E31" s="52">
        <f>SUMIFS(LossTable[Gross],LossTable[EventID],Input!$B$10,LossTable[Department_Map],'Net Waterfall'!$B31)</f>
        <v>0</v>
      </c>
      <c r="F31" s="43"/>
      <c r="G31" s="52">
        <f>SUMIFS(LossTable[NetOfLogan],LossTable[EventID],Input!$B$8,LossTable[Department_Map],'Net Waterfall'!$B31)</f>
        <v>0</v>
      </c>
      <c r="H31" s="52">
        <f>SUMIFS(LossTable[NetOfLogan],LossTable[EventID],Input!$B$9,LossTable[Department_Map],'Net Waterfall'!$B31)</f>
        <v>0</v>
      </c>
      <c r="I31" s="52">
        <f>SUMIFS(LossTable[NetOfLogan],LossTable[EventID],Input!$B$10,LossTable[Department_Map],'Net Waterfall'!$B31)</f>
        <v>0</v>
      </c>
      <c r="J31" s="43"/>
      <c r="K31" s="52">
        <f>SUMIFS(LossTable[NetofAllCessions],LossTable[EventID],Input!$B$8,LossTable[Department_Map],'Net Waterfall'!$B31)</f>
        <v>-949937.2</v>
      </c>
      <c r="L31" s="52">
        <f>SUMIFS(LossTable[NetofAllCessions],LossTable[EventID],Input!$B$9,LossTable[Department_Map],'Net Waterfall'!$B31)</f>
        <v>-1003407.8599999999</v>
      </c>
      <c r="M31" s="52">
        <f>SUMIFS(LossTable[NetofAllCessions],LossTable[EventID],Input!$B$10,LossTable[Department_Map],'Net Waterfall'!$B31)</f>
        <v>-1511350.9700000002</v>
      </c>
      <c r="N31" s="43"/>
      <c r="O31" s="52">
        <f>SUMIFS(LossTable[Expected_RIPs],LossTable[EventID],Input!$B$8,LossTable[Department_Map],'Net Waterfall'!$B31)</f>
        <v>0</v>
      </c>
      <c r="P31" s="53">
        <f>SUMIFS(LossTable[Expected_RIPs],LossTable[EventID],Input!$B$9,LossTable[Department_Map],'Net Waterfall'!$B31)</f>
        <v>0</v>
      </c>
      <c r="Q31" s="53">
        <f>SUMIFS(LossTable[Expected_RIPs],LossTable[EventID],Input!$B$10,LossTable[Department_Map],'Net Waterfall'!$B31)</f>
        <v>0</v>
      </c>
      <c r="R31" s="43"/>
      <c r="S31" s="53">
        <f t="shared" si="0"/>
        <v>-949937.2</v>
      </c>
      <c r="T31" s="53">
        <f t="shared" si="1"/>
        <v>-1003407.8599999999</v>
      </c>
      <c r="U31" s="53">
        <f t="shared" si="2"/>
        <v>-1511350.9700000002</v>
      </c>
      <c r="W31" s="54"/>
    </row>
    <row r="32" spans="1:24" x14ac:dyDescent="0.2">
      <c r="A32" s="17"/>
      <c r="B32" s="19" t="s">
        <v>69</v>
      </c>
      <c r="C32" s="43">
        <f>SUM(C16:C31)</f>
        <v>18391338.633909181</v>
      </c>
      <c r="D32" s="43">
        <f>SUM(D16:D31)</f>
        <v>25500786.433738425</v>
      </c>
      <c r="E32" s="43">
        <f>SUM(E16:E31)</f>
        <v>33600820.304170035</v>
      </c>
      <c r="F32" s="43"/>
      <c r="G32" s="43">
        <f>SUM(G16:G31)</f>
        <v>17143533.956012197</v>
      </c>
      <c r="H32" s="43">
        <f>SUM(H16:H31)</f>
        <v>24299295.516416855</v>
      </c>
      <c r="I32" s="43">
        <f>SUM(I16:I31)</f>
        <v>32234163.625207253</v>
      </c>
      <c r="J32" s="43"/>
      <c r="K32" s="43">
        <f>SUM(K16:K31)</f>
        <v>15940890.330697946</v>
      </c>
      <c r="L32" s="43">
        <f>SUM(L16:L31)</f>
        <v>23199553.272365857</v>
      </c>
      <c r="M32" s="43">
        <f>SUM(M16:M31)</f>
        <v>30569523.104894754</v>
      </c>
      <c r="N32" s="43"/>
      <c r="O32" s="43">
        <f>SUM(O16:O31)</f>
        <v>213046.42500040802</v>
      </c>
      <c r="P32" s="43">
        <f>SUM(P16:P31)</f>
        <v>480978.06477804662</v>
      </c>
      <c r="Q32" s="43">
        <f>SUM(Q16:Q31)</f>
        <v>480389.55933191977</v>
      </c>
      <c r="R32" s="43"/>
      <c r="S32" s="43">
        <f>SUM(S16:S31)</f>
        <v>15727843.905697541</v>
      </c>
      <c r="T32" s="43">
        <f>SUM(T16:T31)</f>
        <v>22718575.207587812</v>
      </c>
      <c r="U32" s="43">
        <f>SUM(U16:U31)</f>
        <v>30089133.54556283</v>
      </c>
    </row>
    <row r="33" spans="1:21" hidden="1" x14ac:dyDescent="0.2">
      <c r="A33" s="17" t="e">
        <f>VLOOKUP(B33,Lists1!$D$4:$D$39,1,0)</f>
        <v>#N/A</v>
      </c>
      <c r="B33" s="20" t="s">
        <v>70</v>
      </c>
      <c r="C33" s="55">
        <v>0</v>
      </c>
      <c r="D33" s="55">
        <v>0</v>
      </c>
      <c r="E33" s="55"/>
      <c r="F33" s="56"/>
      <c r="G33" s="57" t="e">
        <f>SUMIFS(#REF!,#REF!,C$13)</f>
        <v>#REF!</v>
      </c>
      <c r="H33" s="57" t="e">
        <f>SUMIFS(#REF!,#REF!,D$13)</f>
        <v>#REF!</v>
      </c>
      <c r="I33" s="57"/>
      <c r="J33" s="56"/>
      <c r="K33" s="57" t="e">
        <f>G33</f>
        <v>#REF!</v>
      </c>
      <c r="L33" s="57" t="e">
        <f>H33</f>
        <v>#REF!</v>
      </c>
      <c r="M33" s="57"/>
      <c r="N33" s="56"/>
      <c r="O33" s="57" t="e">
        <f>SUMIFS(#REF!,#REF!,C$13)</f>
        <v>#REF!</v>
      </c>
      <c r="P33" s="57" t="e">
        <f>SUMIFS(#REF!,#REF!,D$13)</f>
        <v>#REF!</v>
      </c>
      <c r="Q33" s="57"/>
      <c r="R33" s="56"/>
      <c r="S33" s="57" t="e">
        <f>K33-O33</f>
        <v>#REF!</v>
      </c>
      <c r="T33" s="58" t="e">
        <f>L33-P33</f>
        <v>#REF!</v>
      </c>
      <c r="U33" s="59"/>
    </row>
    <row r="34" spans="1:21" hidden="1" x14ac:dyDescent="0.2">
      <c r="A34" s="17" t="e">
        <f>VLOOKUP(B34,Lists1!$D$4:$D$39,1,0)</f>
        <v>#N/A</v>
      </c>
      <c r="B34" s="21" t="s">
        <v>71</v>
      </c>
      <c r="C34" s="60">
        <v>0</v>
      </c>
      <c r="D34" s="60">
        <v>0</v>
      </c>
      <c r="E34" s="60"/>
      <c r="F34" s="61"/>
      <c r="G34" s="62" t="e">
        <f>SUMIFS(#REF!,#REF!,C$13)</f>
        <v>#REF!</v>
      </c>
      <c r="H34" s="62" t="e">
        <f>SUMIFS(#REF!,#REF!,D$13)</f>
        <v>#REF!</v>
      </c>
      <c r="I34" s="62"/>
      <c r="J34" s="61"/>
      <c r="K34" s="63" t="e">
        <f>G34</f>
        <v>#REF!</v>
      </c>
      <c r="L34" s="63" t="e">
        <f>H34</f>
        <v>#REF!</v>
      </c>
      <c r="M34" s="63"/>
      <c r="N34" s="61"/>
      <c r="O34" s="62" t="e">
        <f>SUMIFS(#REF!,#REF!,C$13)</f>
        <v>#REF!</v>
      </c>
      <c r="P34" s="62" t="e">
        <f>SUMIFS(#REF!,#REF!,D$13)</f>
        <v>#REF!</v>
      </c>
      <c r="Q34" s="62"/>
      <c r="R34" s="64"/>
      <c r="S34" s="63" t="e">
        <f>K34-O34</f>
        <v>#REF!</v>
      </c>
      <c r="T34" s="65" t="e">
        <f>L34-P34</f>
        <v>#REF!</v>
      </c>
      <c r="U34" s="59"/>
    </row>
    <row r="35" spans="1:21" x14ac:dyDescent="0.2">
      <c r="A35" s="17"/>
      <c r="B35" s="17"/>
      <c r="C35" s="66"/>
      <c r="D35" s="66"/>
      <c r="E35" s="66"/>
      <c r="F35" s="17"/>
      <c r="G35" s="27"/>
      <c r="H35" s="27"/>
      <c r="I35" s="27"/>
      <c r="J35" s="17"/>
      <c r="K35" s="17"/>
      <c r="L35" s="17"/>
      <c r="M35" s="17"/>
      <c r="N35" s="17"/>
      <c r="O35" s="17"/>
      <c r="P35" s="17"/>
      <c r="Q35" s="17"/>
      <c r="R35" s="30"/>
      <c r="S35" s="17"/>
      <c r="T35" s="17"/>
      <c r="U35" s="17"/>
    </row>
    <row r="36" spans="1:21" x14ac:dyDescent="0.2">
      <c r="A36" s="16" t="s">
        <v>72</v>
      </c>
      <c r="B36" s="17"/>
      <c r="C36" s="67"/>
      <c r="D36" s="67"/>
      <c r="E36" s="67"/>
      <c r="F36" s="17"/>
      <c r="G36" s="43">
        <f>C32-G32</f>
        <v>1247804.6778969839</v>
      </c>
      <c r="H36" s="43">
        <f>D32-H32</f>
        <v>1201490.9173215702</v>
      </c>
      <c r="I36" s="43">
        <f>E32-I32</f>
        <v>1366656.678962782</v>
      </c>
      <c r="J36" s="17"/>
      <c r="K36" s="43"/>
      <c r="L36" s="43"/>
      <c r="M36" s="43"/>
      <c r="N36" s="17"/>
      <c r="O36" s="43"/>
      <c r="P36" s="43"/>
      <c r="Q36" s="43"/>
      <c r="R36" s="30"/>
      <c r="S36" s="43"/>
      <c r="T36" s="43"/>
      <c r="U36" s="43"/>
    </row>
    <row r="37" spans="1:21" x14ac:dyDescent="0.2">
      <c r="A37" s="17"/>
      <c r="B37" s="17" t="s">
        <v>12</v>
      </c>
      <c r="C37" s="43"/>
      <c r="D37" s="43"/>
      <c r="E37" s="43"/>
      <c r="F37" s="17"/>
      <c r="G37" s="43"/>
      <c r="H37" s="43"/>
      <c r="I37" s="43"/>
      <c r="J37" s="17"/>
      <c r="K37" s="43"/>
      <c r="L37" s="43"/>
      <c r="M37" s="43"/>
      <c r="N37" s="17"/>
      <c r="O37" s="43"/>
      <c r="P37" s="43"/>
      <c r="Q37" s="43"/>
      <c r="R37" s="30"/>
      <c r="S37" s="43"/>
      <c r="T37" s="43"/>
      <c r="U37" s="43"/>
    </row>
    <row r="38" spans="1:21" x14ac:dyDescent="0.2">
      <c r="A38" s="17"/>
      <c r="B38" s="17" t="s">
        <v>21</v>
      </c>
      <c r="C38" s="43"/>
      <c r="D38" s="43"/>
      <c r="E38" s="43"/>
      <c r="F38" s="17"/>
      <c r="G38" s="43"/>
      <c r="H38" s="43"/>
      <c r="I38" s="43"/>
      <c r="J38" s="17"/>
      <c r="K38" s="43"/>
      <c r="L38" s="43"/>
      <c r="M38" s="43"/>
      <c r="N38" s="17"/>
      <c r="O38" s="43"/>
      <c r="P38" s="43"/>
      <c r="Q38" s="43"/>
      <c r="R38" s="30"/>
      <c r="S38" s="43"/>
      <c r="T38" s="43"/>
      <c r="U38" s="43"/>
    </row>
    <row r="39" spans="1:21" x14ac:dyDescent="0.2">
      <c r="A39" s="17"/>
      <c r="B39" s="17" t="s">
        <v>64</v>
      </c>
      <c r="C39" s="43"/>
      <c r="D39" s="43"/>
      <c r="E39" s="43"/>
      <c r="F39" s="17"/>
      <c r="G39" s="43"/>
      <c r="H39" s="43"/>
      <c r="I39" s="43"/>
      <c r="J39" s="17"/>
      <c r="K39" s="43"/>
      <c r="L39" s="43"/>
      <c r="M39" s="43"/>
      <c r="N39" s="17"/>
      <c r="O39" s="43"/>
      <c r="P39" s="43"/>
      <c r="Q39" s="43"/>
      <c r="R39" s="30"/>
      <c r="S39" s="43"/>
      <c r="T39" s="43"/>
      <c r="U39" s="43"/>
    </row>
    <row r="40" spans="1:21" x14ac:dyDescent="0.2">
      <c r="A40" s="17"/>
      <c r="B40" s="17" t="s">
        <v>22</v>
      </c>
      <c r="C40" s="43"/>
      <c r="D40" s="43"/>
      <c r="E40" s="43"/>
      <c r="F40" s="17"/>
      <c r="G40" s="43"/>
      <c r="H40" s="43"/>
      <c r="I40" s="43"/>
      <c r="J40" s="17"/>
      <c r="K40" s="43"/>
      <c r="L40" s="43"/>
      <c r="M40" s="43"/>
      <c r="N40" s="17"/>
      <c r="O40" s="43"/>
      <c r="P40" s="43"/>
      <c r="Q40" s="43"/>
      <c r="R40" s="30"/>
      <c r="S40" s="43"/>
      <c r="T40" s="43"/>
      <c r="U40" s="43"/>
    </row>
    <row r="41" spans="1:21" x14ac:dyDescent="0.2">
      <c r="A41" s="17"/>
      <c r="B41" s="17" t="s">
        <v>65</v>
      </c>
      <c r="C41" s="43"/>
      <c r="D41" s="43"/>
      <c r="E41" s="43"/>
      <c r="F41" s="17"/>
      <c r="G41" s="43"/>
      <c r="H41" s="43"/>
      <c r="I41" s="43"/>
      <c r="J41" s="17"/>
      <c r="K41" s="43"/>
      <c r="L41" s="43"/>
      <c r="M41" s="43"/>
      <c r="N41" s="17"/>
      <c r="O41" s="43"/>
      <c r="P41" s="43"/>
      <c r="Q41" s="43"/>
      <c r="R41" s="30"/>
      <c r="S41" s="43"/>
      <c r="T41" s="43"/>
      <c r="U41" s="43"/>
    </row>
    <row r="42" spans="1:21" x14ac:dyDescent="0.2">
      <c r="A42" s="17"/>
      <c r="B42" s="17" t="s">
        <v>23</v>
      </c>
      <c r="C42" s="43"/>
      <c r="D42" s="43"/>
      <c r="E42" s="43"/>
      <c r="F42" s="17"/>
      <c r="G42" s="43"/>
      <c r="H42" s="43"/>
      <c r="I42" s="43"/>
      <c r="J42" s="17"/>
      <c r="K42" s="43"/>
      <c r="L42" s="43"/>
      <c r="M42" s="43"/>
      <c r="N42" s="17"/>
      <c r="O42" s="43"/>
      <c r="P42" s="43"/>
      <c r="Q42" s="43"/>
      <c r="R42" s="30"/>
      <c r="S42" s="43"/>
      <c r="T42" s="43"/>
      <c r="U42" s="43"/>
    </row>
    <row r="43" spans="1:21" x14ac:dyDescent="0.2">
      <c r="A43" s="17"/>
      <c r="B43" s="17" t="s">
        <v>25</v>
      </c>
      <c r="C43" s="68"/>
      <c r="D43" s="68"/>
      <c r="E43" s="68"/>
      <c r="F43" s="17"/>
      <c r="G43" s="43"/>
      <c r="H43" s="43"/>
      <c r="I43" s="43"/>
      <c r="J43" s="17"/>
      <c r="K43" s="43"/>
      <c r="L43" s="43"/>
      <c r="M43" s="43"/>
      <c r="N43" s="17"/>
      <c r="O43" s="43"/>
      <c r="P43" s="43"/>
      <c r="Q43" s="43"/>
      <c r="R43" s="30"/>
      <c r="S43" s="43"/>
      <c r="T43" s="43"/>
      <c r="U43" s="43"/>
    </row>
    <row r="44" spans="1:21" x14ac:dyDescent="0.2">
      <c r="A44" s="17"/>
      <c r="B44" s="17" t="s">
        <v>19</v>
      </c>
      <c r="C44" s="43"/>
      <c r="D44" s="43"/>
      <c r="E44" s="43"/>
      <c r="F44" s="17"/>
      <c r="G44" s="43"/>
      <c r="H44" s="43"/>
      <c r="I44" s="43"/>
      <c r="J44" s="17"/>
      <c r="K44" s="43"/>
      <c r="L44" s="43"/>
      <c r="M44" s="43"/>
      <c r="N44" s="17"/>
      <c r="O44" s="43"/>
      <c r="P44" s="43"/>
      <c r="Q44" s="43"/>
      <c r="R44" s="30"/>
      <c r="S44" s="43"/>
      <c r="T44" s="43"/>
      <c r="U44" s="43"/>
    </row>
    <row r="45" spans="1:21" x14ac:dyDescent="0.2">
      <c r="A45" s="17"/>
      <c r="B45" s="17" t="s">
        <v>17</v>
      </c>
      <c r="C45" s="43"/>
      <c r="D45" s="43"/>
      <c r="E45" s="43"/>
      <c r="F45" s="17"/>
      <c r="G45" s="43"/>
      <c r="H45" s="43"/>
      <c r="I45" s="43"/>
      <c r="J45" s="17"/>
      <c r="K45" s="43"/>
      <c r="L45" s="43"/>
      <c r="M45" s="43"/>
      <c r="N45" s="17"/>
      <c r="O45" s="43"/>
      <c r="P45" s="43"/>
      <c r="Q45" s="43"/>
      <c r="R45" s="30"/>
      <c r="S45" s="43"/>
      <c r="T45" s="43"/>
      <c r="U45" s="43"/>
    </row>
    <row r="46" spans="1:21" x14ac:dyDescent="0.2">
      <c r="A46" s="17"/>
      <c r="B46" s="17" t="s">
        <v>15</v>
      </c>
      <c r="C46" s="43"/>
      <c r="D46" s="43"/>
      <c r="E46" s="43"/>
      <c r="F46" s="17"/>
      <c r="G46" s="43"/>
      <c r="H46" s="43"/>
      <c r="I46" s="43"/>
      <c r="J46" s="17"/>
      <c r="K46" s="43"/>
      <c r="L46" s="43"/>
      <c r="M46" s="43"/>
      <c r="N46" s="17"/>
      <c r="O46" s="43"/>
      <c r="P46" s="43"/>
      <c r="Q46" s="43"/>
      <c r="R46" s="30"/>
      <c r="S46" s="43"/>
      <c r="T46" s="43"/>
      <c r="U46" s="43"/>
    </row>
    <row r="47" spans="1:21" x14ac:dyDescent="0.2">
      <c r="A47" s="17"/>
      <c r="B47" s="17" t="s">
        <v>20</v>
      </c>
      <c r="C47" s="43"/>
      <c r="D47" s="43"/>
      <c r="E47" s="43"/>
      <c r="F47" s="17"/>
      <c r="G47" s="43"/>
      <c r="H47" s="43"/>
      <c r="I47" s="43"/>
      <c r="J47" s="17"/>
      <c r="K47" s="43"/>
      <c r="L47" s="43"/>
      <c r="M47" s="43"/>
      <c r="N47" s="17"/>
      <c r="O47" s="43"/>
      <c r="P47" s="43"/>
      <c r="Q47" s="43"/>
      <c r="R47" s="30"/>
      <c r="S47" s="43"/>
      <c r="T47" s="43"/>
      <c r="U47" s="43"/>
    </row>
    <row r="48" spans="1:21" x14ac:dyDescent="0.2">
      <c r="A48" s="17"/>
      <c r="B48" s="17" t="s">
        <v>67</v>
      </c>
      <c r="C48" s="43"/>
      <c r="D48" s="43"/>
      <c r="E48" s="43"/>
      <c r="F48" s="17"/>
      <c r="G48" s="43"/>
      <c r="H48" s="43"/>
      <c r="I48" s="43"/>
      <c r="J48" s="17"/>
      <c r="K48" s="43"/>
      <c r="L48" s="43"/>
      <c r="M48" s="43"/>
      <c r="N48" s="17"/>
      <c r="O48" s="43"/>
      <c r="P48" s="43"/>
      <c r="Q48" s="43"/>
      <c r="R48" s="30"/>
      <c r="S48" s="43"/>
      <c r="T48" s="43"/>
      <c r="U48" s="43"/>
    </row>
    <row r="49" spans="1:21" x14ac:dyDescent="0.2">
      <c r="A49" s="17"/>
      <c r="B49" s="17" t="s">
        <v>27</v>
      </c>
      <c r="C49" s="43"/>
      <c r="D49" s="43"/>
      <c r="E49" s="43"/>
      <c r="F49" s="17"/>
      <c r="G49" s="43"/>
      <c r="H49" s="43"/>
      <c r="I49" s="43"/>
      <c r="J49" s="17"/>
      <c r="K49" s="43"/>
      <c r="L49" s="43"/>
      <c r="M49" s="43"/>
      <c r="N49" s="17"/>
      <c r="O49" s="43"/>
      <c r="P49" s="43"/>
      <c r="Q49" s="43"/>
      <c r="R49" s="30"/>
      <c r="S49" s="43"/>
      <c r="T49" s="43"/>
      <c r="U49" s="43"/>
    </row>
    <row r="50" spans="1:21" x14ac:dyDescent="0.2">
      <c r="A50" s="17"/>
      <c r="B50" s="17"/>
      <c r="C50" s="43"/>
      <c r="D50" s="43"/>
      <c r="E50" s="43"/>
      <c r="F50" s="17"/>
      <c r="G50" s="43"/>
      <c r="H50" s="43"/>
      <c r="I50" s="43"/>
      <c r="J50" s="17"/>
      <c r="K50" s="43"/>
      <c r="L50" s="43"/>
      <c r="M50" s="43"/>
      <c r="N50" s="17"/>
      <c r="O50" s="43"/>
      <c r="P50" s="43"/>
      <c r="Q50" s="43"/>
      <c r="R50" s="30"/>
      <c r="S50" s="43"/>
      <c r="T50" s="43"/>
      <c r="U50" s="43"/>
    </row>
    <row r="51" spans="1:21" x14ac:dyDescent="0.2">
      <c r="A51" s="17"/>
      <c r="B51" s="17" t="s">
        <v>68</v>
      </c>
      <c r="C51" s="43"/>
      <c r="D51" s="43"/>
      <c r="E51" s="43"/>
      <c r="F51" s="17"/>
      <c r="G51" s="43"/>
      <c r="H51" s="43"/>
      <c r="I51" s="43"/>
      <c r="J51" s="17"/>
      <c r="K51" s="43"/>
      <c r="L51" s="43"/>
      <c r="M51" s="43"/>
      <c r="N51" s="17"/>
      <c r="O51" s="43"/>
      <c r="P51" s="43"/>
      <c r="Q51" s="43"/>
      <c r="R51" s="30"/>
      <c r="S51" s="43"/>
      <c r="T51" s="43"/>
      <c r="U51" s="43"/>
    </row>
    <row r="52" spans="1:21" x14ac:dyDescent="0.2">
      <c r="A52" s="17"/>
      <c r="B52" s="18" t="s">
        <v>18</v>
      </c>
      <c r="C52" s="53"/>
      <c r="D52" s="53"/>
      <c r="E52" s="53"/>
      <c r="F52" s="18"/>
      <c r="G52" s="53"/>
      <c r="H52" s="53"/>
      <c r="I52" s="53"/>
      <c r="J52" s="18"/>
      <c r="K52" s="53"/>
      <c r="L52" s="53"/>
      <c r="M52" s="53"/>
      <c r="N52" s="18"/>
      <c r="O52" s="53"/>
      <c r="P52" s="53"/>
      <c r="Q52" s="53"/>
      <c r="R52" s="40"/>
      <c r="S52" s="53"/>
      <c r="T52" s="53"/>
      <c r="U52" s="53"/>
    </row>
    <row r="53" spans="1:21" x14ac:dyDescent="0.2">
      <c r="A53" s="17"/>
      <c r="B53" s="19" t="s">
        <v>73</v>
      </c>
      <c r="C53" s="43"/>
      <c r="D53" s="43"/>
      <c r="E53" s="43"/>
      <c r="F53" s="17"/>
      <c r="G53" s="43"/>
      <c r="H53" s="43"/>
      <c r="I53" s="43"/>
      <c r="J53" s="17"/>
      <c r="K53" s="43"/>
      <c r="L53" s="43"/>
      <c r="M53" s="43"/>
      <c r="N53" s="17"/>
      <c r="O53" s="43"/>
      <c r="P53" s="43"/>
      <c r="Q53" s="43"/>
      <c r="R53" s="30"/>
      <c r="S53" s="43"/>
      <c r="T53" s="43"/>
      <c r="U53" s="43"/>
    </row>
    <row r="54" spans="1:21" hidden="1" x14ac:dyDescent="0.2">
      <c r="A54" s="17"/>
      <c r="B54" s="20" t="s">
        <v>70</v>
      </c>
      <c r="C54" s="55">
        <v>0</v>
      </c>
      <c r="D54" s="55">
        <v>0</v>
      </c>
      <c r="E54" s="55"/>
      <c r="F54" s="56"/>
      <c r="G54" s="57" t="e">
        <f>(C$53-G$53)*(G$33/(G$33+G$34))</f>
        <v>#REF!</v>
      </c>
      <c r="H54" s="57" t="e">
        <f>(D$53-H$53)*(H$33/(H$33+H$34))</f>
        <v>#REF!</v>
      </c>
      <c r="I54" s="57"/>
      <c r="J54" s="56"/>
      <c r="K54" s="57" t="e">
        <f>G54</f>
        <v>#REF!</v>
      </c>
      <c r="L54" s="57" t="e">
        <f>H54</f>
        <v>#REF!</v>
      </c>
      <c r="M54" s="57"/>
      <c r="N54" s="56"/>
      <c r="O54" s="57" t="e">
        <f>O53*(O33/O32)</f>
        <v>#REF!</v>
      </c>
      <c r="P54" s="57" t="e">
        <f t="shared" ref="P54" si="9">P53*(P33/P32)</f>
        <v>#REF!</v>
      </c>
      <c r="Q54" s="57"/>
      <c r="R54" s="56"/>
      <c r="S54" s="57" t="e">
        <f>K54-O54</f>
        <v>#REF!</v>
      </c>
      <c r="T54" s="58" t="e">
        <f>L54-P54</f>
        <v>#REF!</v>
      </c>
      <c r="U54" s="59"/>
    </row>
    <row r="55" spans="1:21" hidden="1" x14ac:dyDescent="0.2">
      <c r="A55" s="17"/>
      <c r="B55" s="21" t="s">
        <v>71</v>
      </c>
      <c r="C55" s="60">
        <v>0</v>
      </c>
      <c r="D55" s="60">
        <v>0</v>
      </c>
      <c r="E55" s="60"/>
      <c r="F55" s="61"/>
      <c r="G55" s="62" t="e">
        <f>(C$53-G$53)*(G$34/(G$33+G$34))</f>
        <v>#REF!</v>
      </c>
      <c r="H55" s="62" t="e">
        <f>(D$53-H$53)*(H$34/(H$33+H$34))</f>
        <v>#REF!</v>
      </c>
      <c r="I55" s="62"/>
      <c r="J55" s="61"/>
      <c r="K55" s="62" t="e">
        <f>G55</f>
        <v>#REF!</v>
      </c>
      <c r="L55" s="63" t="e">
        <f>H55</f>
        <v>#REF!</v>
      </c>
      <c r="M55" s="63"/>
      <c r="N55" s="61"/>
      <c r="O55" s="62" t="e">
        <f>O53*(O34/O32)</f>
        <v>#REF!</v>
      </c>
      <c r="P55" s="62" t="e">
        <f t="shared" ref="P55" si="10">P53*(P34/P32)</f>
        <v>#REF!</v>
      </c>
      <c r="Q55" s="62"/>
      <c r="R55" s="64"/>
      <c r="S55" s="63" t="e">
        <f>K55-O55</f>
        <v>#REF!</v>
      </c>
      <c r="T55" s="65" t="e">
        <f>L55-P55</f>
        <v>#REF!</v>
      </c>
      <c r="U55" s="59"/>
    </row>
    <row r="56" spans="1:2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30"/>
      <c r="S56" s="17"/>
      <c r="T56" s="17"/>
      <c r="U56" s="17"/>
    </row>
    <row r="57" spans="1:21" hidden="1" x14ac:dyDescent="0.2">
      <c r="A57" s="22" t="s">
        <v>74</v>
      </c>
      <c r="B57" s="23"/>
      <c r="C57" s="69">
        <f>AVERAGE(C53,C32,C11)</f>
        <v>18391338.633909181</v>
      </c>
      <c r="D57" s="69">
        <f>AVERAGE(D53,D32,D11)</f>
        <v>25500786.433738425</v>
      </c>
      <c r="E57" s="69">
        <f>AVERAGE(E53,E32,E11)</f>
        <v>33600820.304170035</v>
      </c>
      <c r="F57" s="70"/>
      <c r="G57" s="69">
        <f>AVERAGE(G53,G32,G11)</f>
        <v>17143533.956012197</v>
      </c>
      <c r="H57" s="69">
        <f>AVERAGE(H53,H32,H11)</f>
        <v>24299295.516416855</v>
      </c>
      <c r="I57" s="69">
        <f>AVERAGE(I53,I32,I11)</f>
        <v>32234163.625207253</v>
      </c>
      <c r="J57" s="70"/>
      <c r="K57" s="69">
        <f>AVERAGE(K53,K32,K11)</f>
        <v>15940890.330697946</v>
      </c>
      <c r="L57" s="69">
        <f>AVERAGE(L53,L32,L11)</f>
        <v>23199553.272365857</v>
      </c>
      <c r="M57" s="69">
        <f>AVERAGE(M53,M32,M11)</f>
        <v>30569523.104894754</v>
      </c>
      <c r="N57" s="70"/>
      <c r="O57" s="69">
        <f>AVERAGE(O53,O32,O11)</f>
        <v>213046.42500040802</v>
      </c>
      <c r="P57" s="69">
        <f>AVERAGE(P53,P32,P11)</f>
        <v>480978.06477804662</v>
      </c>
      <c r="Q57" s="69">
        <f>AVERAGE(Q53,Q32,Q11)</f>
        <v>480389.55933191977</v>
      </c>
      <c r="R57" s="71"/>
      <c r="S57" s="69">
        <f>K57-O57</f>
        <v>15727843.905697538</v>
      </c>
      <c r="T57" s="69">
        <f>L57-P57</f>
        <v>22718575.207587812</v>
      </c>
      <c r="U57" s="72">
        <f>M57-Q57</f>
        <v>30089133.545562834</v>
      </c>
    </row>
    <row r="58" spans="1:21" x14ac:dyDescent="0.2">
      <c r="A58" s="24"/>
      <c r="B58" s="25"/>
      <c r="C58" s="73"/>
      <c r="D58" s="73"/>
      <c r="E58" s="73"/>
      <c r="F58" s="74"/>
      <c r="G58" s="73"/>
      <c r="H58" s="73"/>
      <c r="I58" s="73"/>
      <c r="J58" s="74"/>
      <c r="K58" s="73"/>
      <c r="L58" s="73"/>
      <c r="M58" s="73"/>
      <c r="N58" s="74"/>
      <c r="O58" s="73"/>
      <c r="P58" s="73"/>
      <c r="Q58" s="73"/>
      <c r="R58" s="75"/>
      <c r="S58" s="73"/>
      <c r="T58" s="73"/>
      <c r="U58" s="73"/>
    </row>
    <row r="59" spans="1:2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</row>
    <row r="60" spans="1:21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</row>
    <row r="61" spans="1:21" x14ac:dyDescent="0.2">
      <c r="A61" s="17" t="s">
        <v>75</v>
      </c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</row>
    <row r="62" spans="1:21" x14ac:dyDescent="0.2">
      <c r="A62" s="17" t="s">
        <v>76</v>
      </c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</row>
    <row r="63" spans="1:21" x14ac:dyDescent="0.2">
      <c r="A63" s="17" t="s">
        <v>77</v>
      </c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</row>
    <row r="64" spans="1:21" x14ac:dyDescent="0.2">
      <c r="A64" s="17" t="s">
        <v>78</v>
      </c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</row>
    <row r="65" spans="2:5" x14ac:dyDescent="0.2">
      <c r="C65" s="15" t="s">
        <v>53</v>
      </c>
      <c r="D65" s="15" t="s">
        <v>54</v>
      </c>
      <c r="E65" s="15" t="s">
        <v>55</v>
      </c>
    </row>
    <row r="66" spans="2:5" x14ac:dyDescent="0.2">
      <c r="B66" s="28" t="s">
        <v>79</v>
      </c>
      <c r="C66" s="50">
        <f>C21</f>
        <v>0</v>
      </c>
      <c r="D66" s="50">
        <f>D21</f>
        <v>0</v>
      </c>
      <c r="E66" s="50">
        <f>E21</f>
        <v>0</v>
      </c>
    </row>
    <row r="67" spans="2:5" x14ac:dyDescent="0.2">
      <c r="B67" s="28" t="s">
        <v>80</v>
      </c>
      <c r="C67" s="50">
        <f>C23</f>
        <v>1151330.2898734699</v>
      </c>
      <c r="D67" s="50">
        <f>D23</f>
        <v>1399890.9537804204</v>
      </c>
      <c r="E67" s="50">
        <f>E23</f>
        <v>2018897.0840372206</v>
      </c>
    </row>
    <row r="68" spans="2:5" x14ac:dyDescent="0.2">
      <c r="B68" s="28" t="s">
        <v>81</v>
      </c>
      <c r="C68" s="50">
        <f>C28</f>
        <v>0</v>
      </c>
      <c r="D68" s="50">
        <f>D28</f>
        <v>0</v>
      </c>
      <c r="E68" s="50">
        <f>E28</f>
        <v>0</v>
      </c>
    </row>
    <row r="69" spans="2:5" x14ac:dyDescent="0.2">
      <c r="B69" s="28" t="s">
        <v>82</v>
      </c>
      <c r="C69" s="50">
        <f>C32-C26-C28-C23-C21</f>
        <v>13464229.234035712</v>
      </c>
      <c r="D69" s="50">
        <f>D32-D26-D28-D23-D21</f>
        <v>20170062.199958004</v>
      </c>
      <c r="E69" s="50">
        <f>E32-E26-E28-E23-E21</f>
        <v>25365377.200132813</v>
      </c>
    </row>
    <row r="70" spans="2:5" x14ac:dyDescent="0.2">
      <c r="B70" s="108" t="s">
        <v>83</v>
      </c>
      <c r="C70" s="109">
        <f>SUM(C66:C69)</f>
        <v>14615559.523909181</v>
      </c>
      <c r="D70" s="109">
        <f>SUM(D66:D69)</f>
        <v>21569953.153738424</v>
      </c>
      <c r="E70" s="109">
        <f>SUM(E66:E69)</f>
        <v>27384274.284170035</v>
      </c>
    </row>
    <row r="71" spans="2:5" x14ac:dyDescent="0.2">
      <c r="B71" s="108" t="s">
        <v>84</v>
      </c>
      <c r="C71" s="109">
        <f>S32-S31-S26</f>
        <v>12902585.495697539</v>
      </c>
      <c r="D71" s="109">
        <f>T32-T31-T26</f>
        <v>19791721.867587812</v>
      </c>
      <c r="E71" s="109">
        <f>U32-U31-U26</f>
        <v>25384824.675562829</v>
      </c>
    </row>
    <row r="74" spans="2:5" ht="15" x14ac:dyDescent="0.25">
      <c r="B74"/>
    </row>
  </sheetData>
  <mergeCells count="10">
    <mergeCell ref="C4:E4"/>
    <mergeCell ref="C14:E14"/>
    <mergeCell ref="G14:I14"/>
    <mergeCell ref="K14:M14"/>
    <mergeCell ref="O14:Q14"/>
    <mergeCell ref="S14:U14"/>
    <mergeCell ref="S4:U4"/>
    <mergeCell ref="O4:Q4"/>
    <mergeCell ref="K4:M4"/>
    <mergeCell ref="G4:I4"/>
  </mergeCells>
  <pageMargins left="0.45" right="0.45" top="0.5" bottom="0.5" header="0.3" footer="0.3"/>
  <pageSetup scale="34" orientation="landscape" r:id="rId1"/>
  <ignoredErrors>
    <ignoredError sqref="D32" formulaRange="1"/>
    <ignoredError sqref="S3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C7:N7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F73" sqref="F73"/>
    </sheetView>
  </sheetViews>
  <sheetFormatPr defaultColWidth="8.85546875" defaultRowHeight="15" x14ac:dyDescent="0.25"/>
  <cols>
    <col min="1" max="1" width="4.28515625" customWidth="1"/>
    <col min="2" max="2" width="4.7109375" customWidth="1"/>
    <col min="3" max="3" width="10" bestFit="1" customWidth="1"/>
    <col min="4" max="5" width="16.140625" style="1" bestFit="1" customWidth="1"/>
    <col min="6" max="6" width="14.7109375" style="1" bestFit="1" customWidth="1"/>
    <col min="7" max="8" width="13.7109375" style="1" bestFit="1" customWidth="1"/>
    <col min="9" max="10" width="14.7109375" style="1" bestFit="1" customWidth="1"/>
    <col min="11" max="11" width="13.7109375" style="1" bestFit="1" customWidth="1"/>
    <col min="12" max="13" width="12.5703125" style="1" bestFit="1" customWidth="1"/>
    <col min="14" max="14" width="13.28515625" style="1" bestFit="1" customWidth="1"/>
  </cols>
  <sheetData>
    <row r="7" spans="3:14" x14ac:dyDescent="0.25">
      <c r="C7" s="7"/>
      <c r="D7" s="9"/>
      <c r="E7" s="9"/>
      <c r="F7" s="9"/>
      <c r="G7" s="9"/>
      <c r="H7" s="9"/>
      <c r="I7" s="9"/>
      <c r="J7" s="9"/>
      <c r="K7" s="9"/>
      <c r="L7" s="9"/>
      <c r="M7" s="9"/>
      <c r="N7" s="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38"/>
  <sheetViews>
    <sheetView zoomScaleNormal="100" workbookViewId="0">
      <selection activeCell="G19" sqref="G19"/>
    </sheetView>
  </sheetViews>
  <sheetFormatPr defaultRowHeight="15" x14ac:dyDescent="0.25"/>
  <cols>
    <col min="1" max="1" width="10" bestFit="1" customWidth="1"/>
    <col min="2" max="2" width="23.28515625" bestFit="1" customWidth="1"/>
    <col min="3" max="3" width="14.28515625" style="1" bestFit="1" customWidth="1"/>
    <col min="4" max="4" width="9.140625" style="1"/>
    <col min="5" max="5" width="10" style="1" bestFit="1" customWidth="1"/>
    <col min="6" max="6" width="23.28515625" style="1" bestFit="1" customWidth="1"/>
    <col min="7" max="7" width="15.28515625" style="1" bestFit="1" customWidth="1"/>
    <col min="8" max="8" width="9.140625" style="1"/>
    <col min="9" max="9" width="10" style="1" bestFit="1" customWidth="1"/>
    <col min="10" max="10" width="23.28515625" style="1" bestFit="1" customWidth="1"/>
    <col min="11" max="11" width="15.28515625" style="1" bestFit="1" customWidth="1"/>
    <col min="12" max="12" width="9.140625" style="1"/>
  </cols>
  <sheetData>
    <row r="1" spans="1:11" x14ac:dyDescent="0.25">
      <c r="A1" s="10" t="s">
        <v>30</v>
      </c>
      <c r="B1" t="s">
        <v>11</v>
      </c>
      <c r="C1" s="1" t="s">
        <v>85</v>
      </c>
      <c r="E1" s="10" t="s">
        <v>30</v>
      </c>
      <c r="F1" t="s">
        <v>11</v>
      </c>
      <c r="G1" s="1" t="s">
        <v>85</v>
      </c>
      <c r="I1" s="10" t="s">
        <v>30</v>
      </c>
      <c r="J1" t="s">
        <v>11</v>
      </c>
      <c r="K1" s="1" t="s">
        <v>85</v>
      </c>
    </row>
    <row r="2" spans="1:11" x14ac:dyDescent="0.25">
      <c r="A2">
        <v>270184630</v>
      </c>
      <c r="B2" t="s">
        <v>12</v>
      </c>
      <c r="C2" s="1">
        <v>13868390.0108329</v>
      </c>
      <c r="E2" s="11">
        <v>270233063</v>
      </c>
      <c r="F2" s="1" t="s">
        <v>12</v>
      </c>
      <c r="G2" s="1">
        <v>79601371.448416606</v>
      </c>
      <c r="I2" s="11">
        <v>270042404</v>
      </c>
      <c r="J2" s="1" t="s">
        <v>12</v>
      </c>
      <c r="K2" s="1">
        <v>196838079.56767699</v>
      </c>
    </row>
    <row r="3" spans="1:11" x14ac:dyDescent="0.25">
      <c r="A3" s="10">
        <v>270184630</v>
      </c>
      <c r="B3" t="s">
        <v>15</v>
      </c>
      <c r="C3" s="1">
        <v>679007.53527191002</v>
      </c>
      <c r="E3" s="10">
        <v>270233063</v>
      </c>
      <c r="F3" t="s">
        <v>15</v>
      </c>
      <c r="G3" s="1">
        <v>359359.72543575999</v>
      </c>
      <c r="I3" s="10">
        <v>270042404</v>
      </c>
      <c r="J3" t="s">
        <v>15</v>
      </c>
      <c r="K3" s="1">
        <v>2371201.9741573199</v>
      </c>
    </row>
    <row r="4" spans="1:11" x14ac:dyDescent="0.25">
      <c r="A4" s="10">
        <v>270184630</v>
      </c>
      <c r="B4" t="s">
        <v>86</v>
      </c>
      <c r="C4" s="1">
        <v>207123.60260000001</v>
      </c>
      <c r="E4" s="10">
        <v>270233063</v>
      </c>
      <c r="F4" t="s">
        <v>86</v>
      </c>
      <c r="G4" s="1">
        <v>377066.68119999999</v>
      </c>
      <c r="I4">
        <v>270042404</v>
      </c>
      <c r="J4" t="s">
        <v>86</v>
      </c>
      <c r="K4" s="1">
        <v>1014414.9607000001</v>
      </c>
    </row>
    <row r="5" spans="1:11" x14ac:dyDescent="0.25">
      <c r="A5" s="10">
        <v>270184630</v>
      </c>
      <c r="B5" t="s">
        <v>87</v>
      </c>
      <c r="C5" s="1">
        <v>37629771.560000002</v>
      </c>
      <c r="E5" s="10">
        <v>270233063</v>
      </c>
      <c r="F5" t="s">
        <v>87</v>
      </c>
      <c r="G5" s="1">
        <v>86903902.329999998</v>
      </c>
      <c r="I5">
        <v>270042404</v>
      </c>
      <c r="J5" t="s">
        <v>87</v>
      </c>
      <c r="K5" s="1">
        <v>283076192.12</v>
      </c>
    </row>
    <row r="6" spans="1:11" x14ac:dyDescent="0.25">
      <c r="A6" s="10">
        <v>270184630</v>
      </c>
      <c r="B6" t="s">
        <v>88</v>
      </c>
      <c r="C6" s="1">
        <v>126113.59</v>
      </c>
      <c r="E6" s="10">
        <v>270233063</v>
      </c>
      <c r="F6" t="s">
        <v>88</v>
      </c>
      <c r="G6" s="1">
        <v>331925.74</v>
      </c>
      <c r="I6">
        <v>270042404</v>
      </c>
      <c r="J6" t="s">
        <v>88</v>
      </c>
      <c r="K6" s="1">
        <v>1995671.31</v>
      </c>
    </row>
    <row r="7" spans="1:11" x14ac:dyDescent="0.25">
      <c r="A7" s="10">
        <v>270184630</v>
      </c>
      <c r="B7" t="s">
        <v>89</v>
      </c>
      <c r="C7" s="1">
        <v>2648.54</v>
      </c>
      <c r="E7" s="10">
        <v>270233063</v>
      </c>
      <c r="F7" t="s">
        <v>89</v>
      </c>
      <c r="G7" s="1">
        <v>3810.18</v>
      </c>
      <c r="I7">
        <v>270042404</v>
      </c>
      <c r="J7" t="s">
        <v>89</v>
      </c>
      <c r="K7" s="1">
        <v>8980.86</v>
      </c>
    </row>
    <row r="8" spans="1:11" x14ac:dyDescent="0.25">
      <c r="A8" s="10">
        <v>270184630</v>
      </c>
      <c r="B8" t="s">
        <v>90</v>
      </c>
      <c r="C8" s="1">
        <v>216500.29</v>
      </c>
      <c r="E8" s="10">
        <v>270233063</v>
      </c>
      <c r="F8" t="s">
        <v>90</v>
      </c>
      <c r="G8" s="1">
        <v>712352.92</v>
      </c>
      <c r="I8">
        <v>270042404</v>
      </c>
      <c r="J8" t="s">
        <v>90</v>
      </c>
      <c r="K8" s="1">
        <v>2776162.6</v>
      </c>
    </row>
    <row r="9" spans="1:11" x14ac:dyDescent="0.25">
      <c r="A9" s="10">
        <v>270184630</v>
      </c>
      <c r="B9" t="s">
        <v>91</v>
      </c>
      <c r="C9" s="1">
        <v>1579.6075000000001</v>
      </c>
      <c r="E9" s="10">
        <v>270233063</v>
      </c>
      <c r="F9" t="s">
        <v>91</v>
      </c>
      <c r="G9" s="1">
        <v>5584.0860499999999</v>
      </c>
      <c r="I9">
        <v>270042404</v>
      </c>
      <c r="J9" t="s">
        <v>91</v>
      </c>
      <c r="K9" s="1">
        <v>6682.9908999999998</v>
      </c>
    </row>
    <row r="10" spans="1:11" x14ac:dyDescent="0.25">
      <c r="A10" s="10">
        <v>270184630</v>
      </c>
      <c r="B10" t="s">
        <v>42</v>
      </c>
      <c r="C10" s="1">
        <v>50957.412326190002</v>
      </c>
      <c r="E10" s="10">
        <v>270233063</v>
      </c>
      <c r="F10" t="s">
        <v>42</v>
      </c>
      <c r="G10" s="1">
        <v>106522.56222155</v>
      </c>
      <c r="I10">
        <v>270042404</v>
      </c>
      <c r="J10" t="s">
        <v>42</v>
      </c>
      <c r="K10" s="1">
        <v>3352863.3970266599</v>
      </c>
    </row>
    <row r="11" spans="1:11" x14ac:dyDescent="0.25">
      <c r="A11" s="10">
        <v>270184630</v>
      </c>
      <c r="B11" t="s">
        <v>21</v>
      </c>
      <c r="C11" s="1">
        <v>1313114.1738698699</v>
      </c>
      <c r="E11" s="10">
        <v>270233063</v>
      </c>
      <c r="F11" t="s">
        <v>21</v>
      </c>
      <c r="G11" s="1">
        <v>3499634.90976521</v>
      </c>
      <c r="I11">
        <v>270042404</v>
      </c>
      <c r="J11" t="s">
        <v>21</v>
      </c>
      <c r="K11" s="1">
        <v>6403795.3801913997</v>
      </c>
    </row>
    <row r="12" spans="1:11" x14ac:dyDescent="0.25">
      <c r="A12" s="10">
        <v>270184630</v>
      </c>
      <c r="B12" t="s">
        <v>92</v>
      </c>
      <c r="C12" s="1">
        <v>464730.57222351001</v>
      </c>
      <c r="E12" s="10">
        <v>270233063</v>
      </c>
      <c r="F12" t="s">
        <v>92</v>
      </c>
      <c r="G12" s="1">
        <v>1397489.17478738</v>
      </c>
      <c r="I12">
        <v>270042404</v>
      </c>
      <c r="J12" t="s">
        <v>92</v>
      </c>
      <c r="K12" s="1">
        <v>6829026.0394528303</v>
      </c>
    </row>
    <row r="13" spans="1:11" x14ac:dyDescent="0.25">
      <c r="A13" s="10">
        <v>270184630</v>
      </c>
      <c r="B13" t="s">
        <v>93</v>
      </c>
      <c r="C13" s="1">
        <v>108170.902</v>
      </c>
      <c r="E13" s="10">
        <v>270233063</v>
      </c>
      <c r="F13" t="s">
        <v>67</v>
      </c>
      <c r="G13" s="1">
        <v>2964247.68</v>
      </c>
      <c r="I13" s="10">
        <v>270042404</v>
      </c>
      <c r="J13" t="s">
        <v>67</v>
      </c>
      <c r="K13" s="1">
        <v>13442230.109999999</v>
      </c>
    </row>
    <row r="14" spans="1:11" x14ac:dyDescent="0.25">
      <c r="A14" s="10">
        <v>270184630</v>
      </c>
      <c r="B14" t="s">
        <v>64</v>
      </c>
      <c r="C14" s="1">
        <v>2518.08648262</v>
      </c>
      <c r="E14" s="10">
        <v>270233063</v>
      </c>
      <c r="F14" t="s">
        <v>93</v>
      </c>
      <c r="G14" s="1">
        <v>1032877.9575</v>
      </c>
      <c r="I14" s="10">
        <v>270042404</v>
      </c>
      <c r="J14" t="s">
        <v>93</v>
      </c>
      <c r="K14" s="1">
        <v>1492566.507</v>
      </c>
    </row>
    <row r="15" spans="1:11" x14ac:dyDescent="0.25">
      <c r="A15" s="10">
        <v>270184630</v>
      </c>
      <c r="B15" t="s">
        <v>94</v>
      </c>
      <c r="C15" s="1">
        <v>227148105.018437</v>
      </c>
      <c r="E15" s="10">
        <v>270233063</v>
      </c>
      <c r="F15" t="s">
        <v>64</v>
      </c>
      <c r="G15" s="1">
        <v>11832.102884440001</v>
      </c>
      <c r="I15" s="10">
        <v>270042404</v>
      </c>
      <c r="J15" t="s">
        <v>64</v>
      </c>
      <c r="K15" s="1">
        <v>17184.13382753</v>
      </c>
    </row>
    <row r="16" spans="1:11" x14ac:dyDescent="0.25">
      <c r="A16" s="10">
        <v>270184630</v>
      </c>
      <c r="B16" t="s">
        <v>45</v>
      </c>
      <c r="C16" s="1">
        <v>7853294.0960272998</v>
      </c>
      <c r="E16" s="10">
        <v>270233063</v>
      </c>
      <c r="F16" t="s">
        <v>94</v>
      </c>
      <c r="G16" s="1">
        <v>691271784.51110804</v>
      </c>
      <c r="I16" s="10">
        <v>270042404</v>
      </c>
      <c r="J16" t="s">
        <v>94</v>
      </c>
      <c r="K16" s="1">
        <v>1465585742.9399199</v>
      </c>
    </row>
    <row r="17" spans="1:12" x14ac:dyDescent="0.25">
      <c r="A17" s="10">
        <v>270184630</v>
      </c>
      <c r="B17" t="s">
        <v>95</v>
      </c>
      <c r="C17" s="1">
        <v>129489.03422078</v>
      </c>
      <c r="E17" s="10">
        <v>270233063</v>
      </c>
      <c r="F17" t="s">
        <v>45</v>
      </c>
      <c r="G17" s="1">
        <v>22065744.821280301</v>
      </c>
      <c r="I17" s="10">
        <v>270042404</v>
      </c>
      <c r="J17" t="s">
        <v>45</v>
      </c>
      <c r="K17" s="1">
        <v>113326910.126206</v>
      </c>
    </row>
    <row r="18" spans="1:12" x14ac:dyDescent="0.25">
      <c r="E18" s="10">
        <v>270233063</v>
      </c>
      <c r="F18" s="3" t="s">
        <v>95</v>
      </c>
      <c r="G18" s="1">
        <v>3647322.9593629302</v>
      </c>
      <c r="I18" s="10">
        <v>270042404</v>
      </c>
      <c r="J18" s="3" t="s">
        <v>95</v>
      </c>
      <c r="K18" s="1">
        <v>5343729.2122700503</v>
      </c>
    </row>
    <row r="19" spans="1:12" x14ac:dyDescent="0.25">
      <c r="B19" s="3"/>
      <c r="E19" s="10">
        <v>270233063</v>
      </c>
      <c r="F19" t="s">
        <v>96</v>
      </c>
      <c r="G19" s="1">
        <v>30000000</v>
      </c>
      <c r="I19" s="10">
        <v>270042404</v>
      </c>
      <c r="J19" t="s">
        <v>96</v>
      </c>
      <c r="K19" s="1">
        <v>30000000</v>
      </c>
    </row>
    <row r="20" spans="1:12" x14ac:dyDescent="0.25">
      <c r="E20" s="10"/>
      <c r="F20"/>
      <c r="I20" s="10"/>
      <c r="J20"/>
    </row>
    <row r="21" spans="1:12" x14ac:dyDescent="0.25">
      <c r="C21"/>
      <c r="E21" s="10"/>
      <c r="F21"/>
    </row>
    <row r="22" spans="1:12" x14ac:dyDescent="0.25">
      <c r="C22" s="1">
        <f>SUM(C2:C20)</f>
        <v>289801514.03179204</v>
      </c>
      <c r="E22" s="10"/>
      <c r="F22"/>
      <c r="G22" s="1">
        <f>SUM(G2:G20)</f>
        <v>924292829.79001236</v>
      </c>
      <c r="K22" s="1">
        <f>SUM(K2:K20)</f>
        <v>2133881434.2293286</v>
      </c>
    </row>
    <row r="23" spans="1:12" x14ac:dyDescent="0.25">
      <c r="C23" s="1">
        <f>SUM(C25:C36)</f>
        <v>289801514.0317921</v>
      </c>
      <c r="E23" s="10"/>
      <c r="F23"/>
      <c r="G23" s="1">
        <f>SUM(G25:G36)</f>
        <v>924292829.79001212</v>
      </c>
      <c r="K23" s="1">
        <f>SUM(K25:K36)</f>
        <v>2133881434.2293289</v>
      </c>
    </row>
    <row r="24" spans="1:12" s="4" customFormat="1" x14ac:dyDescent="0.25">
      <c r="A24" s="4" t="s">
        <v>97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 s="4" customFormat="1" x14ac:dyDescent="0.25">
      <c r="B25" s="4" t="s">
        <v>12</v>
      </c>
      <c r="C25" s="12">
        <f>SUMIF(B$2:B$20,B25,C$2:C$20)</f>
        <v>13868390.0108329</v>
      </c>
      <c r="D25" s="12"/>
      <c r="E25" s="12"/>
      <c r="F25" s="4" t="s">
        <v>12</v>
      </c>
      <c r="G25" s="12">
        <f>SUMIF(F$2:F$20,F25,G$2:G$20)</f>
        <v>79601371.448416606</v>
      </c>
      <c r="H25" s="12"/>
      <c r="I25" s="12"/>
      <c r="J25" s="4" t="s">
        <v>12</v>
      </c>
      <c r="K25" s="12">
        <f>SUMIF(J$2:J$20,J25,K$2:K$20)</f>
        <v>196838079.56767699</v>
      </c>
      <c r="L25" s="12"/>
    </row>
    <row r="26" spans="1:12" s="4" customFormat="1" x14ac:dyDescent="0.25">
      <c r="B26" s="4" t="s">
        <v>21</v>
      </c>
      <c r="C26" s="12">
        <f>SUMIF(B$3:B$20,B26,C$3:C$20)</f>
        <v>1313114.1738698699</v>
      </c>
      <c r="D26" s="12"/>
      <c r="E26" s="12"/>
      <c r="F26" s="4" t="s">
        <v>21</v>
      </c>
      <c r="G26" s="12">
        <f>SUMIF(F$3:F$20,F26,G$3:G$20)</f>
        <v>3499634.90976521</v>
      </c>
      <c r="H26" s="12"/>
      <c r="I26" s="12"/>
      <c r="J26" s="4" t="s">
        <v>21</v>
      </c>
      <c r="K26" s="12">
        <f>SUMIF(J$3:J$20,J26,K$3:K$20)</f>
        <v>6403795.3801913997</v>
      </c>
      <c r="L26" s="12"/>
    </row>
    <row r="27" spans="1:12" s="4" customFormat="1" x14ac:dyDescent="0.25">
      <c r="B27" s="4" t="s">
        <v>64</v>
      </c>
      <c r="C27" s="12">
        <f>SUMIF(B$3:B$20,B27,C$3:C$20)</f>
        <v>2518.08648262</v>
      </c>
      <c r="D27" s="12"/>
      <c r="E27" s="12"/>
      <c r="F27" s="4" t="s">
        <v>64</v>
      </c>
      <c r="G27" s="12">
        <f>SUMIF(F$3:F$20,F27,G$3:G$20)</f>
        <v>11832.102884440001</v>
      </c>
      <c r="H27" s="12"/>
      <c r="I27" s="12"/>
      <c r="J27" s="4" t="s">
        <v>64</v>
      </c>
      <c r="K27" s="12">
        <f>SUMIF(J$3:J$20,J27,K$3:K$20)</f>
        <v>17184.13382753</v>
      </c>
      <c r="L27" s="12"/>
    </row>
    <row r="28" spans="1:12" s="4" customFormat="1" x14ac:dyDescent="0.25">
      <c r="B28" s="4" t="s">
        <v>93</v>
      </c>
      <c r="C28" s="12">
        <f>SUMIF(B$3:B$20,B28,C$3:C$20)</f>
        <v>108170.902</v>
      </c>
      <c r="D28" s="12"/>
      <c r="E28" s="12"/>
      <c r="F28" s="4" t="s">
        <v>93</v>
      </c>
      <c r="G28" s="12">
        <f>SUMIF(F$3:F$20,F28,G$3:G$20)</f>
        <v>1032877.9575</v>
      </c>
      <c r="H28" s="12"/>
      <c r="I28" s="12"/>
      <c r="J28" s="4" t="s">
        <v>93</v>
      </c>
      <c r="K28" s="12">
        <f>SUMIF(J$3:J$20,J28,K$3:K$20)</f>
        <v>1492566.507</v>
      </c>
      <c r="L28" s="12"/>
    </row>
    <row r="29" spans="1:12" s="4" customFormat="1" x14ac:dyDescent="0.25">
      <c r="B29" s="4" t="s">
        <v>65</v>
      </c>
      <c r="C29" s="12">
        <f>SUMIF(B$3:B$20,B29,C$3:C$20)</f>
        <v>0</v>
      </c>
      <c r="D29" s="12"/>
      <c r="E29" s="12"/>
      <c r="F29" s="4" t="s">
        <v>65</v>
      </c>
      <c r="G29" s="12">
        <f>SUMIF(F$3:F$20,F29,G$3:G$20)</f>
        <v>0</v>
      </c>
      <c r="H29" s="12"/>
      <c r="I29" s="12"/>
      <c r="J29" s="4" t="s">
        <v>65</v>
      </c>
      <c r="K29" s="12">
        <f>SUMIF(J$3:J$20,J29,K$3:K$20)</f>
        <v>0</v>
      </c>
      <c r="L29" s="12"/>
    </row>
    <row r="30" spans="1:12" s="4" customFormat="1" x14ac:dyDescent="0.25">
      <c r="B30" s="4" t="s">
        <v>91</v>
      </c>
      <c r="C30" s="12">
        <f>SUMIF(B$3:B$20,B30,C$3:C$20)</f>
        <v>1579.6075000000001</v>
      </c>
      <c r="D30" s="12"/>
      <c r="E30" s="12"/>
      <c r="F30" s="4" t="s">
        <v>91</v>
      </c>
      <c r="G30" s="12">
        <f>SUMIF(F$3:F$20,F30,G$3:G$20)</f>
        <v>5584.0860499999999</v>
      </c>
      <c r="H30" s="12"/>
      <c r="I30" s="12"/>
      <c r="J30" s="4" t="s">
        <v>91</v>
      </c>
      <c r="K30" s="12">
        <f>SUMIF(J$3:J$20,J30,K$3:K$20)</f>
        <v>6682.9908999999998</v>
      </c>
      <c r="L30" s="12"/>
    </row>
    <row r="31" spans="1:12" s="4" customFormat="1" x14ac:dyDescent="0.25">
      <c r="B31" s="4" t="s">
        <v>94</v>
      </c>
      <c r="C31" s="12">
        <f>SUMIF(B$2:B$20,B31,C$2:C$20)+SUMIF(B$3:B$20,"weather",C$3:C$20)</f>
        <v>227148105.018437</v>
      </c>
      <c r="D31" s="12"/>
      <c r="E31" s="12"/>
      <c r="F31" s="4" t="s">
        <v>94</v>
      </c>
      <c r="G31" s="12">
        <f>SUMIF(F$2:F$20,F31,G$2:G$20)+SUMIF(F$3:F$20,"weather",G$3:G$20)</f>
        <v>721271784.51110804</v>
      </c>
      <c r="H31" s="12"/>
      <c r="I31" s="12"/>
      <c r="J31" s="4" t="s">
        <v>94</v>
      </c>
      <c r="K31" s="12">
        <f>SUMIF(J$2:J$20,J31,K$2:K$20)+SUMIF(J$3:J$20,"weather",K$3:K$20)</f>
        <v>1495585742.9399199</v>
      </c>
      <c r="L31" s="12"/>
    </row>
    <row r="32" spans="1:12" s="4" customFormat="1" x14ac:dyDescent="0.25">
      <c r="B32" s="4" t="s">
        <v>98</v>
      </c>
      <c r="C32" s="12">
        <f>SUMIF(B$2:B$20,B32,C$2:C$20)+SUMIF(B$2:B$20,"London fac",C$2:C$20)+SUMIF(B$2:B$20,"LatAm Fac",C$2:C$20)+SUMIF(B$2:B$20,"US Fac",C$2:C$20)+SUMIF(B$2:B$20,"Canada Fac",C$2:C$20)+SUMIF(B$2:B$20,"Singapore Fac",C$2:C$20)</f>
        <v>8576105.6831769999</v>
      </c>
      <c r="D32" s="12"/>
      <c r="E32" s="12"/>
      <c r="F32" s="4" t="s">
        <v>98</v>
      </c>
      <c r="G32" s="12">
        <f>SUMIF(F$2:F$20,F32,G$2:G$20)+SUMIF(F$2:F$20,"London fac",G$2:G$20)+SUMIF(F$2:F$20,"LatAm Fac",G$2:G$20)+SUMIF(F$2:F$20,"US Fac",G$2:G$20)+SUMIF(F$2:F$20,"Canada Fac",G$2:G$20)+SUMIF(F$2:F$20,"Singapore Fac",G$2:G$20)</f>
        <v>23946823.239489231</v>
      </c>
      <c r="H32" s="12"/>
      <c r="I32" s="12"/>
      <c r="J32" s="4" t="s">
        <v>98</v>
      </c>
      <c r="K32" s="12">
        <f>SUMIF(J$2:J$20,J32,K$2:K$20)+SUMIF(J$2:J$20,"London fac",K$2:K$20)+SUMIF(J$2:J$20,"LatAm Fac",K$2:K$20)+SUMIF(J$2:J$20,"US Fac",K$2:K$20)+SUMIF(J$2:J$20,"Canada Fac",K$2:K$20)+SUMIF(J$2:J$20,"Singapore Fac",K$2:K$20)</f>
        <v>124523214.52338549</v>
      </c>
      <c r="L32" s="12"/>
    </row>
    <row r="33" spans="2:12" s="4" customFormat="1" x14ac:dyDescent="0.25">
      <c r="B33" s="4" t="s">
        <v>99</v>
      </c>
      <c r="C33" s="12">
        <f>SUMIF(B$3:B$20,"Zurich",C$3:C$20)+SUMIF(B$3:B$20,"Brussels",C$3:C$20)</f>
        <v>129489.03422078</v>
      </c>
      <c r="D33" s="12"/>
      <c r="E33" s="12"/>
      <c r="F33" s="4" t="s">
        <v>99</v>
      </c>
      <c r="G33" s="12">
        <f>SUMIF(F$3:F$20,"Zurich",G$3:G$20)+SUMIF(F$3:F$20,"Brussels",G$3:G$20)</f>
        <v>3647322.9593629302</v>
      </c>
      <c r="H33" s="12"/>
      <c r="I33" s="12"/>
      <c r="J33" s="4" t="s">
        <v>99</v>
      </c>
      <c r="K33" s="12">
        <f>SUMIF(J$3:J$20,"Zurich",K$3:K$20)+SUMIF(J$3:J$20,"Brussels",K$3:K$20)</f>
        <v>5343729.2122700503</v>
      </c>
      <c r="L33" s="12"/>
    </row>
    <row r="34" spans="2:12" s="4" customFormat="1" x14ac:dyDescent="0.25">
      <c r="B34" s="4" t="s">
        <v>15</v>
      </c>
      <c r="C34" s="12">
        <f>SUMIF(B$3:B$20,B34,C$3:C$20)</f>
        <v>679007.53527191002</v>
      </c>
      <c r="D34" s="12"/>
      <c r="E34" s="12"/>
      <c r="F34" s="4" t="s">
        <v>15</v>
      </c>
      <c r="G34" s="12">
        <f>SUMIF(F$3:F$20,F34,G$3:G$20)</f>
        <v>359359.72543575999</v>
      </c>
      <c r="H34" s="12"/>
      <c r="I34" s="12"/>
      <c r="J34" s="4" t="s">
        <v>15</v>
      </c>
      <c r="K34" s="12">
        <f>SUMIF(J$3:J$20,J34,K$3:K$20)</f>
        <v>2371201.9741573199</v>
      </c>
      <c r="L34" s="12"/>
    </row>
    <row r="35" spans="2:12" s="4" customFormat="1" x14ac:dyDescent="0.25">
      <c r="B35" s="4" t="s">
        <v>87</v>
      </c>
      <c r="C35" s="12">
        <f>SUMIF(B$3:B$20,B35,C$3:C$20)+SUMIF(B$3:B$20,"EIG EIID",C$3:C$20)+SUMIF(B$3:B$20,"EIG Recovery",C$3:C$20)+SUMIF(B$3:B$20,"EIG Syndicate",C$3:C$20)+SUMIF(B$3:B$20,"EIG Singapore",C$3:C$20)</f>
        <v>37975033.980000004</v>
      </c>
      <c r="D35" s="12"/>
      <c r="E35" s="12"/>
      <c r="F35" s="4" t="s">
        <v>87</v>
      </c>
      <c r="G35" s="12">
        <f>SUMIF(F$3:F$20,F35,G$3:G$20)+SUMIF(F$3:F$20,"EIG EIID",G$3:G$20)+SUMIF(F$3:F$20,"EIG Recovery",G$3:G$20)+SUMIF(F$3:F$20,"EIG Syndicate",G$3:G$20)+SUMIF(F$3:F$20,"EIG Singapore",G$3:G$20)</f>
        <v>87951991.170000002</v>
      </c>
      <c r="H35" s="12"/>
      <c r="I35" s="12"/>
      <c r="J35" s="4" t="s">
        <v>87</v>
      </c>
      <c r="K35" s="12">
        <f>SUMIF(J$3:J$20,J35,K$3:K$20)+SUMIF(J$3:J$20,"EIG EIID",K$3:K$20)+SUMIF(J$3:J$20,"EIG Recovery",K$3:K$20)+SUMIF(J$3:J$20,"EIG Syndicate",K$3:K$20)+SUMIF(J$3:J$20,"EIG Singapore",K$3:K$20)</f>
        <v>287857006.89000005</v>
      </c>
      <c r="L35" s="12"/>
    </row>
    <row r="36" spans="2:12" s="4" customFormat="1" x14ac:dyDescent="0.25">
      <c r="B36" s="4" t="s">
        <v>67</v>
      </c>
      <c r="C36" s="12">
        <f>SUMIF(B$3:B$20,B36,C$3:C$20)</f>
        <v>0</v>
      </c>
      <c r="D36" s="12"/>
      <c r="E36" s="12"/>
      <c r="F36" s="4" t="s">
        <v>67</v>
      </c>
      <c r="G36" s="12">
        <f>SUMIF(F$3:F$20,F36,G$3:G$20)</f>
        <v>2964247.68</v>
      </c>
      <c r="H36" s="12"/>
      <c r="I36" s="12"/>
      <c r="J36" s="4" t="s">
        <v>67</v>
      </c>
      <c r="K36" s="12">
        <f>SUMIF(J$3:J$20,J36,K$3:K$20)</f>
        <v>13442230.109999999</v>
      </c>
      <c r="L36" s="12"/>
    </row>
    <row r="37" spans="2:12" s="4" customFormat="1" x14ac:dyDescent="0.25">
      <c r="B37" s="2"/>
      <c r="C37" s="12"/>
      <c r="D37" s="12"/>
      <c r="E37" s="12"/>
      <c r="F37" s="12"/>
      <c r="G37" s="12"/>
      <c r="H37" s="12"/>
      <c r="I37" s="12"/>
      <c r="J37" s="12"/>
      <c r="K37" s="12"/>
      <c r="L37" s="12"/>
    </row>
    <row r="38" spans="2:12" s="4" customFormat="1" x14ac:dyDescent="0.25">
      <c r="B38" s="5"/>
      <c r="C38" s="12"/>
      <c r="D38" s="12"/>
      <c r="E38" s="12"/>
      <c r="F38" s="12"/>
      <c r="G38" s="12"/>
      <c r="H38" s="12"/>
      <c r="I38" s="12"/>
      <c r="J38" s="12"/>
      <c r="K38" s="12"/>
      <c r="L38" s="12"/>
    </row>
  </sheetData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L38"/>
  <sheetViews>
    <sheetView workbookViewId="0"/>
  </sheetViews>
  <sheetFormatPr defaultRowHeight="15" x14ac:dyDescent="0.25"/>
  <cols>
    <col min="1" max="1" width="10" bestFit="1" customWidth="1"/>
    <col min="2" max="2" width="23.28515625" bestFit="1" customWidth="1"/>
    <col min="3" max="3" width="12.5703125" bestFit="1" customWidth="1"/>
    <col min="5" max="5" width="10" bestFit="1" customWidth="1"/>
    <col min="6" max="6" width="23.28515625" bestFit="1" customWidth="1"/>
    <col min="7" max="7" width="12.5703125" bestFit="1" customWidth="1"/>
    <col min="9" max="9" width="10" bestFit="1" customWidth="1"/>
    <col min="10" max="10" width="23.28515625" bestFit="1" customWidth="1"/>
    <col min="11" max="11" width="14.28515625" bestFit="1" customWidth="1"/>
  </cols>
  <sheetData>
    <row r="1" spans="1:11" x14ac:dyDescent="0.25">
      <c r="A1" t="s">
        <v>30</v>
      </c>
      <c r="B1" t="s">
        <v>11</v>
      </c>
      <c r="C1" s="1" t="s">
        <v>85</v>
      </c>
      <c r="D1" s="1"/>
      <c r="E1" s="1" t="s">
        <v>30</v>
      </c>
      <c r="F1" s="1" t="s">
        <v>11</v>
      </c>
      <c r="G1" s="1" t="s">
        <v>85</v>
      </c>
      <c r="H1" s="1"/>
      <c r="I1" s="1" t="s">
        <v>30</v>
      </c>
      <c r="J1" s="1" t="s">
        <v>11</v>
      </c>
      <c r="K1" s="1" t="s">
        <v>85</v>
      </c>
    </row>
    <row r="2" spans="1:11" x14ac:dyDescent="0.25">
      <c r="A2" s="10">
        <v>270184630</v>
      </c>
      <c r="B2" t="s">
        <v>12</v>
      </c>
      <c r="C2" s="1">
        <v>13868390.0108329</v>
      </c>
      <c r="D2" s="1"/>
      <c r="E2">
        <v>270233063</v>
      </c>
      <c r="F2" t="s">
        <v>12</v>
      </c>
      <c r="G2" s="1">
        <v>65599396.565006398</v>
      </c>
      <c r="H2" s="1"/>
      <c r="I2">
        <v>270042404</v>
      </c>
      <c r="J2" t="s">
        <v>12</v>
      </c>
      <c r="K2" s="1">
        <v>154142463.30601001</v>
      </c>
    </row>
    <row r="3" spans="1:11" x14ac:dyDescent="0.25">
      <c r="A3" s="10">
        <v>270184630</v>
      </c>
      <c r="B3" t="s">
        <v>15</v>
      </c>
      <c r="C3" s="1">
        <v>679007.53527191002</v>
      </c>
      <c r="D3" s="1"/>
      <c r="E3">
        <v>270233063</v>
      </c>
      <c r="F3" t="s">
        <v>15</v>
      </c>
      <c r="G3" s="1">
        <v>359359.72543575999</v>
      </c>
      <c r="H3" s="1"/>
      <c r="I3">
        <v>270042404</v>
      </c>
      <c r="J3" t="s">
        <v>15</v>
      </c>
      <c r="K3" s="1">
        <v>2371201.9741573199</v>
      </c>
    </row>
    <row r="4" spans="1:11" x14ac:dyDescent="0.25">
      <c r="A4" s="10">
        <v>270184630</v>
      </c>
      <c r="B4" t="s">
        <v>86</v>
      </c>
      <c r="C4" s="1">
        <v>207123.60260000001</v>
      </c>
      <c r="D4" s="1"/>
      <c r="E4">
        <v>270233063</v>
      </c>
      <c r="F4" t="s">
        <v>86</v>
      </c>
      <c r="G4" s="1">
        <v>377066.68119999999</v>
      </c>
      <c r="H4" s="1"/>
      <c r="I4">
        <v>270042404</v>
      </c>
      <c r="J4" t="s">
        <v>86</v>
      </c>
      <c r="K4" s="1">
        <v>1014414.9607000001</v>
      </c>
    </row>
    <row r="5" spans="1:11" x14ac:dyDescent="0.25">
      <c r="A5" s="10">
        <v>270184630</v>
      </c>
      <c r="B5" t="s">
        <v>87</v>
      </c>
      <c r="C5" s="1">
        <v>37629771.560000002</v>
      </c>
      <c r="D5" s="1"/>
      <c r="E5">
        <v>270233063</v>
      </c>
      <c r="F5" t="s">
        <v>87</v>
      </c>
      <c r="G5" s="1">
        <v>86903902.329999998</v>
      </c>
      <c r="H5" s="1"/>
      <c r="I5">
        <v>270042404</v>
      </c>
      <c r="J5" t="s">
        <v>87</v>
      </c>
      <c r="K5" s="1">
        <v>283076192.12</v>
      </c>
    </row>
    <row r="6" spans="1:11" x14ac:dyDescent="0.25">
      <c r="A6" s="10">
        <v>270184630</v>
      </c>
      <c r="B6" t="s">
        <v>88</v>
      </c>
      <c r="C6" s="1">
        <v>126113.59</v>
      </c>
      <c r="D6" s="1"/>
      <c r="E6">
        <v>270233063</v>
      </c>
      <c r="F6" t="s">
        <v>88</v>
      </c>
      <c r="G6" s="1">
        <v>331925.74</v>
      </c>
      <c r="H6" s="1"/>
      <c r="I6">
        <v>270042404</v>
      </c>
      <c r="J6" t="s">
        <v>88</v>
      </c>
      <c r="K6" s="1">
        <v>1995671.31</v>
      </c>
    </row>
    <row r="7" spans="1:11" x14ac:dyDescent="0.25">
      <c r="A7" s="10">
        <v>270184630</v>
      </c>
      <c r="B7" t="s">
        <v>89</v>
      </c>
      <c r="C7" s="1">
        <v>2648.54</v>
      </c>
      <c r="D7" s="1"/>
      <c r="E7">
        <v>270233063</v>
      </c>
      <c r="F7" t="s">
        <v>89</v>
      </c>
      <c r="G7" s="1">
        <v>3810.18</v>
      </c>
      <c r="H7" s="1"/>
      <c r="I7">
        <v>270042404</v>
      </c>
      <c r="J7" t="s">
        <v>89</v>
      </c>
      <c r="K7" s="1">
        <v>8980.86</v>
      </c>
    </row>
    <row r="8" spans="1:11" x14ac:dyDescent="0.25">
      <c r="A8" s="10">
        <v>270184630</v>
      </c>
      <c r="B8" t="s">
        <v>90</v>
      </c>
      <c r="C8" s="1">
        <v>216500.29</v>
      </c>
      <c r="D8" s="1"/>
      <c r="E8">
        <v>270233063</v>
      </c>
      <c r="F8" t="s">
        <v>90</v>
      </c>
      <c r="G8" s="1">
        <v>712352.92</v>
      </c>
      <c r="H8" s="1"/>
      <c r="I8">
        <v>270042404</v>
      </c>
      <c r="J8" t="s">
        <v>90</v>
      </c>
      <c r="K8" s="1">
        <v>2776162.6</v>
      </c>
    </row>
    <row r="9" spans="1:11" x14ac:dyDescent="0.25">
      <c r="A9" s="10">
        <v>270184630</v>
      </c>
      <c r="B9" t="s">
        <v>91</v>
      </c>
      <c r="C9" s="1">
        <v>1579.6075000000001</v>
      </c>
      <c r="D9" s="1"/>
      <c r="E9">
        <v>270233063</v>
      </c>
      <c r="F9" t="s">
        <v>91</v>
      </c>
      <c r="G9" s="1">
        <v>3725.3220562634901</v>
      </c>
      <c r="H9" s="1"/>
      <c r="I9">
        <v>270042404</v>
      </c>
      <c r="J9" t="s">
        <v>91</v>
      </c>
      <c r="K9" s="1">
        <v>5724.5587438920302</v>
      </c>
    </row>
    <row r="10" spans="1:11" x14ac:dyDescent="0.25">
      <c r="A10" s="10">
        <v>270184630</v>
      </c>
      <c r="B10" t="s">
        <v>42</v>
      </c>
      <c r="C10" s="1">
        <v>50957.412326190002</v>
      </c>
      <c r="D10" s="1"/>
      <c r="E10">
        <v>270233063</v>
      </c>
      <c r="F10" t="s">
        <v>42</v>
      </c>
      <c r="G10" s="1">
        <v>106522.56222155</v>
      </c>
      <c r="H10" s="1"/>
      <c r="I10">
        <v>270042404</v>
      </c>
      <c r="J10" t="s">
        <v>42</v>
      </c>
      <c r="K10" s="1">
        <v>3352863.3970266599</v>
      </c>
    </row>
    <row r="11" spans="1:11" x14ac:dyDescent="0.25">
      <c r="A11" s="10">
        <v>270184630</v>
      </c>
      <c r="B11" t="s">
        <v>21</v>
      </c>
      <c r="C11" s="1">
        <v>1313114.1738698699</v>
      </c>
      <c r="D11" s="1"/>
      <c r="E11">
        <v>270233063</v>
      </c>
      <c r="F11" t="s">
        <v>21</v>
      </c>
      <c r="G11" s="1">
        <v>3499634.90976521</v>
      </c>
      <c r="H11" s="1"/>
      <c r="I11">
        <v>270042404</v>
      </c>
      <c r="J11" t="s">
        <v>21</v>
      </c>
      <c r="K11" s="1">
        <v>6074353.9801319297</v>
      </c>
    </row>
    <row r="12" spans="1:11" x14ac:dyDescent="0.25">
      <c r="A12" s="10">
        <v>270184630</v>
      </c>
      <c r="B12" t="s">
        <v>92</v>
      </c>
      <c r="C12" s="1">
        <v>464730.57222351001</v>
      </c>
      <c r="D12" s="1"/>
      <c r="E12">
        <v>270233063</v>
      </c>
      <c r="F12" t="s">
        <v>92</v>
      </c>
      <c r="G12" s="1">
        <v>1397489.17478738</v>
      </c>
      <c r="H12" s="1"/>
      <c r="I12">
        <v>270042404</v>
      </c>
      <c r="J12" t="s">
        <v>92</v>
      </c>
      <c r="K12" s="1">
        <v>6829026.0394528303</v>
      </c>
    </row>
    <row r="13" spans="1:11" x14ac:dyDescent="0.25">
      <c r="A13" s="10">
        <v>270184630</v>
      </c>
      <c r="B13" t="s">
        <v>93</v>
      </c>
      <c r="C13" s="1">
        <v>108170.902</v>
      </c>
      <c r="D13" s="1"/>
      <c r="E13">
        <v>270233063</v>
      </c>
      <c r="F13" t="s">
        <v>67</v>
      </c>
      <c r="G13" s="1">
        <v>2964247.68</v>
      </c>
      <c r="H13" s="1"/>
      <c r="I13">
        <v>270042404</v>
      </c>
      <c r="J13" t="s">
        <v>67</v>
      </c>
      <c r="K13" s="1">
        <v>13442230.109999999</v>
      </c>
    </row>
    <row r="14" spans="1:11" x14ac:dyDescent="0.25">
      <c r="A14" s="10">
        <v>270184630</v>
      </c>
      <c r="B14" t="s">
        <v>64</v>
      </c>
      <c r="C14" s="1">
        <v>2518.08648262</v>
      </c>
      <c r="D14" s="1"/>
      <c r="E14">
        <v>270233063</v>
      </c>
      <c r="F14" t="s">
        <v>93</v>
      </c>
      <c r="G14" s="1">
        <v>1032877.9575</v>
      </c>
      <c r="H14" s="1"/>
      <c r="I14">
        <v>270042404</v>
      </c>
      <c r="J14" t="s">
        <v>93</v>
      </c>
      <c r="K14" s="1">
        <v>1492566.507</v>
      </c>
    </row>
    <row r="15" spans="1:11" x14ac:dyDescent="0.25">
      <c r="A15" s="10">
        <v>270184630</v>
      </c>
      <c r="B15" t="s">
        <v>94</v>
      </c>
      <c r="C15" s="1">
        <v>179195120.47242999</v>
      </c>
      <c r="D15" s="1"/>
      <c r="E15">
        <v>270233063</v>
      </c>
      <c r="F15" t="s">
        <v>64</v>
      </c>
      <c r="G15" s="1">
        <v>11832.102884440001</v>
      </c>
      <c r="H15" s="1"/>
      <c r="I15">
        <v>270042404</v>
      </c>
      <c r="J15" t="s">
        <v>64</v>
      </c>
      <c r="K15" s="1">
        <v>17184.13382753</v>
      </c>
    </row>
    <row r="16" spans="1:11" x14ac:dyDescent="0.25">
      <c r="A16" s="10">
        <v>270184630</v>
      </c>
      <c r="B16" t="s">
        <v>45</v>
      </c>
      <c r="C16" s="1">
        <v>7853294.0960272998</v>
      </c>
      <c r="D16" s="1"/>
      <c r="E16">
        <v>270233063</v>
      </c>
      <c r="F16" t="s">
        <v>94</v>
      </c>
      <c r="G16" s="1">
        <v>526704337.29759598</v>
      </c>
      <c r="H16" s="1"/>
      <c r="I16">
        <v>270042404</v>
      </c>
      <c r="J16" t="s">
        <v>94</v>
      </c>
      <c r="K16" s="1">
        <v>1093268742.96281</v>
      </c>
    </row>
    <row r="17" spans="1:12" x14ac:dyDescent="0.25">
      <c r="A17" s="10">
        <v>270184630</v>
      </c>
      <c r="B17" t="s">
        <v>95</v>
      </c>
      <c r="C17" s="1">
        <v>129489.03422078</v>
      </c>
      <c r="D17" s="1"/>
      <c r="E17" s="10">
        <v>270233063</v>
      </c>
      <c r="F17" t="s">
        <v>45</v>
      </c>
      <c r="G17" s="1">
        <v>22065744.821280301</v>
      </c>
      <c r="H17" s="1"/>
      <c r="I17">
        <v>270042404</v>
      </c>
      <c r="J17" t="s">
        <v>45</v>
      </c>
      <c r="K17" s="1">
        <v>113326910.126206</v>
      </c>
    </row>
    <row r="18" spans="1:12" x14ac:dyDescent="0.25">
      <c r="A18" s="10"/>
      <c r="C18" s="1"/>
      <c r="D18" s="1"/>
      <c r="E18" s="10">
        <v>270233063</v>
      </c>
      <c r="F18" t="s">
        <v>95</v>
      </c>
      <c r="G18" s="1">
        <v>3647322.9593629302</v>
      </c>
      <c r="H18" s="1"/>
      <c r="I18">
        <v>270042404</v>
      </c>
      <c r="J18" s="1" t="s">
        <v>95</v>
      </c>
      <c r="K18" s="1">
        <v>4805228.8974581296</v>
      </c>
    </row>
    <row r="19" spans="1:12" x14ac:dyDescent="0.25">
      <c r="C19" s="1"/>
      <c r="D19" s="1"/>
      <c r="E19" s="10">
        <v>270233063</v>
      </c>
      <c r="F19" t="s">
        <v>96</v>
      </c>
      <c r="G19" s="1">
        <v>15000000</v>
      </c>
      <c r="H19" s="1"/>
      <c r="I19" s="10">
        <v>270042404</v>
      </c>
      <c r="J19" s="1" t="s">
        <v>96</v>
      </c>
      <c r="K19" s="1">
        <v>15000000</v>
      </c>
    </row>
    <row r="20" spans="1:12" x14ac:dyDescent="0.25">
      <c r="C20" s="1"/>
      <c r="D20" s="1"/>
      <c r="E20" s="10"/>
      <c r="F20" s="3"/>
      <c r="G20" s="1"/>
      <c r="H20" s="1"/>
      <c r="I20" s="10"/>
      <c r="J20" s="1"/>
      <c r="K20" s="1"/>
    </row>
    <row r="21" spans="1:12" x14ac:dyDescent="0.25">
      <c r="C21" s="1"/>
      <c r="D21" s="1"/>
      <c r="E21" s="10"/>
      <c r="G21" s="1"/>
      <c r="H21" s="1"/>
      <c r="I21" s="10"/>
      <c r="J21" s="1"/>
      <c r="K21" s="1"/>
    </row>
    <row r="22" spans="1:12" x14ac:dyDescent="0.25">
      <c r="C22" s="1">
        <f>SUM(C2:C20)</f>
        <v>241848529.4857851</v>
      </c>
      <c r="D22" s="1"/>
      <c r="E22" s="10"/>
      <c r="G22" s="1">
        <f>SUM(G2:G20)</f>
        <v>730721548.92909622</v>
      </c>
      <c r="H22" s="1"/>
      <c r="I22" s="1"/>
      <c r="J22" s="1"/>
      <c r="K22" s="1">
        <f>SUM(K2:K20)</f>
        <v>1702999917.8435245</v>
      </c>
      <c r="L22" s="1"/>
    </row>
    <row r="23" spans="1:12" s="4" customFormat="1" x14ac:dyDescent="0.25">
      <c r="C23" s="12">
        <f>SUM(C25:C36)</f>
        <v>241848529.48578507</v>
      </c>
      <c r="D23" s="12"/>
      <c r="E23" s="13"/>
      <c r="G23" s="12">
        <f>SUM(G25:G36)</f>
        <v>730721548.9290961</v>
      </c>
      <c r="H23" s="12"/>
      <c r="I23" s="12"/>
      <c r="J23" s="12"/>
      <c r="K23" s="12">
        <f>SUM(K25:K36)</f>
        <v>1702999917.8435245</v>
      </c>
      <c r="L23" s="12"/>
    </row>
    <row r="24" spans="1:12" s="4" customFormat="1" x14ac:dyDescent="0.25">
      <c r="A24" s="4" t="s">
        <v>97</v>
      </c>
      <c r="C24" s="12"/>
      <c r="D24" s="12"/>
      <c r="E24" s="12"/>
      <c r="F24" s="12"/>
      <c r="G24" s="12"/>
      <c r="H24" s="12"/>
      <c r="I24" s="12"/>
      <c r="J24" s="12"/>
      <c r="K24" s="12"/>
    </row>
    <row r="25" spans="1:12" s="4" customFormat="1" x14ac:dyDescent="0.25">
      <c r="B25" s="4" t="s">
        <v>12</v>
      </c>
      <c r="C25" s="12">
        <f>SUMIF(B$2:B$20,B25,C$2:C$20)</f>
        <v>13868390.0108329</v>
      </c>
      <c r="D25" s="12"/>
      <c r="E25" s="12"/>
      <c r="F25" s="4" t="s">
        <v>12</v>
      </c>
      <c r="G25" s="12">
        <f>SUMIF(F$2:F$20,F25,G$2:G$20)</f>
        <v>65599396.565006398</v>
      </c>
      <c r="H25" s="12"/>
      <c r="I25" s="12"/>
      <c r="J25" s="4" t="s">
        <v>12</v>
      </c>
      <c r="K25" s="12">
        <f>SUMIF(J$2:J$20,J25,K$2:K$20)</f>
        <v>154142463.30601001</v>
      </c>
    </row>
    <row r="26" spans="1:12" s="4" customFormat="1" x14ac:dyDescent="0.25">
      <c r="B26" s="4" t="s">
        <v>21</v>
      </c>
      <c r="C26" s="12">
        <f>SUMIF(B$3:B$20,B26,C$3:C$20)</f>
        <v>1313114.1738698699</v>
      </c>
      <c r="D26" s="12"/>
      <c r="E26" s="12"/>
      <c r="F26" s="4" t="s">
        <v>21</v>
      </c>
      <c r="G26" s="12">
        <f>SUMIF(F$3:F$20,F26,G$3:G$20)</f>
        <v>3499634.90976521</v>
      </c>
      <c r="H26" s="12"/>
      <c r="I26" s="12"/>
      <c r="J26" s="4" t="s">
        <v>21</v>
      </c>
      <c r="K26" s="12">
        <f>SUMIF(J$3:J$20,J26,K$3:K$20)</f>
        <v>6074353.9801319297</v>
      </c>
    </row>
    <row r="27" spans="1:12" s="4" customFormat="1" x14ac:dyDescent="0.25">
      <c r="B27" s="4" t="s">
        <v>64</v>
      </c>
      <c r="C27" s="12">
        <f>SUMIF(B$3:B$20,B27,C$3:C$20)</f>
        <v>2518.08648262</v>
      </c>
      <c r="D27" s="12"/>
      <c r="E27" s="12"/>
      <c r="F27" s="4" t="s">
        <v>64</v>
      </c>
      <c r="G27" s="12">
        <f>SUMIF(F$3:F$20,F27,G$3:G$20)</f>
        <v>11832.102884440001</v>
      </c>
      <c r="H27" s="12"/>
      <c r="I27" s="12"/>
      <c r="J27" s="4" t="s">
        <v>64</v>
      </c>
      <c r="K27" s="12">
        <f>SUMIF(J$3:J$20,J27,K$3:K$20)</f>
        <v>17184.13382753</v>
      </c>
    </row>
    <row r="28" spans="1:12" s="4" customFormat="1" x14ac:dyDescent="0.25">
      <c r="B28" s="4" t="s">
        <v>93</v>
      </c>
      <c r="C28" s="12">
        <f>SUMIF(B$3:B$20,B28,C$3:C$20)</f>
        <v>108170.902</v>
      </c>
      <c r="D28" s="12"/>
      <c r="E28" s="12"/>
      <c r="F28" s="4" t="s">
        <v>93</v>
      </c>
      <c r="G28" s="12">
        <f>SUMIF(F$3:F$20,F28,G$3:G$20)</f>
        <v>1032877.9575</v>
      </c>
      <c r="H28" s="12"/>
      <c r="I28" s="12"/>
      <c r="J28" s="4" t="s">
        <v>93</v>
      </c>
      <c r="K28" s="12">
        <f>SUMIF(J$3:J$20,J28,K$3:K$20)</f>
        <v>1492566.507</v>
      </c>
    </row>
    <row r="29" spans="1:12" s="4" customFormat="1" x14ac:dyDescent="0.25">
      <c r="B29" s="4" t="s">
        <v>65</v>
      </c>
      <c r="C29" s="12">
        <f>SUMIF(B$3:B$20,B29,C$3:C$20)</f>
        <v>0</v>
      </c>
      <c r="D29" s="12"/>
      <c r="E29" s="12"/>
      <c r="F29" s="4" t="s">
        <v>65</v>
      </c>
      <c r="G29" s="12">
        <f>SUMIF(F$3:F$20,F29,G$3:G$20)</f>
        <v>0</v>
      </c>
      <c r="H29" s="12"/>
      <c r="I29" s="12"/>
      <c r="J29" s="4" t="s">
        <v>65</v>
      </c>
      <c r="K29" s="12">
        <f>SUMIF(J$3:J$20,J29,K$3:K$20)</f>
        <v>0</v>
      </c>
    </row>
    <row r="30" spans="1:12" s="4" customFormat="1" x14ac:dyDescent="0.25">
      <c r="B30" s="4" t="s">
        <v>91</v>
      </c>
      <c r="C30" s="12">
        <f>SUMIF(B$3:B$20,B30,C$3:C$20)</f>
        <v>1579.6075000000001</v>
      </c>
      <c r="D30" s="12"/>
      <c r="E30" s="12"/>
      <c r="F30" s="4" t="s">
        <v>91</v>
      </c>
      <c r="G30" s="12">
        <f>SUMIF(F$3:F$20,F30,G$3:G$20)</f>
        <v>3725.3220562634901</v>
      </c>
      <c r="H30" s="12"/>
      <c r="I30" s="12"/>
      <c r="J30" s="4" t="s">
        <v>91</v>
      </c>
      <c r="K30" s="12">
        <f>SUMIF(J$3:J$20,J30,K$3:K$20)</f>
        <v>5724.5587438920302</v>
      </c>
    </row>
    <row r="31" spans="1:12" s="4" customFormat="1" x14ac:dyDescent="0.25">
      <c r="B31" s="4" t="s">
        <v>94</v>
      </c>
      <c r="C31" s="12">
        <f>SUMIF(B$2:B$20,B31,C$2:C$20)+SUMIF(B$3:B$20,"weather",C$3:C$20)</f>
        <v>179195120.47242999</v>
      </c>
      <c r="D31" s="12"/>
      <c r="E31" s="12"/>
      <c r="F31" s="4" t="s">
        <v>94</v>
      </c>
      <c r="G31" s="12">
        <f>SUMIF(F$2:F$20,F31,G$2:G$20)+SUMIF(F$3:F$20,"weather",G$3:G$20)</f>
        <v>541704337.29759598</v>
      </c>
      <c r="H31" s="12"/>
      <c r="I31" s="12"/>
      <c r="J31" s="4" t="s">
        <v>94</v>
      </c>
      <c r="K31" s="12">
        <f>SUMIF(J$2:J$20,J31,K$2:K$20)+SUMIF(J$3:J$20,"weather",K$3:K$20)</f>
        <v>1108268742.96281</v>
      </c>
    </row>
    <row r="32" spans="1:12" s="4" customFormat="1" x14ac:dyDescent="0.25">
      <c r="B32" s="4" t="s">
        <v>98</v>
      </c>
      <c r="C32" s="12">
        <f>SUMIF(B$2:B$20,B32,C$2:C$20)+SUMIF(B$2:B$20,"London fac",C$2:C$20)+SUMIF(B$2:B$20,"LatAm Fac",C$2:C$20)+SUMIF(B$2:B$20,"US Fac",C$2:C$20)+SUMIF(B$2:B$20,"Canada Fac",C$2:C$20)+SUMIF(B$2:B$20,"Singapore Fac",C$2:C$20)</f>
        <v>8576105.6831769999</v>
      </c>
      <c r="D32" s="12"/>
      <c r="E32" s="12"/>
      <c r="F32" s="4" t="s">
        <v>98</v>
      </c>
      <c r="G32" s="12">
        <f>SUMIF(F$2:F$20,F32,G$2:G$20)+SUMIF(F$2:F$20,"London fac",G$2:G$20)+SUMIF(F$2:F$20,"LatAm Fac",G$2:G$20)+SUMIF(F$2:F$20,"US Fac",G$2:G$20)+SUMIF(F$2:F$20,"Canada Fac",G$2:G$20)+SUMIF(F$2:F$20,"Singapore Fac",G$2:G$20)</f>
        <v>23946823.239489231</v>
      </c>
      <c r="H32" s="12"/>
      <c r="I32" s="12"/>
      <c r="J32" s="4" t="s">
        <v>98</v>
      </c>
      <c r="K32" s="12">
        <f>SUMIF(J$2:J$20,J32,K$2:K$20)+SUMIF(J$2:J$20,"London fac",K$2:K$20)+SUMIF(J$2:J$20,"LatAm Fac",K$2:K$20)+SUMIF(J$2:J$20,"US Fac",K$2:K$20)+SUMIF(J$2:J$20,"Canada Fac",K$2:K$20)+SUMIF(J$2:J$20,"Singapore Fac",K$2:K$20)</f>
        <v>124523214.52338549</v>
      </c>
    </row>
    <row r="33" spans="2:11" s="4" customFormat="1" x14ac:dyDescent="0.25">
      <c r="B33" s="4" t="s">
        <v>99</v>
      </c>
      <c r="C33" s="12">
        <f>SUMIF(B$3:B$20,"Zurich",C$3:C$20)+SUMIF(B$3:B$20,"Brussels",C$3:C$20)</f>
        <v>129489.03422078</v>
      </c>
      <c r="D33" s="12"/>
      <c r="E33" s="12"/>
      <c r="F33" s="4" t="s">
        <v>99</v>
      </c>
      <c r="G33" s="12">
        <f>SUMIF(F$3:F$20,"Zurich",G$3:G$20)+SUMIF(F$3:F$20,"Brussels",G$3:G$20)</f>
        <v>3647322.9593629302</v>
      </c>
      <c r="H33" s="12"/>
      <c r="I33" s="12"/>
      <c r="J33" s="4" t="s">
        <v>99</v>
      </c>
      <c r="K33" s="12">
        <f>SUMIF(J$3:J$20,"Zurich",K$3:K$20)+SUMIF(J$3:J$20,"Brussels",K$3:K$20)</f>
        <v>4805228.8974581296</v>
      </c>
    </row>
    <row r="34" spans="2:11" s="4" customFormat="1" x14ac:dyDescent="0.25">
      <c r="B34" s="4" t="s">
        <v>15</v>
      </c>
      <c r="C34" s="12">
        <f>SUMIF(B$3:B$20,B34,C$3:C$20)</f>
        <v>679007.53527191002</v>
      </c>
      <c r="D34" s="12"/>
      <c r="E34" s="12"/>
      <c r="F34" s="4" t="s">
        <v>15</v>
      </c>
      <c r="G34" s="12">
        <f>SUMIF(F$3:F$20,F34,G$3:G$20)</f>
        <v>359359.72543575999</v>
      </c>
      <c r="H34" s="12"/>
      <c r="I34" s="12"/>
      <c r="J34" s="4" t="s">
        <v>15</v>
      </c>
      <c r="K34" s="12">
        <f>SUMIF(J$3:J$20,J34,K$3:K$20)</f>
        <v>2371201.9741573199</v>
      </c>
    </row>
    <row r="35" spans="2:11" s="4" customFormat="1" x14ac:dyDescent="0.25">
      <c r="B35" s="4" t="s">
        <v>87</v>
      </c>
      <c r="C35" s="12">
        <f>SUMIF(B$3:B$20,B35,C$3:C$20)+SUMIF(B$3:B$20,"EIG EIID",C$3:C$20)+SUMIF(B$3:B$20,"EIG Recovery",C$3:C$20)+SUMIF(B$3:B$20,"EIG Syndicate",C$3:C$20)+SUMIF(B$3:B$20,"EIG Singapore",C$3:C$20)</f>
        <v>37975033.980000004</v>
      </c>
      <c r="D35" s="12"/>
      <c r="E35" s="12"/>
      <c r="F35" s="4" t="s">
        <v>87</v>
      </c>
      <c r="G35" s="12">
        <f>SUMIF(F$3:F$20,F35,G$3:G$20)+SUMIF(F$3:F$20,"EIG EIID",G$3:G$20)+SUMIF(F$3:F$20,"EIG Recovery",G$3:G$20)+SUMIF(F$3:F$20,"EIG Syndicate",G$3:G$20)+SUMIF(F$3:F$20,"EIG Singapore",G$3:G$20)</f>
        <v>87951991.170000002</v>
      </c>
      <c r="H35" s="12"/>
      <c r="I35" s="12"/>
      <c r="J35" s="4" t="s">
        <v>87</v>
      </c>
      <c r="K35" s="12">
        <f>SUMIF(J$3:J$20,J35,K$3:K$20)+SUMIF(J$3:J$20,"EIG EIID",K$3:K$20)+SUMIF(J$3:J$20,"EIG Recovery",K$3:K$20)+SUMIF(J$3:J$20,"EIG Syndicate",K$3:K$20)+SUMIF(J$3:J$20,"EIG Singapore",K$3:K$20)</f>
        <v>287857006.89000005</v>
      </c>
    </row>
    <row r="36" spans="2:11" s="4" customFormat="1" x14ac:dyDescent="0.25">
      <c r="B36" s="4" t="s">
        <v>67</v>
      </c>
      <c r="C36" s="12">
        <f>SUMIF(B$3:B$20,B36,C$3:C$20)</f>
        <v>0</v>
      </c>
      <c r="D36" s="12"/>
      <c r="E36" s="12"/>
      <c r="F36" s="4" t="s">
        <v>67</v>
      </c>
      <c r="G36" s="12">
        <f>SUMIF(F$3:F$20,F36,G$3:G$20)</f>
        <v>2964247.68</v>
      </c>
      <c r="H36" s="12"/>
      <c r="I36" s="12"/>
      <c r="J36" s="4" t="s">
        <v>67</v>
      </c>
      <c r="K36" s="12">
        <f>SUMIF(J$3:J$20,J36,K$3:K$20)</f>
        <v>13442230.109999999</v>
      </c>
    </row>
    <row r="37" spans="2:11" s="4" customFormat="1" x14ac:dyDescent="0.25"/>
    <row r="38" spans="2:11" s="4" customFormat="1" x14ac:dyDescent="0.25"/>
  </sheetData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L42"/>
  <sheetViews>
    <sheetView workbookViewId="0"/>
  </sheetViews>
  <sheetFormatPr defaultColWidth="9.140625" defaultRowHeight="15" x14ac:dyDescent="0.25"/>
  <cols>
    <col min="1" max="1" width="10" bestFit="1" customWidth="1"/>
    <col min="2" max="2" width="23.28515625" bestFit="1" customWidth="1"/>
    <col min="3" max="3" width="12.5703125" bestFit="1" customWidth="1"/>
    <col min="5" max="5" width="10" bestFit="1" customWidth="1"/>
    <col min="6" max="6" width="23.28515625" bestFit="1" customWidth="1"/>
    <col min="7" max="7" width="12.5703125" bestFit="1" customWidth="1"/>
    <col min="9" max="9" width="10" bestFit="1" customWidth="1"/>
    <col min="10" max="10" width="23.28515625" bestFit="1" customWidth="1"/>
    <col min="11" max="11" width="14.28515625" bestFit="1" customWidth="1"/>
  </cols>
  <sheetData>
    <row r="1" spans="1:11" x14ac:dyDescent="0.25">
      <c r="A1" t="s">
        <v>30</v>
      </c>
      <c r="B1" t="s">
        <v>11</v>
      </c>
      <c r="C1" s="1" t="s">
        <v>85</v>
      </c>
      <c r="D1" s="1"/>
      <c r="E1" s="1" t="s">
        <v>30</v>
      </c>
      <c r="F1" s="1" t="s">
        <v>11</v>
      </c>
      <c r="G1" s="1" t="s">
        <v>85</v>
      </c>
      <c r="H1" s="1"/>
      <c r="I1" s="1" t="s">
        <v>30</v>
      </c>
      <c r="J1" s="1" t="s">
        <v>11</v>
      </c>
      <c r="K1" s="1" t="s">
        <v>85</v>
      </c>
    </row>
    <row r="2" spans="1:11" x14ac:dyDescent="0.25">
      <c r="A2">
        <v>270184630</v>
      </c>
      <c r="B2" t="s">
        <v>12</v>
      </c>
      <c r="C2" s="1">
        <v>13868390.0108329</v>
      </c>
      <c r="D2" s="1"/>
      <c r="E2">
        <v>270233063</v>
      </c>
      <c r="F2" t="s">
        <v>12</v>
      </c>
      <c r="G2" s="1">
        <v>65599396.565006398</v>
      </c>
      <c r="H2" s="1"/>
      <c r="I2">
        <v>270042404</v>
      </c>
      <c r="J2" t="s">
        <v>12</v>
      </c>
      <c r="K2" s="1">
        <v>154142463.30601001</v>
      </c>
    </row>
    <row r="3" spans="1:11" x14ac:dyDescent="0.25">
      <c r="A3">
        <v>270184630</v>
      </c>
      <c r="B3" t="s">
        <v>15</v>
      </c>
      <c r="C3" s="1">
        <v>679007.53527191002</v>
      </c>
      <c r="D3" s="1"/>
      <c r="E3">
        <v>270233063</v>
      </c>
      <c r="F3" t="s">
        <v>15</v>
      </c>
      <c r="G3" s="1">
        <v>359359.72543575999</v>
      </c>
      <c r="H3" s="1"/>
      <c r="I3">
        <v>270042404</v>
      </c>
      <c r="J3" t="s">
        <v>15</v>
      </c>
      <c r="K3" s="1">
        <v>2371201.9741573199</v>
      </c>
    </row>
    <row r="4" spans="1:11" x14ac:dyDescent="0.25">
      <c r="A4">
        <v>270184630</v>
      </c>
      <c r="B4" t="s">
        <v>86</v>
      </c>
      <c r="C4" s="1">
        <v>207123.60260000001</v>
      </c>
      <c r="D4" s="1"/>
      <c r="E4">
        <v>270233063</v>
      </c>
      <c r="F4" t="s">
        <v>86</v>
      </c>
      <c r="G4" s="1">
        <v>377066.68119999999</v>
      </c>
      <c r="H4" s="1"/>
      <c r="I4">
        <v>270042404</v>
      </c>
      <c r="J4" t="s">
        <v>86</v>
      </c>
      <c r="K4" s="1">
        <v>1014414.9607000001</v>
      </c>
    </row>
    <row r="5" spans="1:11" x14ac:dyDescent="0.25">
      <c r="A5">
        <v>270184630</v>
      </c>
      <c r="B5" t="s">
        <v>87</v>
      </c>
      <c r="C5" s="1">
        <v>37629771.560000002</v>
      </c>
      <c r="D5" s="1"/>
      <c r="E5">
        <v>270233063</v>
      </c>
      <c r="F5" t="s">
        <v>87</v>
      </c>
      <c r="G5" s="1">
        <v>86903902.329999998</v>
      </c>
      <c r="H5" s="1"/>
      <c r="I5">
        <v>270042404</v>
      </c>
      <c r="J5" t="s">
        <v>68</v>
      </c>
      <c r="K5" s="1">
        <v>-89000000</v>
      </c>
    </row>
    <row r="6" spans="1:11" x14ac:dyDescent="0.25">
      <c r="A6">
        <v>270184630</v>
      </c>
      <c r="B6" t="s">
        <v>100</v>
      </c>
      <c r="C6" s="1">
        <v>-11998781.92</v>
      </c>
      <c r="D6" s="1"/>
      <c r="E6">
        <v>270233063</v>
      </c>
      <c r="F6" t="s">
        <v>100</v>
      </c>
      <c r="G6" s="1">
        <v>-27823943.809999999</v>
      </c>
      <c r="H6" s="1"/>
      <c r="I6">
        <v>270042404</v>
      </c>
      <c r="J6" t="s">
        <v>87</v>
      </c>
      <c r="K6" s="1">
        <v>283076192.12</v>
      </c>
    </row>
    <row r="7" spans="1:11" x14ac:dyDescent="0.25">
      <c r="A7">
        <v>270184630</v>
      </c>
      <c r="B7" t="s">
        <v>88</v>
      </c>
      <c r="C7" s="1">
        <v>126113.59</v>
      </c>
      <c r="D7" s="1"/>
      <c r="E7">
        <v>270233063</v>
      </c>
      <c r="F7" t="s">
        <v>88</v>
      </c>
      <c r="G7" s="1">
        <v>331925.74</v>
      </c>
      <c r="H7" s="1"/>
      <c r="I7">
        <v>270042404</v>
      </c>
      <c r="J7" t="s">
        <v>100</v>
      </c>
      <c r="K7" s="1">
        <v>-90756052.219999999</v>
      </c>
    </row>
    <row r="8" spans="1:11" x14ac:dyDescent="0.25">
      <c r="A8">
        <v>270184630</v>
      </c>
      <c r="B8" t="s">
        <v>101</v>
      </c>
      <c r="C8" s="1">
        <v>-34785</v>
      </c>
      <c r="D8" s="1"/>
      <c r="E8">
        <v>270233063</v>
      </c>
      <c r="F8" t="s">
        <v>101</v>
      </c>
      <c r="G8" s="1">
        <v>-88643.79</v>
      </c>
      <c r="H8" s="1"/>
      <c r="I8">
        <v>270042404</v>
      </c>
      <c r="J8" t="s">
        <v>88</v>
      </c>
      <c r="K8" s="1">
        <v>1995671.31</v>
      </c>
    </row>
    <row r="9" spans="1:11" x14ac:dyDescent="0.25">
      <c r="A9">
        <v>270184630</v>
      </c>
      <c r="B9" t="s">
        <v>89</v>
      </c>
      <c r="C9" s="1">
        <v>2648.54</v>
      </c>
      <c r="D9" s="1"/>
      <c r="E9">
        <v>270233063</v>
      </c>
      <c r="F9" t="s">
        <v>89</v>
      </c>
      <c r="G9" s="1">
        <v>3810.18</v>
      </c>
      <c r="H9" s="1"/>
      <c r="I9">
        <v>270042404</v>
      </c>
      <c r="J9" t="s">
        <v>101</v>
      </c>
      <c r="K9" s="1">
        <v>-489734.97</v>
      </c>
    </row>
    <row r="10" spans="1:11" x14ac:dyDescent="0.25">
      <c r="A10">
        <v>270184630</v>
      </c>
      <c r="B10" t="s">
        <v>90</v>
      </c>
      <c r="C10" s="1">
        <v>216500.29</v>
      </c>
      <c r="D10" s="1"/>
      <c r="E10">
        <v>270233063</v>
      </c>
      <c r="F10" t="s">
        <v>90</v>
      </c>
      <c r="G10" s="1">
        <v>712352.92</v>
      </c>
      <c r="H10" s="1"/>
      <c r="I10">
        <v>270042404</v>
      </c>
      <c r="J10" t="s">
        <v>89</v>
      </c>
      <c r="K10" s="1">
        <v>8980.86</v>
      </c>
    </row>
    <row r="11" spans="1:11" x14ac:dyDescent="0.25">
      <c r="A11">
        <v>270184630</v>
      </c>
      <c r="B11" t="s">
        <v>91</v>
      </c>
      <c r="C11" s="1">
        <v>1579.6075000000001</v>
      </c>
      <c r="D11" s="1"/>
      <c r="E11">
        <v>270233063</v>
      </c>
      <c r="F11" t="s">
        <v>91</v>
      </c>
      <c r="G11" s="1">
        <v>3725.3220562634901</v>
      </c>
      <c r="H11" s="1"/>
      <c r="I11">
        <v>270042404</v>
      </c>
      <c r="J11" t="s">
        <v>90</v>
      </c>
      <c r="K11" s="1">
        <v>2776162.6</v>
      </c>
    </row>
    <row r="12" spans="1:11" x14ac:dyDescent="0.25">
      <c r="A12">
        <v>270184630</v>
      </c>
      <c r="B12" t="s">
        <v>42</v>
      </c>
      <c r="C12" s="1">
        <v>50957.412326190002</v>
      </c>
      <c r="D12" s="1"/>
      <c r="E12">
        <v>270233063</v>
      </c>
      <c r="F12" t="s">
        <v>42</v>
      </c>
      <c r="G12" s="1">
        <v>106522.56222155</v>
      </c>
      <c r="H12" s="1"/>
      <c r="I12">
        <v>270042404</v>
      </c>
      <c r="J12" t="s">
        <v>91</v>
      </c>
      <c r="K12" s="1">
        <v>5724.5587438920302</v>
      </c>
    </row>
    <row r="13" spans="1:11" x14ac:dyDescent="0.25">
      <c r="A13">
        <v>270184630</v>
      </c>
      <c r="B13" t="s">
        <v>21</v>
      </c>
      <c r="C13" s="1">
        <v>1313114.1738698699</v>
      </c>
      <c r="D13" s="1"/>
      <c r="E13">
        <v>270233063</v>
      </c>
      <c r="F13" t="s">
        <v>21</v>
      </c>
      <c r="G13" s="1">
        <v>3499634.90976521</v>
      </c>
      <c r="H13" s="1"/>
      <c r="I13">
        <v>270042404</v>
      </c>
      <c r="J13" t="s">
        <v>42</v>
      </c>
      <c r="K13" s="1">
        <v>3352863.3970266599</v>
      </c>
    </row>
    <row r="14" spans="1:11" x14ac:dyDescent="0.25">
      <c r="A14">
        <v>270184630</v>
      </c>
      <c r="B14" t="s">
        <v>92</v>
      </c>
      <c r="C14" s="1">
        <v>464730.57222351001</v>
      </c>
      <c r="D14" s="1"/>
      <c r="E14">
        <v>270233063</v>
      </c>
      <c r="F14" t="s">
        <v>92</v>
      </c>
      <c r="G14" s="1">
        <v>1397489.17478738</v>
      </c>
      <c r="H14" s="1"/>
      <c r="I14">
        <v>270042404</v>
      </c>
      <c r="J14" t="s">
        <v>21</v>
      </c>
      <c r="K14" s="1">
        <v>6074353.9801319297</v>
      </c>
    </row>
    <row r="15" spans="1:11" x14ac:dyDescent="0.25">
      <c r="A15">
        <v>270184630</v>
      </c>
      <c r="B15" t="s">
        <v>93</v>
      </c>
      <c r="C15" s="1">
        <v>108170.902</v>
      </c>
      <c r="D15" s="1"/>
      <c r="E15" s="10">
        <v>270233063</v>
      </c>
      <c r="F15" t="s">
        <v>67</v>
      </c>
      <c r="G15" s="1">
        <v>2964247.68</v>
      </c>
      <c r="H15" s="1"/>
      <c r="I15">
        <v>270042404</v>
      </c>
      <c r="J15" s="1" t="s">
        <v>92</v>
      </c>
      <c r="K15" s="1">
        <v>6829026.0394528303</v>
      </c>
    </row>
    <row r="16" spans="1:11" x14ac:dyDescent="0.25">
      <c r="A16">
        <v>270184630</v>
      </c>
      <c r="B16" t="s">
        <v>64</v>
      </c>
      <c r="C16" s="1">
        <v>2518.08648262</v>
      </c>
      <c r="D16" s="1"/>
      <c r="E16" s="10">
        <v>270233063</v>
      </c>
      <c r="F16" t="s">
        <v>93</v>
      </c>
      <c r="G16" s="1">
        <v>1032877.9575</v>
      </c>
      <c r="H16" s="1"/>
      <c r="I16">
        <v>270042404</v>
      </c>
      <c r="J16" s="1" t="s">
        <v>67</v>
      </c>
      <c r="K16" s="1">
        <v>13442230.109999999</v>
      </c>
    </row>
    <row r="17" spans="1:12" x14ac:dyDescent="0.25">
      <c r="A17">
        <v>270184630</v>
      </c>
      <c r="B17" t="s">
        <v>94</v>
      </c>
      <c r="C17" s="1">
        <v>179195120.47242999</v>
      </c>
      <c r="D17" s="1"/>
      <c r="E17" s="10">
        <v>270233063</v>
      </c>
      <c r="F17" t="s">
        <v>64</v>
      </c>
      <c r="G17" s="1">
        <v>11832.102884440001</v>
      </c>
      <c r="H17" s="1"/>
      <c r="I17">
        <v>270042404</v>
      </c>
      <c r="J17" s="1" t="s">
        <v>93</v>
      </c>
      <c r="K17" s="1">
        <v>1492566.507</v>
      </c>
    </row>
    <row r="18" spans="1:12" x14ac:dyDescent="0.25">
      <c r="A18">
        <v>270184630</v>
      </c>
      <c r="B18" t="s">
        <v>45</v>
      </c>
      <c r="C18" s="1">
        <v>7853294.0960272998</v>
      </c>
      <c r="D18" s="1"/>
      <c r="E18" s="10">
        <v>270233063</v>
      </c>
      <c r="F18" t="s">
        <v>94</v>
      </c>
      <c r="G18" s="1">
        <v>526704337.29759598</v>
      </c>
      <c r="H18" s="1"/>
      <c r="I18">
        <v>270042404</v>
      </c>
      <c r="J18" s="1" t="s">
        <v>64</v>
      </c>
      <c r="K18" s="1">
        <v>17184.13382753</v>
      </c>
    </row>
    <row r="19" spans="1:12" x14ac:dyDescent="0.25">
      <c r="A19">
        <v>270184630</v>
      </c>
      <c r="B19" t="s">
        <v>95</v>
      </c>
      <c r="C19" s="1">
        <v>129489.03422078</v>
      </c>
      <c r="D19" s="1"/>
      <c r="E19" s="10">
        <v>270233063</v>
      </c>
      <c r="F19" t="s">
        <v>45</v>
      </c>
      <c r="G19" s="1">
        <v>22065744.821280301</v>
      </c>
      <c r="H19" s="1"/>
      <c r="I19">
        <v>270042404</v>
      </c>
      <c r="J19" s="1" t="s">
        <v>94</v>
      </c>
      <c r="K19" s="1">
        <v>1093268742.96281</v>
      </c>
    </row>
    <row r="20" spans="1:12" x14ac:dyDescent="0.25">
      <c r="C20" s="1"/>
      <c r="D20" s="1"/>
      <c r="E20" s="10">
        <v>270233063</v>
      </c>
      <c r="F20" t="s">
        <v>95</v>
      </c>
      <c r="G20" s="1">
        <v>3647322.9593629302</v>
      </c>
      <c r="H20" s="1"/>
      <c r="I20">
        <v>270042404</v>
      </c>
      <c r="J20" s="1" t="s">
        <v>45</v>
      </c>
      <c r="K20" s="1">
        <v>113326910.126206</v>
      </c>
    </row>
    <row r="21" spans="1:12" x14ac:dyDescent="0.25">
      <c r="C21" s="1"/>
      <c r="D21" s="1"/>
      <c r="E21" s="10">
        <v>270233063</v>
      </c>
      <c r="F21" t="s">
        <v>96</v>
      </c>
      <c r="G21" s="1">
        <v>15000000</v>
      </c>
      <c r="H21" s="1"/>
      <c r="I21">
        <v>270042404</v>
      </c>
      <c r="J21" s="1" t="s">
        <v>95</v>
      </c>
      <c r="K21" s="1">
        <v>4805228.8974581296</v>
      </c>
    </row>
    <row r="22" spans="1:12" x14ac:dyDescent="0.25">
      <c r="C22" s="1"/>
      <c r="D22" s="1"/>
      <c r="E22" s="10"/>
      <c r="G22" s="1"/>
      <c r="H22" s="1"/>
      <c r="I22">
        <v>270042404</v>
      </c>
      <c r="J22" s="1" t="s">
        <v>96</v>
      </c>
      <c r="K22" s="1">
        <v>15000000</v>
      </c>
    </row>
    <row r="23" spans="1:12" x14ac:dyDescent="0.25">
      <c r="C23" s="1"/>
      <c r="D23" s="1"/>
      <c r="E23" s="10"/>
      <c r="G23" s="1"/>
      <c r="H23" s="1"/>
      <c r="J23" s="1"/>
      <c r="K23" s="1"/>
    </row>
    <row r="24" spans="1:12" x14ac:dyDescent="0.25">
      <c r="C24" s="1"/>
      <c r="D24" s="1"/>
      <c r="E24" s="10"/>
      <c r="G24" s="1"/>
      <c r="H24" s="1"/>
      <c r="I24" s="1"/>
      <c r="J24" s="1"/>
      <c r="K24" s="1"/>
      <c r="L24" s="1"/>
    </row>
    <row r="25" spans="1:12" x14ac:dyDescent="0.25">
      <c r="C25" s="1">
        <f>SUM(C2:C24)</f>
        <v>229814962.56578508</v>
      </c>
      <c r="D25" s="1"/>
      <c r="E25" s="10"/>
      <c r="G25" s="1">
        <f>SUM(G2:G24)</f>
        <v>702808961.32909632</v>
      </c>
      <c r="H25" s="1"/>
      <c r="I25" s="1"/>
      <c r="J25" s="1"/>
      <c r="K25" s="1">
        <f>SUM(K2:K24)</f>
        <v>1522754130.6535244</v>
      </c>
      <c r="L25" s="1"/>
    </row>
    <row r="26" spans="1:12" s="4" customFormat="1" x14ac:dyDescent="0.25">
      <c r="C26" s="12">
        <f>SUM(C28:C41)</f>
        <v>229814962.56578508</v>
      </c>
      <c r="D26" s="12"/>
      <c r="E26" s="13"/>
      <c r="G26" s="12">
        <f>SUM(G28:G41)</f>
        <v>702808961.32909608</v>
      </c>
      <c r="H26" s="12"/>
      <c r="I26" s="12"/>
      <c r="J26" s="12"/>
      <c r="K26" s="12">
        <f>SUM(K28:K41)</f>
        <v>1522754130.6535244</v>
      </c>
      <c r="L26" s="12"/>
    </row>
    <row r="27" spans="1:12" s="4" customFormat="1" x14ac:dyDescent="0.25">
      <c r="A27" s="4" t="s">
        <v>97</v>
      </c>
      <c r="C27" s="12"/>
      <c r="D27" s="12"/>
      <c r="E27" s="12"/>
      <c r="F27" s="12"/>
      <c r="G27" s="12"/>
      <c r="H27" s="12"/>
      <c r="I27" s="12"/>
      <c r="J27" s="12"/>
      <c r="K27" s="12"/>
    </row>
    <row r="28" spans="1:12" s="4" customFormat="1" x14ac:dyDescent="0.25">
      <c r="B28" s="4" t="s">
        <v>12</v>
      </c>
      <c r="C28" s="12">
        <f>SUMIF(B$2:B$24,B28,C$2:C$24)+SUMIF(B$2:B$24,"bermuda recovery",C$2:C$24)</f>
        <v>13868390.0108329</v>
      </c>
      <c r="D28" s="12"/>
      <c r="E28" s="12"/>
      <c r="F28" s="4" t="s">
        <v>12</v>
      </c>
      <c r="G28" s="12">
        <f>SUMIF(F$2:F$24,F28,G$2:G$24)+SUMIF(F$2:F$24,"bermuda recovery",G$2:G$24)</f>
        <v>65599396.565006398</v>
      </c>
      <c r="H28" s="12"/>
      <c r="I28" s="12"/>
      <c r="J28" s="4" t="s">
        <v>12</v>
      </c>
      <c r="K28" s="12">
        <f>SUMIF(J$2:J$24,J28,K$2:K$24)+SUMIF(J$2:J$24,"bermuda recovery",K$2:K$24)</f>
        <v>154142463.30601001</v>
      </c>
    </row>
    <row r="29" spans="1:12" s="4" customFormat="1" x14ac:dyDescent="0.25">
      <c r="B29" s="4" t="s">
        <v>21</v>
      </c>
      <c r="C29" s="12">
        <f>SUMIF(B$3:B$24,B29,C$3:C$24)</f>
        <v>1313114.1738698699</v>
      </c>
      <c r="D29" s="12"/>
      <c r="E29" s="12"/>
      <c r="F29" s="4" t="s">
        <v>21</v>
      </c>
      <c r="G29" s="12">
        <f>SUMIF(F$3:F$24,F29,G$3:G$24)</f>
        <v>3499634.90976521</v>
      </c>
      <c r="H29" s="12"/>
      <c r="I29" s="12"/>
      <c r="J29" s="4" t="s">
        <v>21</v>
      </c>
      <c r="K29" s="12">
        <f>SUMIF(J$3:J$24,J29,K$3:K$24)</f>
        <v>6074353.9801319297</v>
      </c>
    </row>
    <row r="30" spans="1:12" s="4" customFormat="1" x14ac:dyDescent="0.25">
      <c r="B30" s="4" t="s">
        <v>64</v>
      </c>
      <c r="C30" s="12">
        <f>SUMIF(B$3:B$24,B30,C$3:C$24)</f>
        <v>2518.08648262</v>
      </c>
      <c r="D30" s="12"/>
      <c r="E30" s="12"/>
      <c r="F30" s="4" t="s">
        <v>64</v>
      </c>
      <c r="G30" s="12">
        <f>SUMIF(F$3:F$24,F30,G$3:G$24)</f>
        <v>11832.102884440001</v>
      </c>
      <c r="H30" s="12"/>
      <c r="I30" s="12"/>
      <c r="J30" s="4" t="s">
        <v>64</v>
      </c>
      <c r="K30" s="12">
        <f>SUMIF(J$3:J$24,J30,K$3:K$24)</f>
        <v>17184.13382753</v>
      </c>
    </row>
    <row r="31" spans="1:12" s="4" customFormat="1" x14ac:dyDescent="0.25">
      <c r="B31" s="4" t="s">
        <v>93</v>
      </c>
      <c r="C31" s="12">
        <f>SUMIF(B$3:B$24,B31,C$3:C$24)</f>
        <v>108170.902</v>
      </c>
      <c r="D31" s="12"/>
      <c r="E31" s="12"/>
      <c r="F31" s="4" t="s">
        <v>93</v>
      </c>
      <c r="G31" s="12">
        <f>SUMIF(F$3:F$24,F31,G$3:G$24)</f>
        <v>1032877.9575</v>
      </c>
      <c r="H31" s="12"/>
      <c r="I31" s="12"/>
      <c r="J31" s="4" t="s">
        <v>93</v>
      </c>
      <c r="K31" s="12">
        <f>SUMIF(J$3:J$24,J31,K$3:K$24)</f>
        <v>1492566.507</v>
      </c>
    </row>
    <row r="32" spans="1:12" s="4" customFormat="1" x14ac:dyDescent="0.25">
      <c r="B32" s="4" t="s">
        <v>65</v>
      </c>
      <c r="C32" s="12">
        <f>SUMIF(B$3:B$24,B32,C$3:C$24)</f>
        <v>0</v>
      </c>
      <c r="D32" s="12"/>
      <c r="E32" s="12"/>
      <c r="F32" s="4" t="s">
        <v>65</v>
      </c>
      <c r="G32" s="12">
        <f>SUMIF(F$3:F$24,F32,G$3:G$24)</f>
        <v>0</v>
      </c>
      <c r="H32" s="12"/>
      <c r="I32" s="12"/>
      <c r="J32" s="4" t="s">
        <v>65</v>
      </c>
      <c r="K32" s="12">
        <f>SUMIF(J$3:J$24,J32,K$3:K$24)</f>
        <v>0</v>
      </c>
    </row>
    <row r="33" spans="2:11" s="4" customFormat="1" x14ac:dyDescent="0.25">
      <c r="B33" s="4" t="s">
        <v>91</v>
      </c>
      <c r="C33" s="12">
        <f>SUMIF(B$3:B$24,B33,C$3:C$24)</f>
        <v>1579.6075000000001</v>
      </c>
      <c r="D33" s="12"/>
      <c r="E33" s="12"/>
      <c r="F33" s="4" t="s">
        <v>91</v>
      </c>
      <c r="G33" s="12">
        <f>SUMIF(F$3:F$24,F33,G$3:G$24)</f>
        <v>3725.3220562634901</v>
      </c>
      <c r="H33" s="12"/>
      <c r="I33" s="12"/>
      <c r="J33" s="4" t="s">
        <v>91</v>
      </c>
      <c r="K33" s="12">
        <f>SUMIF(J$3:J$24,J33,K$3:K$24)</f>
        <v>5724.5587438920302</v>
      </c>
    </row>
    <row r="34" spans="2:11" s="4" customFormat="1" x14ac:dyDescent="0.25">
      <c r="B34" s="4" t="s">
        <v>94</v>
      </c>
      <c r="C34" s="12">
        <f>SUMIF(B$2:B$24,B34,C$2:C$24)+SUMIF(B$3:B$24,"weather",C$3:C$24)+SUMIF(B$3:B$24,"risk sharing",C$3:C$24)</f>
        <v>179195120.47242999</v>
      </c>
      <c r="D34" s="12"/>
      <c r="E34" s="12"/>
      <c r="F34" s="4" t="s">
        <v>94</v>
      </c>
      <c r="G34" s="12">
        <f>SUMIF(F$2:F$24,F34,G$2:G$24)+SUMIF(F$3:F$24,"weather",G$3:G$24)+SUMIF(F$3:F$24,"risk sharing",G$3:G$24)</f>
        <v>541704337.29759598</v>
      </c>
      <c r="H34" s="12"/>
      <c r="I34" s="12"/>
      <c r="J34" s="4" t="s">
        <v>94</v>
      </c>
      <c r="K34" s="12">
        <f>SUMIF(J$2:J$24,J34,K$2:K$24)+SUMIF(J$3:J$24,"weather",K$3:K$24)+SUMIF(J$3:J$24,"risk sharing",K$3:K$24)</f>
        <v>1108268742.96281</v>
      </c>
    </row>
    <row r="35" spans="2:11" s="4" customFormat="1" x14ac:dyDescent="0.25">
      <c r="B35" s="4" t="s">
        <v>98</v>
      </c>
      <c r="C35" s="12">
        <f>SUMIF(B$2:B$24,B35,C$2:C$24)+SUMIF(B$2:B$24,"London fac",C$2:C$24)+SUMIF(B$2:B$24,"LatAm Fac",C$2:C$24)+SUMIF(B$2:B$24,"US Fac",C$2:C$24)+SUMIF(B$2:B$24,"Canada Fac",C$2:C$24)+SUMIF(B$2:B$24,"Singapore Fac",C$2:C$24)</f>
        <v>8576105.6831769999</v>
      </c>
      <c r="D35" s="12"/>
      <c r="E35" s="12"/>
      <c r="F35" s="4" t="s">
        <v>98</v>
      </c>
      <c r="G35" s="12">
        <f>SUMIF(F$2:F$24,F35,G$2:G$24)+SUMIF(F$2:F$24,"London fac",G$2:G$24)+SUMIF(F$2:F$24,"LatAm Fac",G$2:G$24)+SUMIF(F$2:F$24,"US Fac",G$2:G$24)+SUMIF(F$2:F$24,"Canada Fac",G$2:G$24)+SUMIF(F$2:F$24,"Singapore Fac",G$2:G$24)</f>
        <v>23946823.239489231</v>
      </c>
      <c r="H35" s="12"/>
      <c r="I35" s="12"/>
      <c r="J35" s="4" t="s">
        <v>98</v>
      </c>
      <c r="K35" s="12">
        <f>SUMIF(J$2:J$24,J35,K$2:K$24)+SUMIF(J$2:J$24,"London fac",K$2:K$24)+SUMIF(J$2:J$24,"LatAm Fac",K$2:K$24)+SUMIF(J$2:J$24,"US Fac",K$2:K$24)+SUMIF(J$2:J$24,"Canada Fac",K$2:K$24)+SUMIF(J$2:J$24,"Singapore Fac",K$2:K$24)</f>
        <v>124523214.52338549</v>
      </c>
    </row>
    <row r="36" spans="2:11" s="4" customFormat="1" x14ac:dyDescent="0.25">
      <c r="B36" s="4" t="s">
        <v>99</v>
      </c>
      <c r="C36" s="12">
        <f>SUMIF(B$3:B$24,"Zurich",C$3:C$24)+SUMIF(B$3:B$24,"Brussels",C$3:C$24)</f>
        <v>129489.03422078</v>
      </c>
      <c r="D36" s="12"/>
      <c r="E36" s="12"/>
      <c r="F36" s="4" t="s">
        <v>99</v>
      </c>
      <c r="G36" s="12">
        <f>SUMIF(F$3:F$24,"Zurich",G$3:G$24)+SUMIF(F$3:F$24,"Brussels",G$3:G$24)</f>
        <v>3647322.9593629302</v>
      </c>
      <c r="H36" s="12"/>
      <c r="I36" s="12"/>
      <c r="J36" s="4" t="s">
        <v>99</v>
      </c>
      <c r="K36" s="12">
        <f>SUMIF(J$3:J$24,"Zurich",K$3:K$24)+SUMIF(J$3:J$24,"Brussels",K$3:K$24)</f>
        <v>4805228.8974581296</v>
      </c>
    </row>
    <row r="37" spans="2:11" s="4" customFormat="1" x14ac:dyDescent="0.25">
      <c r="B37" s="4" t="s">
        <v>15</v>
      </c>
      <c r="C37" s="12">
        <f>SUMIF(B$3:B$24,B37,C$3:C$24)</f>
        <v>679007.53527191002</v>
      </c>
      <c r="D37" s="12"/>
      <c r="E37" s="12"/>
      <c r="F37" s="4" t="s">
        <v>15</v>
      </c>
      <c r="G37" s="12">
        <f>SUMIF(F$3:F$24,F37,G$3:G$24)</f>
        <v>359359.72543575999</v>
      </c>
      <c r="H37" s="12"/>
      <c r="I37" s="12"/>
      <c r="J37" s="4" t="s">
        <v>15</v>
      </c>
      <c r="K37" s="12">
        <f>SUMIF(J$3:J$24,J37,K$3:K$24)</f>
        <v>2371201.9741573199</v>
      </c>
    </row>
    <row r="38" spans="2:11" s="4" customFormat="1" x14ac:dyDescent="0.25">
      <c r="B38" s="4" t="s">
        <v>87</v>
      </c>
      <c r="C38" s="12">
        <f>SUMIF(B$3:B$24,B38,C$3:C$24)+SUMIF(B$3:B$24,"EIG EIID",C$3:C$24)+SUMIF(B$3:B$24,"EIG Syndicate",C$3:C$24)+SUMIF(B$3:B$24,"EIG Singapore",C$3:C$24)</f>
        <v>37975033.980000004</v>
      </c>
      <c r="D38" s="12"/>
      <c r="E38" s="12"/>
      <c r="F38" s="4" t="s">
        <v>87</v>
      </c>
      <c r="G38" s="12">
        <f>SUMIF(F$3:F$24,F38,G$3:G$24)+SUMIF(F$3:F$24,"EIG EIID",G$3:G$24)+SUMIF(F$3:F$24,"EIG Syndicate",G$3:G$24)+SUMIF(F$3:F$24,"EIG Singapore",G$3:G$24)</f>
        <v>87951991.170000002</v>
      </c>
      <c r="H38" s="12"/>
      <c r="I38" s="12"/>
      <c r="J38" s="4" t="s">
        <v>87</v>
      </c>
      <c r="K38" s="12">
        <f>SUMIF(J$3:J$24,J38,K$3:K$24)+SUMIF(J$3:J$24,"EIG EIID",K$3:K$24)+SUMIF(J$3:J$24,"EIG Syndicate",K$3:K$24)+SUMIF(J$3:J$24,"EIG Singapore",K$3:K$24)</f>
        <v>287857006.89000005</v>
      </c>
    </row>
    <row r="39" spans="2:11" s="4" customFormat="1" x14ac:dyDescent="0.25">
      <c r="B39" s="4" t="s">
        <v>67</v>
      </c>
      <c r="C39" s="12">
        <f>SUMIF(B$3:B$24,B39,C$3:C$24)</f>
        <v>0</v>
      </c>
      <c r="D39" s="12"/>
      <c r="E39" s="12"/>
      <c r="F39" s="4" t="s">
        <v>67</v>
      </c>
      <c r="G39" s="12">
        <f>SUMIF(F$3:F$24,F39,G$3:G$24)</f>
        <v>2964247.68</v>
      </c>
      <c r="H39" s="12"/>
      <c r="I39" s="12"/>
      <c r="J39" s="4" t="s">
        <v>67</v>
      </c>
      <c r="K39" s="12">
        <f>SUMIF(J$3:J$24,J39,K$3:K$24)</f>
        <v>13442230.109999999</v>
      </c>
    </row>
    <row r="40" spans="2:11" s="4" customFormat="1" x14ac:dyDescent="0.25">
      <c r="C40" s="12"/>
      <c r="G40" s="12"/>
      <c r="J40" s="4" t="s">
        <v>102</v>
      </c>
      <c r="K40" s="12">
        <f>SUMIF(J$2:J$24,"Cat Bond Recovery",K$2:K$24)</f>
        <v>-89000000</v>
      </c>
    </row>
    <row r="41" spans="2:11" s="4" customFormat="1" x14ac:dyDescent="0.25">
      <c r="B41" s="14" t="s">
        <v>103</v>
      </c>
      <c r="C41" s="12">
        <f>SUMIF(B$2:B$24,B41,C$2:C$24)+SUMIF(B$2:B$24,"EI Recovery",C$2:C$24)+SUMIF(B$2:B$24,"EIG Recovery",C$2:C$24)</f>
        <v>-12033566.92</v>
      </c>
      <c r="F41" s="14" t="s">
        <v>103</v>
      </c>
      <c r="G41" s="12">
        <f>SUMIF(F$2:F$24,F41,G$2:G$24)+SUMIF(F$2:F$24,"EI Recovery",G$2:G$24)+SUMIF(F$2:F$24,"EIG Recovery",G$2:G$24)</f>
        <v>-27912587.599999998</v>
      </c>
      <c r="J41" s="14" t="s">
        <v>103</v>
      </c>
      <c r="K41" s="12">
        <f>SUMIF(J$2:J$24,J41,K$2:K$24)+SUMIF(J$2:J$24,"EI Recovery",K$2:K$24)+SUMIF(J$2:J$24,"EIG Recovery",K$2:K$24)</f>
        <v>-91245787.189999998</v>
      </c>
    </row>
    <row r="42" spans="2:11" s="4" customFormat="1" x14ac:dyDescent="0.25"/>
  </sheetData>
  <pageMargins left="0.7" right="0.7" top="0.75" bottom="0.75" header="0.3" footer="0.3"/>
  <pageSetup orientation="portrait" horizontalDpi="90" verticalDpi="9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42"/>
  <sheetViews>
    <sheetView workbookViewId="0"/>
  </sheetViews>
  <sheetFormatPr defaultColWidth="9.140625" defaultRowHeight="15" x14ac:dyDescent="0.25"/>
  <cols>
    <col min="1" max="1" width="10" bestFit="1" customWidth="1"/>
    <col min="2" max="2" width="23.28515625" bestFit="1" customWidth="1"/>
    <col min="3" max="3" width="11.5703125" bestFit="1" customWidth="1"/>
    <col min="5" max="5" width="10" bestFit="1" customWidth="1"/>
    <col min="6" max="6" width="23.28515625" bestFit="1" customWidth="1"/>
    <col min="7" max="7" width="12.5703125" bestFit="1" customWidth="1"/>
    <col min="9" max="9" width="12.5703125" bestFit="1" customWidth="1"/>
    <col min="10" max="10" width="23.28515625" bestFit="1" customWidth="1"/>
    <col min="11" max="11" width="12.5703125" bestFit="1" customWidth="1"/>
  </cols>
  <sheetData>
    <row r="1" spans="1:11" x14ac:dyDescent="0.25">
      <c r="A1" t="s">
        <v>30</v>
      </c>
      <c r="B1" t="s">
        <v>11</v>
      </c>
      <c r="C1" s="1" t="s">
        <v>85</v>
      </c>
      <c r="D1" s="1"/>
      <c r="E1" s="1" t="s">
        <v>30</v>
      </c>
      <c r="F1" s="1" t="s">
        <v>11</v>
      </c>
      <c r="G1" s="1" t="s">
        <v>85</v>
      </c>
      <c r="H1" s="1"/>
      <c r="I1" s="1" t="s">
        <v>30</v>
      </c>
      <c r="J1" s="1" t="s">
        <v>11</v>
      </c>
      <c r="K1" s="1" t="s">
        <v>85</v>
      </c>
    </row>
    <row r="2" spans="1:11" x14ac:dyDescent="0.25">
      <c r="A2" s="10">
        <v>270184630</v>
      </c>
      <c r="B2" t="s">
        <v>12</v>
      </c>
      <c r="C2" s="1">
        <v>34140.577474760001</v>
      </c>
      <c r="D2" s="1"/>
      <c r="E2">
        <v>270233063</v>
      </c>
      <c r="F2" t="s">
        <v>12</v>
      </c>
      <c r="G2" s="1">
        <v>3884164.0495283701</v>
      </c>
      <c r="H2" s="1"/>
      <c r="I2">
        <v>270042404</v>
      </c>
      <c r="J2" t="s">
        <v>12</v>
      </c>
      <c r="K2" s="1">
        <v>12978461.128218399</v>
      </c>
    </row>
    <row r="3" spans="1:11" x14ac:dyDescent="0.25">
      <c r="A3" s="10">
        <v>270184630</v>
      </c>
      <c r="B3" t="s">
        <v>15</v>
      </c>
      <c r="C3" s="1">
        <v>0</v>
      </c>
      <c r="D3" s="1"/>
      <c r="E3">
        <v>270233063</v>
      </c>
      <c r="F3" t="s">
        <v>15</v>
      </c>
      <c r="G3" s="1">
        <v>0</v>
      </c>
      <c r="H3" s="1"/>
      <c r="I3">
        <v>270042404</v>
      </c>
      <c r="J3" t="s">
        <v>15</v>
      </c>
      <c r="K3" s="1">
        <v>0</v>
      </c>
    </row>
    <row r="4" spans="1:11" x14ac:dyDescent="0.25">
      <c r="A4" s="10">
        <v>270184630</v>
      </c>
      <c r="B4" t="s">
        <v>86</v>
      </c>
      <c r="C4" s="1">
        <v>0</v>
      </c>
      <c r="D4" s="1"/>
      <c r="E4">
        <v>270233063</v>
      </c>
      <c r="F4" t="s">
        <v>86</v>
      </c>
      <c r="G4" s="1">
        <v>0</v>
      </c>
      <c r="H4" s="1"/>
      <c r="I4">
        <v>270042404</v>
      </c>
      <c r="J4" t="s">
        <v>86</v>
      </c>
      <c r="K4" s="1">
        <v>0</v>
      </c>
    </row>
    <row r="5" spans="1:11" x14ac:dyDescent="0.25">
      <c r="A5" s="10">
        <v>270184630</v>
      </c>
      <c r="B5" t="s">
        <v>87</v>
      </c>
      <c r="C5" s="1">
        <v>0</v>
      </c>
      <c r="D5" s="1"/>
      <c r="E5">
        <v>270233063</v>
      </c>
      <c r="F5" t="s">
        <v>87</v>
      </c>
      <c r="G5" s="1">
        <v>0</v>
      </c>
      <c r="H5" s="1"/>
      <c r="I5">
        <v>270042404</v>
      </c>
      <c r="J5" t="s">
        <v>68</v>
      </c>
      <c r="K5" s="1">
        <v>0</v>
      </c>
    </row>
    <row r="6" spans="1:11" x14ac:dyDescent="0.25">
      <c r="A6" s="10">
        <v>270184630</v>
      </c>
      <c r="B6" t="s">
        <v>100</v>
      </c>
      <c r="C6" s="1">
        <v>0</v>
      </c>
      <c r="D6" s="1"/>
      <c r="E6">
        <v>270233063</v>
      </c>
      <c r="F6" t="s">
        <v>100</v>
      </c>
      <c r="G6" s="1">
        <v>0</v>
      </c>
      <c r="H6" s="1"/>
      <c r="I6">
        <v>270042404</v>
      </c>
      <c r="J6" t="s">
        <v>87</v>
      </c>
      <c r="K6" s="1">
        <v>0</v>
      </c>
    </row>
    <row r="7" spans="1:11" x14ac:dyDescent="0.25">
      <c r="A7" s="10">
        <v>270184630</v>
      </c>
      <c r="B7" t="s">
        <v>88</v>
      </c>
      <c r="C7" s="1">
        <v>0</v>
      </c>
      <c r="D7" s="1"/>
      <c r="E7">
        <v>270233063</v>
      </c>
      <c r="F7" t="s">
        <v>88</v>
      </c>
      <c r="G7" s="1">
        <v>0</v>
      </c>
      <c r="H7" s="1"/>
      <c r="I7">
        <v>270042404</v>
      </c>
      <c r="J7" t="s">
        <v>100</v>
      </c>
      <c r="K7" s="1">
        <v>0</v>
      </c>
    </row>
    <row r="8" spans="1:11" x14ac:dyDescent="0.25">
      <c r="A8" s="10">
        <v>270184630</v>
      </c>
      <c r="B8" t="s">
        <v>101</v>
      </c>
      <c r="C8" s="1">
        <v>0</v>
      </c>
      <c r="D8" s="1"/>
      <c r="E8">
        <v>270233063</v>
      </c>
      <c r="F8" t="s">
        <v>101</v>
      </c>
      <c r="G8" s="1">
        <v>0</v>
      </c>
      <c r="H8" s="1"/>
      <c r="I8">
        <v>270042404</v>
      </c>
      <c r="J8" t="s">
        <v>88</v>
      </c>
      <c r="K8" s="1">
        <v>0</v>
      </c>
    </row>
    <row r="9" spans="1:11" x14ac:dyDescent="0.25">
      <c r="A9" s="10">
        <v>270184630</v>
      </c>
      <c r="B9" t="s">
        <v>89</v>
      </c>
      <c r="C9" s="1">
        <v>0</v>
      </c>
      <c r="D9" s="1"/>
      <c r="E9">
        <v>270233063</v>
      </c>
      <c r="F9" t="s">
        <v>89</v>
      </c>
      <c r="G9" s="1">
        <v>0</v>
      </c>
      <c r="H9" s="1"/>
      <c r="I9">
        <v>270042404</v>
      </c>
      <c r="J9" t="s">
        <v>101</v>
      </c>
      <c r="K9" s="1">
        <v>0</v>
      </c>
    </row>
    <row r="10" spans="1:11" x14ac:dyDescent="0.25">
      <c r="A10" s="10">
        <v>270184630</v>
      </c>
      <c r="B10" t="s">
        <v>90</v>
      </c>
      <c r="C10" s="1">
        <v>0</v>
      </c>
      <c r="D10" s="1"/>
      <c r="E10">
        <v>270233063</v>
      </c>
      <c r="F10" t="s">
        <v>90</v>
      </c>
      <c r="G10" s="1">
        <v>0</v>
      </c>
      <c r="H10" s="1"/>
      <c r="I10">
        <v>270042404</v>
      </c>
      <c r="J10" t="s">
        <v>89</v>
      </c>
      <c r="K10" s="1">
        <v>0</v>
      </c>
    </row>
    <row r="11" spans="1:11" x14ac:dyDescent="0.25">
      <c r="A11" s="10">
        <v>270184630</v>
      </c>
      <c r="B11" t="s">
        <v>91</v>
      </c>
      <c r="C11" s="1">
        <v>0</v>
      </c>
      <c r="D11" s="1"/>
      <c r="E11">
        <v>270233063</v>
      </c>
      <c r="F11" t="s">
        <v>91</v>
      </c>
      <c r="G11" s="1">
        <v>798.86275867243296</v>
      </c>
      <c r="H11" s="1"/>
      <c r="I11">
        <v>270042404</v>
      </c>
      <c r="J11" t="s">
        <v>90</v>
      </c>
      <c r="K11" s="1">
        <v>0</v>
      </c>
    </row>
    <row r="12" spans="1:11" x14ac:dyDescent="0.25">
      <c r="A12" s="10">
        <v>270184630</v>
      </c>
      <c r="B12" t="s">
        <v>42</v>
      </c>
      <c r="C12" s="1">
        <v>0</v>
      </c>
      <c r="D12" s="1"/>
      <c r="E12">
        <v>270233063</v>
      </c>
      <c r="F12" t="s">
        <v>42</v>
      </c>
      <c r="G12" s="1">
        <v>0</v>
      </c>
      <c r="H12" s="1"/>
      <c r="I12">
        <v>270042404</v>
      </c>
      <c r="J12" t="s">
        <v>91</v>
      </c>
      <c r="K12" s="1">
        <v>748.67820676224096</v>
      </c>
    </row>
    <row r="13" spans="1:11" x14ac:dyDescent="0.25">
      <c r="A13" s="10">
        <v>270184630</v>
      </c>
      <c r="B13" t="s">
        <v>21</v>
      </c>
      <c r="C13" s="1">
        <v>0</v>
      </c>
      <c r="D13" s="1"/>
      <c r="E13">
        <v>270233063</v>
      </c>
      <c r="F13" t="s">
        <v>21</v>
      </c>
      <c r="G13" s="1">
        <v>0</v>
      </c>
      <c r="H13" s="1"/>
      <c r="I13">
        <v>270042404</v>
      </c>
      <c r="J13" t="s">
        <v>42</v>
      </c>
      <c r="K13" s="1">
        <v>0</v>
      </c>
    </row>
    <row r="14" spans="1:11" x14ac:dyDescent="0.25">
      <c r="A14" s="10">
        <v>270184630</v>
      </c>
      <c r="B14" t="s">
        <v>92</v>
      </c>
      <c r="C14" s="1">
        <v>0</v>
      </c>
      <c r="D14" s="1"/>
      <c r="E14">
        <v>270233063</v>
      </c>
      <c r="F14" t="s">
        <v>92</v>
      </c>
      <c r="G14" s="1">
        <v>0</v>
      </c>
      <c r="H14" s="1"/>
      <c r="I14">
        <v>270042404</v>
      </c>
      <c r="J14" t="s">
        <v>21</v>
      </c>
      <c r="K14" s="1">
        <v>164979.616588087</v>
      </c>
    </row>
    <row r="15" spans="1:11" x14ac:dyDescent="0.25">
      <c r="A15" s="10">
        <v>270184630</v>
      </c>
      <c r="B15" t="s">
        <v>93</v>
      </c>
      <c r="C15" s="1">
        <v>0</v>
      </c>
      <c r="D15" s="1"/>
      <c r="E15" s="10">
        <v>270233063</v>
      </c>
      <c r="F15" t="s">
        <v>67</v>
      </c>
      <c r="G15" s="1">
        <v>0</v>
      </c>
      <c r="H15" s="1"/>
      <c r="I15">
        <v>270042404</v>
      </c>
      <c r="J15" s="1" t="s">
        <v>92</v>
      </c>
      <c r="K15" s="1">
        <v>0</v>
      </c>
    </row>
    <row r="16" spans="1:11" x14ac:dyDescent="0.25">
      <c r="A16" s="10">
        <v>270184630</v>
      </c>
      <c r="B16" t="s">
        <v>64</v>
      </c>
      <c r="C16" s="1">
        <v>0</v>
      </c>
      <c r="D16" s="1"/>
      <c r="E16" s="10">
        <v>270233063</v>
      </c>
      <c r="F16" t="s">
        <v>93</v>
      </c>
      <c r="G16" s="1">
        <v>0</v>
      </c>
      <c r="H16" s="1"/>
      <c r="I16">
        <v>270042404</v>
      </c>
      <c r="J16" s="1" t="s">
        <v>67</v>
      </c>
      <c r="K16" s="1">
        <v>0</v>
      </c>
    </row>
    <row r="17" spans="1:12" x14ac:dyDescent="0.25">
      <c r="A17">
        <v>270184630</v>
      </c>
      <c r="B17" t="s">
        <v>94</v>
      </c>
      <c r="C17" s="1">
        <v>40066724.7025337</v>
      </c>
      <c r="D17" s="1"/>
      <c r="E17" s="10">
        <v>270233063</v>
      </c>
      <c r="F17" t="s">
        <v>64</v>
      </c>
      <c r="G17" s="1">
        <v>0</v>
      </c>
      <c r="H17" s="1"/>
      <c r="I17">
        <v>270042404</v>
      </c>
      <c r="J17" s="1" t="s">
        <v>93</v>
      </c>
      <c r="K17" s="1">
        <v>0</v>
      </c>
    </row>
    <row r="18" spans="1:12" x14ac:dyDescent="0.25">
      <c r="A18">
        <v>270184630</v>
      </c>
      <c r="B18" t="s">
        <v>45</v>
      </c>
      <c r="C18" s="1">
        <v>2.4852135999999998</v>
      </c>
      <c r="D18" s="1"/>
      <c r="E18" s="10">
        <v>270233063</v>
      </c>
      <c r="F18" t="s">
        <v>94</v>
      </c>
      <c r="G18" s="1">
        <v>115254893.501875</v>
      </c>
      <c r="H18" s="1"/>
      <c r="I18">
        <v>270042404</v>
      </c>
      <c r="J18" s="1" t="s">
        <v>64</v>
      </c>
      <c r="K18" s="1">
        <v>0</v>
      </c>
    </row>
    <row r="19" spans="1:12" x14ac:dyDescent="0.25">
      <c r="A19">
        <v>270184630</v>
      </c>
      <c r="B19" t="s">
        <v>95</v>
      </c>
      <c r="C19" s="1">
        <v>0</v>
      </c>
      <c r="D19" s="1"/>
      <c r="E19" s="10">
        <v>270233063</v>
      </c>
      <c r="F19" t="s">
        <v>45</v>
      </c>
      <c r="G19" s="1">
        <v>38.5208108</v>
      </c>
      <c r="H19" s="1"/>
      <c r="I19">
        <v>270042404</v>
      </c>
      <c r="J19" s="1" t="s">
        <v>94</v>
      </c>
      <c r="K19" s="1">
        <v>211261451.774174</v>
      </c>
    </row>
    <row r="20" spans="1:12" x14ac:dyDescent="0.25">
      <c r="C20" s="1"/>
      <c r="D20" s="1"/>
      <c r="E20" s="10">
        <v>270233063</v>
      </c>
      <c r="F20" t="s">
        <v>95</v>
      </c>
      <c r="G20" s="1">
        <v>0</v>
      </c>
      <c r="H20" s="1"/>
      <c r="I20">
        <v>270042404</v>
      </c>
      <c r="J20" s="1" t="s">
        <v>45</v>
      </c>
      <c r="K20" s="1">
        <v>123.0180732</v>
      </c>
    </row>
    <row r="21" spans="1:12" x14ac:dyDescent="0.25">
      <c r="C21" s="1"/>
      <c r="D21" s="1"/>
      <c r="E21" s="10"/>
      <c r="G21" s="1"/>
      <c r="H21" s="1"/>
      <c r="I21">
        <v>270042404</v>
      </c>
      <c r="J21" s="1" t="s">
        <v>95</v>
      </c>
      <c r="K21" s="1">
        <v>425010.624406608</v>
      </c>
    </row>
    <row r="22" spans="1:12" x14ac:dyDescent="0.25">
      <c r="C22" s="1"/>
      <c r="D22" s="1"/>
      <c r="E22" s="10"/>
      <c r="G22" s="1"/>
      <c r="H22" s="1"/>
      <c r="J22" s="1"/>
      <c r="K22" s="1"/>
    </row>
    <row r="23" spans="1:12" x14ac:dyDescent="0.25">
      <c r="C23" s="1"/>
      <c r="D23" s="1"/>
      <c r="E23" s="10"/>
      <c r="G23" s="1"/>
      <c r="H23" s="1"/>
      <c r="J23" s="1"/>
      <c r="K23" s="1"/>
    </row>
    <row r="24" spans="1:12" x14ac:dyDescent="0.25">
      <c r="C24" s="1"/>
      <c r="D24" s="1"/>
      <c r="E24" s="10"/>
      <c r="G24" s="1"/>
      <c r="H24" s="1"/>
      <c r="I24" s="1"/>
      <c r="J24" s="1"/>
      <c r="K24" s="1"/>
      <c r="L24" s="1"/>
    </row>
    <row r="25" spans="1:12" x14ac:dyDescent="0.25">
      <c r="C25" s="1">
        <f>SUM(C2:C24)</f>
        <v>40100867.765222058</v>
      </c>
      <c r="D25" s="1"/>
      <c r="E25" s="10"/>
      <c r="G25" s="1">
        <f>SUM(G2:G24)</f>
        <v>119139894.93497284</v>
      </c>
      <c r="H25" s="1"/>
      <c r="I25" s="1"/>
      <c r="J25" s="1"/>
      <c r="K25" s="1">
        <f>SUM(K2:K24)</f>
        <v>224830774.83966705</v>
      </c>
      <c r="L25" s="1"/>
    </row>
    <row r="26" spans="1:12" s="4" customFormat="1" x14ac:dyDescent="0.25">
      <c r="C26" s="12">
        <f>SUM(C28:C39)</f>
        <v>40100867.765222058</v>
      </c>
      <c r="D26" s="12"/>
      <c r="E26" s="13"/>
      <c r="G26" s="12">
        <f>SUM(G28:G39)</f>
        <v>119139894.93497284</v>
      </c>
      <c r="H26" s="12"/>
      <c r="I26" s="12"/>
      <c r="J26" s="12"/>
      <c r="K26" s="12">
        <f>SUM(K28:K39)</f>
        <v>224830774.83966705</v>
      </c>
      <c r="L26" s="12"/>
    </row>
    <row r="27" spans="1:12" s="4" customFormat="1" x14ac:dyDescent="0.25">
      <c r="A27" s="4" t="s">
        <v>97</v>
      </c>
      <c r="C27" s="12"/>
      <c r="D27" s="12"/>
      <c r="E27" s="12"/>
      <c r="F27" s="12"/>
      <c r="G27" s="12"/>
      <c r="H27" s="12"/>
      <c r="I27" s="12"/>
      <c r="J27" s="12"/>
      <c r="K27" s="12"/>
    </row>
    <row r="28" spans="1:12" s="4" customFormat="1" x14ac:dyDescent="0.25">
      <c r="B28" s="4" t="s">
        <v>12</v>
      </c>
      <c r="C28" s="12">
        <f>SUMIF(B$2:B$23,B28,C$2:C$23)</f>
        <v>34140.577474760001</v>
      </c>
      <c r="D28" s="12"/>
      <c r="E28" s="12"/>
      <c r="F28" s="4" t="s">
        <v>12</v>
      </c>
      <c r="G28" s="12">
        <f>SUMIF(F$2:F$23,F28,G$2:G$23)</f>
        <v>3884164.0495283701</v>
      </c>
      <c r="H28" s="12"/>
      <c r="I28" s="12"/>
      <c r="J28" s="4" t="s">
        <v>12</v>
      </c>
      <c r="K28" s="12">
        <f>SUMIF(J$2:J$22,J28,K$2:K$22)</f>
        <v>12978461.128218399</v>
      </c>
    </row>
    <row r="29" spans="1:12" s="4" customFormat="1" x14ac:dyDescent="0.25">
      <c r="B29" s="4" t="s">
        <v>21</v>
      </c>
      <c r="C29" s="12">
        <f>SUMIF(B$3:B$23,B29,C$3:C$23)</f>
        <v>0</v>
      </c>
      <c r="D29" s="12"/>
      <c r="E29" s="12"/>
      <c r="F29" s="4" t="s">
        <v>21</v>
      </c>
      <c r="G29" s="12">
        <f>SUMIF(F$3:F$23,F29,G$3:G$23)</f>
        <v>0</v>
      </c>
      <c r="H29" s="12"/>
      <c r="I29" s="12"/>
      <c r="J29" s="4" t="s">
        <v>21</v>
      </c>
      <c r="K29" s="12">
        <f>SUMIF(J$3:J$22,J29,K$3:K$22)</f>
        <v>164979.616588087</v>
      </c>
    </row>
    <row r="30" spans="1:12" s="4" customFormat="1" x14ac:dyDescent="0.25">
      <c r="B30" s="4" t="s">
        <v>64</v>
      </c>
      <c r="C30" s="12">
        <f>SUMIF(B$3:B$23,B30,C$3:C$23)</f>
        <v>0</v>
      </c>
      <c r="D30" s="12"/>
      <c r="E30" s="12"/>
      <c r="F30" s="4" t="s">
        <v>64</v>
      </c>
      <c r="G30" s="12">
        <f>SUMIF(F$3:F$23,F30,G$3:G$23)</f>
        <v>0</v>
      </c>
      <c r="H30" s="12"/>
      <c r="I30" s="12"/>
      <c r="J30" s="4" t="s">
        <v>64</v>
      </c>
      <c r="K30" s="12">
        <f>SUMIF(J$3:J$22,J30,K$3:K$22)</f>
        <v>0</v>
      </c>
    </row>
    <row r="31" spans="1:12" s="4" customFormat="1" x14ac:dyDescent="0.25">
      <c r="B31" s="4" t="s">
        <v>93</v>
      </c>
      <c r="C31" s="12">
        <f>SUMIF(B$3:B$23,B31,C$3:C$23)</f>
        <v>0</v>
      </c>
      <c r="D31" s="12"/>
      <c r="E31" s="12"/>
      <c r="F31" s="4" t="s">
        <v>93</v>
      </c>
      <c r="G31" s="12">
        <f>SUMIF(F$3:F$23,F31,G$3:G$23)</f>
        <v>0</v>
      </c>
      <c r="H31" s="12"/>
      <c r="I31" s="12"/>
      <c r="J31" s="4" t="s">
        <v>93</v>
      </c>
      <c r="K31" s="12">
        <f>SUMIF(J$3:J$22,J31,K$3:K$22)</f>
        <v>0</v>
      </c>
    </row>
    <row r="32" spans="1:12" s="4" customFormat="1" x14ac:dyDescent="0.25">
      <c r="B32" s="4" t="s">
        <v>65</v>
      </c>
      <c r="C32" s="12">
        <f>SUMIF(B$3:B$23,B32,C$3:C$23)</f>
        <v>0</v>
      </c>
      <c r="D32" s="12"/>
      <c r="E32" s="12"/>
      <c r="F32" s="4" t="s">
        <v>65</v>
      </c>
      <c r="G32" s="12">
        <f>SUMIF(F$3:F$23,F32,G$3:G$23)</f>
        <v>0</v>
      </c>
      <c r="H32" s="12"/>
      <c r="I32" s="12"/>
      <c r="J32" s="4" t="s">
        <v>65</v>
      </c>
      <c r="K32" s="12">
        <f>SUMIF(J$3:J$22,J32,K$3:K$22)</f>
        <v>0</v>
      </c>
    </row>
    <row r="33" spans="2:11" s="4" customFormat="1" x14ac:dyDescent="0.25">
      <c r="B33" s="4" t="s">
        <v>91</v>
      </c>
      <c r="C33" s="12">
        <f>SUMIF(B$3:B$23,B33,C$3:C$23)</f>
        <v>0</v>
      </c>
      <c r="D33" s="12"/>
      <c r="E33" s="12"/>
      <c r="F33" s="4" t="s">
        <v>91</v>
      </c>
      <c r="G33" s="12">
        <f>SUMIF(F$3:F$23,F33,G$3:G$23)</f>
        <v>798.86275867243296</v>
      </c>
      <c r="H33" s="12"/>
      <c r="I33" s="12"/>
      <c r="J33" s="4" t="s">
        <v>91</v>
      </c>
      <c r="K33" s="12">
        <f>SUMIF(J$3:J$22,J33,K$3:K$22)</f>
        <v>748.67820676224096</v>
      </c>
    </row>
    <row r="34" spans="2:11" s="4" customFormat="1" x14ac:dyDescent="0.25">
      <c r="B34" s="4" t="s">
        <v>94</v>
      </c>
      <c r="C34" s="12">
        <f>SUMIF(B$2:B$23,B34,C$2:C$23)+SUMIF(B$3:B$23,"weather",C$3:C$23)</f>
        <v>40066724.7025337</v>
      </c>
      <c r="D34" s="12"/>
      <c r="E34" s="12"/>
      <c r="F34" s="4" t="s">
        <v>94</v>
      </c>
      <c r="G34" s="12">
        <f>SUMIF(F$2:F$23,F34,G$2:G$23)+SUMIF(F$3:F$23,"weather",G$3:G$23)</f>
        <v>115254893.501875</v>
      </c>
      <c r="H34" s="12"/>
      <c r="I34" s="12"/>
      <c r="J34" s="4" t="s">
        <v>94</v>
      </c>
      <c r="K34" s="12">
        <f>SUMIF(J$2:J$22,J34,K$2:K$22)+SUMIF(J$3:J$22,"weather",K$3:K$22)</f>
        <v>211261451.774174</v>
      </c>
    </row>
    <row r="35" spans="2:11" s="4" customFormat="1" x14ac:dyDescent="0.25">
      <c r="B35" s="4" t="s">
        <v>98</v>
      </c>
      <c r="C35" s="12">
        <f>SUMIF(B$2:B$24,B35,C$2:C$24)+SUMIF(B$2:B$24,"London fac",C$2:C$24)+SUMIF(B$2:B$24,"LatAm Fac",C$2:C$24)+SUMIF(B$2:B$24,"US Fac",C$2:C$24)+SUMIF(B$2:B$24,"Canada Fac",C$2:C$24)+SUMIF(B$2:B$24,"Singapore Fac",C$2:C$24)</f>
        <v>2.4852135999999998</v>
      </c>
      <c r="D35" s="12"/>
      <c r="E35" s="12"/>
      <c r="F35" s="4" t="s">
        <v>98</v>
      </c>
      <c r="G35" s="12">
        <f>SUMIF(F$2:F$24,F35,G$2:G$24)+SUMIF(F$2:F$24,"London fac",G$2:G$24)+SUMIF(F$2:F$24,"LatAm Fac",G$2:G$24)+SUMIF(F$2:F$24,"US Fac",G$2:G$24)+SUMIF(F$2:F$24,"Canada Fac",G$2:G$24)+SUMIF(F$2:F$24,"Singapore Fac",G$2:G$24)</f>
        <v>38.5208108</v>
      </c>
      <c r="H35" s="12"/>
      <c r="I35" s="12"/>
      <c r="J35" s="4" t="s">
        <v>98</v>
      </c>
      <c r="K35" s="12">
        <f>SUMIF(J$2:J$24,J35,K$2:K$24)+SUMIF(J$2:J$24,"London fac",K$2:K$24)+SUMIF(J$2:J$24,"LatAm Fac",K$2:K$24)+SUMIF(J$2:J$24,"US Fac",K$2:K$24)+SUMIF(J$2:J$24,"Canada Fac",K$2:K$24)+SUMIF(J$2:J$24,"Singapore Fac",K$2:K$24)</f>
        <v>123.0180732</v>
      </c>
    </row>
    <row r="36" spans="2:11" s="4" customFormat="1" x14ac:dyDescent="0.25">
      <c r="B36" s="4" t="s">
        <v>99</v>
      </c>
      <c r="C36" s="12">
        <f>SUMIF(B$3:B$23,"Zurich",C$3:C$23)+SUMIF(B$3:B$23,"Brussels",C$3:C$23)</f>
        <v>0</v>
      </c>
      <c r="D36" s="12"/>
      <c r="E36" s="12"/>
      <c r="F36" s="4" t="s">
        <v>99</v>
      </c>
      <c r="G36" s="12">
        <f>SUMIF(F$3:F$23,"Zurich",G$3:G$23)+SUMIF(F$3:F$23,"Brussels",G$3:G$23)</f>
        <v>0</v>
      </c>
      <c r="H36" s="12"/>
      <c r="I36" s="12"/>
      <c r="J36" s="4" t="s">
        <v>99</v>
      </c>
      <c r="K36" s="12">
        <f>SUMIF(J$3:J$22,"Zurich",K$3:K$22)+SUMIF(J$3:J$22,"Brussels",K$3:K$22)</f>
        <v>425010.624406608</v>
      </c>
    </row>
    <row r="37" spans="2:11" s="4" customFormat="1" x14ac:dyDescent="0.25">
      <c r="B37" s="4" t="s">
        <v>15</v>
      </c>
      <c r="C37" s="12">
        <f>SUMIF(B$3:B$23,B37,C$3:C$23)</f>
        <v>0</v>
      </c>
      <c r="D37" s="12"/>
      <c r="E37" s="12"/>
      <c r="F37" s="4" t="s">
        <v>15</v>
      </c>
      <c r="G37" s="12">
        <f>SUMIF(F$3:F$23,F37,G$3:G$23)</f>
        <v>0</v>
      </c>
      <c r="H37" s="12"/>
      <c r="I37" s="12"/>
      <c r="J37" s="4" t="s">
        <v>15</v>
      </c>
      <c r="K37" s="12">
        <f>SUMIF(J$3:J$22,J37,K$3:K$22)</f>
        <v>0</v>
      </c>
    </row>
    <row r="38" spans="2:11" s="4" customFormat="1" x14ac:dyDescent="0.25">
      <c r="B38" s="4" t="s">
        <v>87</v>
      </c>
      <c r="C38" s="12">
        <f>SUMIF(B$3:B$23,B38,C$3:C$23)+SUMIF(B$3:B$23,"EIG EIID",C$3:C$23)+SUMIF(B$3:B$23,"EIG Syndicate",C$3:C$23)+SUMIF(B$3:B$23,"EIG Singapore",C$3:C$23)</f>
        <v>0</v>
      </c>
      <c r="D38" s="12"/>
      <c r="E38" s="12"/>
      <c r="F38" s="4" t="s">
        <v>87</v>
      </c>
      <c r="G38" s="12">
        <f>SUMIF(F$3:F$23,F38,G$3:G$23)+SUMIF(F$3:F$23,"EIG EIID",G$3:G$23)+SUMIF(F$3:F$23,"EIG Syndicate",G$3:G$23)+SUMIF(F$3:F$23,"EIG Singapore",G$3:G$23)</f>
        <v>0</v>
      </c>
      <c r="H38" s="12"/>
      <c r="I38" s="12"/>
      <c r="J38" s="4" t="s">
        <v>87</v>
      </c>
      <c r="K38" s="12">
        <f>SUMIF(J$3:J$22,J38,K$3:K$22)+SUMIF(J$3:J$22,"EIG EIID",K$3:K$22)+SUMIF(J$3:J$22,"EIG Syndicate",K$3:K$22)+SUMIF(J$3:J$22,"EIG Singapore",K$3:K$22)</f>
        <v>0</v>
      </c>
    </row>
    <row r="39" spans="2:11" s="4" customFormat="1" x14ac:dyDescent="0.25">
      <c r="B39" s="4" t="s">
        <v>67</v>
      </c>
      <c r="C39" s="12">
        <f>SUMIF(B$3:B$23,B39,C$3:C$23)</f>
        <v>0</v>
      </c>
      <c r="D39" s="12"/>
      <c r="E39" s="12"/>
      <c r="F39" s="4" t="s">
        <v>67</v>
      </c>
      <c r="G39" s="12">
        <f>SUMIF(F$3:F$23,F39,G$3:G$23)</f>
        <v>0</v>
      </c>
      <c r="H39" s="12"/>
      <c r="I39" s="12"/>
      <c r="J39" s="4" t="s">
        <v>67</v>
      </c>
      <c r="K39" s="12">
        <f>SUMIF(J$3:J$22,J39,K$3:K$22)</f>
        <v>0</v>
      </c>
    </row>
    <row r="40" spans="2:11" s="4" customFormat="1" x14ac:dyDescent="0.25">
      <c r="C40" s="12">
        <f t="shared" ref="C40" si="0">SUMIF(B$2:B$21,B40,C$2:C$21)</f>
        <v>0</v>
      </c>
      <c r="G40" s="12">
        <f>SUMIF(F$2:F$23,F40,G$2:G$23)</f>
        <v>0</v>
      </c>
      <c r="K40" s="12">
        <f>SUMIF(J$2:J$22,J40,K$2:K$22)</f>
        <v>0</v>
      </c>
    </row>
    <row r="41" spans="2:11" s="4" customFormat="1" x14ac:dyDescent="0.25">
      <c r="B41" s="4" t="s">
        <v>103</v>
      </c>
      <c r="C41" s="12">
        <f>SUMIF(B$2:B$21,B41,C$2:C$21)+SUMIF(B$2:B$21,"EI Recovery",C$2:C$21)+SUMIF(B$2:B$21,"EIG Recovery",C$2:C$21)</f>
        <v>0</v>
      </c>
      <c r="F41" s="4" t="s">
        <v>103</v>
      </c>
      <c r="G41" s="12">
        <f>SUMIF(F$2:F$21,F41,G$2:G$21)+SUMIF(F$2:F$21,"EI Recovery",G$2:G$21)+SUMIF(F$2:F$21,"EIG Recovery",G$2:G$21)</f>
        <v>0</v>
      </c>
      <c r="J41" s="4" t="s">
        <v>103</v>
      </c>
      <c r="K41" s="12">
        <f>SUMIF(J$2:J$18,J41,K$2:K$18)+SUMIF(J$2:J$18,"EI Recovery",K$2:K$18)+SUMIF(J$2:J$18,"EIG Recovery",K$2:K$18)</f>
        <v>0</v>
      </c>
    </row>
    <row r="42" spans="2:11" s="4" customFormat="1" x14ac:dyDescent="0.25"/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4B143-D996-404F-8E1B-8773989042D0}">
  <sheetPr codeName="Sheet8"/>
  <dimension ref="A1:AC1010"/>
  <sheetViews>
    <sheetView zoomScale="94" zoomScaleNormal="94" workbookViewId="0">
      <selection activeCell="B9" sqref="B9"/>
    </sheetView>
  </sheetViews>
  <sheetFormatPr defaultRowHeight="15" x14ac:dyDescent="0.25"/>
  <cols>
    <col min="1" max="1" width="17.85546875" bestFit="1" customWidth="1"/>
    <col min="2" max="2" width="17.5703125" bestFit="1" customWidth="1"/>
    <col min="3" max="3" width="2.42578125" customWidth="1"/>
    <col min="4" max="4" width="12.140625" style="78" customWidth="1"/>
    <col min="5" max="5" width="12.5703125" style="78" customWidth="1"/>
    <col min="6" max="6" width="16.42578125" style="83" customWidth="1"/>
    <col min="7" max="7" width="52.7109375" style="83" bestFit="1" customWidth="1"/>
    <col min="8" max="8" width="12.7109375" style="83" customWidth="1"/>
    <col min="9" max="9" width="13.5703125" style="83" customWidth="1"/>
    <col min="10" max="10" width="16.85546875" style="83" customWidth="1"/>
    <col min="11" max="11" width="16" style="83" bestFit="1" customWidth="1"/>
    <col min="12" max="12" width="17.140625" style="83" bestFit="1" customWidth="1"/>
    <col min="13" max="13" width="25.5703125" style="83" customWidth="1"/>
    <col min="14" max="14" width="10.28515625" style="83" customWidth="1"/>
    <col min="15" max="16" width="9.42578125" style="83" customWidth="1"/>
    <col min="17" max="17" width="12.85546875" style="83" bestFit="1" customWidth="1"/>
    <col min="18" max="18" width="15.7109375" style="83" customWidth="1"/>
    <col min="19" max="19" width="20" style="83" customWidth="1"/>
    <col min="20" max="20" width="19.140625" style="83" customWidth="1"/>
    <col min="21" max="21" width="18.42578125" style="88" customWidth="1"/>
    <col min="22" max="22" width="12.5703125" style="83" bestFit="1" customWidth="1"/>
    <col min="23" max="24" width="24" style="83" customWidth="1"/>
    <col min="25" max="25" width="20.28515625" style="78" bestFit="1" customWidth="1"/>
    <col min="27" max="27" width="13.7109375" bestFit="1" customWidth="1"/>
  </cols>
  <sheetData>
    <row r="1" spans="1:25" ht="15.75" thickBot="1" x14ac:dyDescent="0.3">
      <c r="A1" s="115" t="s">
        <v>104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</row>
    <row r="2" spans="1:25" x14ac:dyDescent="0.25">
      <c r="A2" s="76" t="s">
        <v>105</v>
      </c>
      <c r="B2" s="77" t="s">
        <v>798</v>
      </c>
      <c r="D2" s="82" t="s">
        <v>31</v>
      </c>
      <c r="E2" s="82" t="s">
        <v>30</v>
      </c>
      <c r="F2" s="89" t="s">
        <v>11</v>
      </c>
      <c r="G2" s="89" t="s">
        <v>32</v>
      </c>
      <c r="H2" s="89" t="s">
        <v>33</v>
      </c>
      <c r="I2" s="89" t="s">
        <v>34</v>
      </c>
      <c r="J2" s="89" t="s">
        <v>35</v>
      </c>
      <c r="K2" s="89" t="s">
        <v>36</v>
      </c>
      <c r="L2" s="89" t="s">
        <v>37</v>
      </c>
      <c r="M2" s="89" t="s">
        <v>38</v>
      </c>
      <c r="N2" s="89" t="s">
        <v>39</v>
      </c>
      <c r="O2" s="89" t="s">
        <v>40</v>
      </c>
      <c r="P2" s="89" t="s">
        <v>41</v>
      </c>
      <c r="Q2" s="89" t="s">
        <v>106</v>
      </c>
      <c r="R2" s="89" t="s">
        <v>107</v>
      </c>
      <c r="S2" s="89" t="s">
        <v>108</v>
      </c>
      <c r="T2" s="89" t="s">
        <v>109</v>
      </c>
      <c r="U2" s="90" t="s">
        <v>110</v>
      </c>
      <c r="V2" s="89" t="s">
        <v>111</v>
      </c>
      <c r="W2" s="89" t="s">
        <v>112</v>
      </c>
      <c r="X2" s="82" t="s">
        <v>113</v>
      </c>
      <c r="Y2" s="97" t="s">
        <v>114</v>
      </c>
    </row>
    <row r="3" spans="1:25" x14ac:dyDescent="0.25">
      <c r="A3" s="79" t="s">
        <v>115</v>
      </c>
      <c r="B3" s="80" t="s">
        <v>799</v>
      </c>
      <c r="D3" s="78">
        <v>448029</v>
      </c>
      <c r="E3" s="78">
        <v>280014790</v>
      </c>
      <c r="F3" s="83" t="s">
        <v>94</v>
      </c>
      <c r="G3" s="83" t="s">
        <v>395</v>
      </c>
      <c r="H3" s="83" t="s">
        <v>16</v>
      </c>
      <c r="I3" s="83" t="s">
        <v>503</v>
      </c>
      <c r="J3" s="83">
        <v>2370062.3813999998</v>
      </c>
      <c r="K3" s="83">
        <v>67716068.040000007</v>
      </c>
      <c r="L3" s="83">
        <v>0</v>
      </c>
      <c r="M3" s="83">
        <v>0</v>
      </c>
      <c r="N3" s="83" t="s">
        <v>504</v>
      </c>
      <c r="O3" s="83">
        <v>0.185</v>
      </c>
      <c r="P3" s="83">
        <v>3.5000000000000003E-2</v>
      </c>
      <c r="Q3" s="83">
        <v>4461.9599500000004</v>
      </c>
      <c r="R3" s="83">
        <v>4461.9599500000004</v>
      </c>
      <c r="S3" s="83">
        <v>4461.9599500000004</v>
      </c>
      <c r="T3" s="83">
        <v>0</v>
      </c>
      <c r="U3" s="88" t="s">
        <v>122</v>
      </c>
      <c r="V3" s="83" t="s">
        <v>836</v>
      </c>
      <c r="W3" s="83">
        <v>4781.60363426</v>
      </c>
      <c r="X3" s="83" t="s">
        <v>116</v>
      </c>
      <c r="Y3" s="83" t="str">
        <f>VLOOKUP(LossTable[[#This Row],[Department]],$A$15:$B$40,2,FALSE)</f>
        <v>TP</v>
      </c>
    </row>
    <row r="4" spans="1:25" x14ac:dyDescent="0.25">
      <c r="A4" s="79" t="s">
        <v>117</v>
      </c>
      <c r="B4" s="81" t="s">
        <v>801</v>
      </c>
      <c r="D4" s="78">
        <v>420186</v>
      </c>
      <c r="E4" s="78">
        <v>280014790</v>
      </c>
      <c r="F4" s="83" t="s">
        <v>94</v>
      </c>
      <c r="G4" s="83" t="s">
        <v>170</v>
      </c>
      <c r="H4" s="83" t="s">
        <v>14</v>
      </c>
      <c r="I4" s="83" t="s">
        <v>171</v>
      </c>
      <c r="J4" s="83">
        <v>2250000</v>
      </c>
      <c r="K4" s="83">
        <v>50000000</v>
      </c>
      <c r="L4" s="83">
        <v>0</v>
      </c>
      <c r="M4" s="83">
        <v>0</v>
      </c>
      <c r="N4" s="83" t="s">
        <v>166</v>
      </c>
      <c r="O4" s="83">
        <v>1.3646039999999999</v>
      </c>
      <c r="P4" s="83">
        <v>4.4999999999999998E-2</v>
      </c>
      <c r="Q4" s="83">
        <v>52290.507599999997</v>
      </c>
      <c r="R4" s="83">
        <v>52290.507599999997</v>
      </c>
      <c r="S4" s="83">
        <v>52290.507599999997</v>
      </c>
      <c r="T4" s="83">
        <v>0</v>
      </c>
      <c r="U4" s="88" t="s">
        <v>122</v>
      </c>
      <c r="V4" s="83" t="s">
        <v>836</v>
      </c>
      <c r="W4" s="83">
        <v>4781.60363426</v>
      </c>
      <c r="X4" s="83" t="s">
        <v>116</v>
      </c>
      <c r="Y4" s="83" t="str">
        <f>VLOOKUP(LossTable[[#This Row],[Department]],$A$15:$B$40,2,FALSE)</f>
        <v>TP</v>
      </c>
    </row>
    <row r="5" spans="1:25" x14ac:dyDescent="0.25">
      <c r="A5" s="79" t="s">
        <v>120</v>
      </c>
      <c r="B5" s="81" t="s">
        <v>800</v>
      </c>
      <c r="D5" s="78">
        <v>445707</v>
      </c>
      <c r="E5" s="78">
        <v>280014790</v>
      </c>
      <c r="F5" s="83" t="s">
        <v>94</v>
      </c>
      <c r="G5" s="1" t="s">
        <v>430</v>
      </c>
      <c r="H5" s="1" t="s">
        <v>16</v>
      </c>
      <c r="I5" s="1" t="s">
        <v>431</v>
      </c>
      <c r="J5" s="1">
        <v>2250000</v>
      </c>
      <c r="K5" s="1">
        <v>50000000</v>
      </c>
      <c r="L5" s="1">
        <v>0</v>
      </c>
      <c r="M5" s="1">
        <v>0</v>
      </c>
      <c r="N5" s="1" t="s">
        <v>432</v>
      </c>
      <c r="O5" s="1">
        <v>6.2E-2</v>
      </c>
      <c r="P5" s="1">
        <v>4.4999999999999998E-2</v>
      </c>
      <c r="Q5" s="83">
        <v>135.46125000000001</v>
      </c>
      <c r="R5" s="83">
        <v>135.46125000000001</v>
      </c>
      <c r="S5" s="1">
        <v>135.46125000000001</v>
      </c>
      <c r="T5" s="83">
        <v>0</v>
      </c>
      <c r="U5" s="1" t="s">
        <v>122</v>
      </c>
      <c r="V5" s="1" t="s">
        <v>836</v>
      </c>
      <c r="W5" s="1">
        <v>4781.60363426</v>
      </c>
      <c r="X5" s="1"/>
      <c r="Y5" s="83" t="str">
        <f>VLOOKUP(LossTable[[#This Row],[Department]],$A$15:$B$40,2,FALSE)</f>
        <v>TP</v>
      </c>
    </row>
    <row r="6" spans="1:25" x14ac:dyDescent="0.25">
      <c r="A6" s="117"/>
      <c r="B6" s="117"/>
      <c r="D6" s="78">
        <v>456611</v>
      </c>
      <c r="E6" s="78">
        <v>280066590</v>
      </c>
      <c r="F6" s="83" t="s">
        <v>94</v>
      </c>
      <c r="G6" s="1" t="s">
        <v>580</v>
      </c>
      <c r="H6" s="1" t="s">
        <v>16</v>
      </c>
      <c r="I6" s="1" t="s">
        <v>581</v>
      </c>
      <c r="J6" s="1">
        <v>900000</v>
      </c>
      <c r="K6" s="1">
        <v>45000000</v>
      </c>
      <c r="L6" s="1">
        <v>0</v>
      </c>
      <c r="M6" s="1">
        <v>0</v>
      </c>
      <c r="N6" s="1" t="s">
        <v>122</v>
      </c>
      <c r="O6" s="1">
        <v>0.16</v>
      </c>
      <c r="P6" s="1">
        <v>0.02</v>
      </c>
      <c r="Q6" s="83">
        <v>463.70420000000001</v>
      </c>
      <c r="R6" s="83">
        <v>463.70420000000001</v>
      </c>
      <c r="S6" s="1">
        <v>463.70420000000001</v>
      </c>
      <c r="T6" s="83">
        <v>0</v>
      </c>
      <c r="U6" s="1" t="s">
        <v>122</v>
      </c>
      <c r="V6" s="1" t="s">
        <v>837</v>
      </c>
      <c r="W6" s="1">
        <v>3280.0940773799998</v>
      </c>
      <c r="X6" s="1"/>
      <c r="Y6" s="83" t="str">
        <f>VLOOKUP(LossTable[[#This Row],[Department]],$A$15:$B$40,2,FALSE)</f>
        <v>TP</v>
      </c>
    </row>
    <row r="7" spans="1:25" x14ac:dyDescent="0.25">
      <c r="A7" s="79" t="s">
        <v>125</v>
      </c>
      <c r="B7" s="79" t="s">
        <v>126</v>
      </c>
      <c r="D7" s="78">
        <v>471725</v>
      </c>
      <c r="E7" s="78">
        <v>280014790</v>
      </c>
      <c r="F7" s="83" t="s">
        <v>94</v>
      </c>
      <c r="G7" s="1" t="s">
        <v>663</v>
      </c>
      <c r="H7" s="1" t="s">
        <v>16</v>
      </c>
      <c r="I7" s="1" t="s">
        <v>664</v>
      </c>
      <c r="J7" s="1">
        <v>1000000</v>
      </c>
      <c r="K7" s="1">
        <v>50000000</v>
      </c>
      <c r="L7" s="1">
        <v>0</v>
      </c>
      <c r="M7" s="1">
        <v>0</v>
      </c>
      <c r="N7" s="1" t="s">
        <v>122</v>
      </c>
      <c r="O7" s="1">
        <v>0.22163552</v>
      </c>
      <c r="P7" s="1">
        <v>0.02</v>
      </c>
      <c r="Q7" s="83">
        <v>19.8306</v>
      </c>
      <c r="R7" s="83">
        <v>19.8306</v>
      </c>
      <c r="S7" s="1">
        <v>19.8306</v>
      </c>
      <c r="T7" s="83">
        <v>0</v>
      </c>
      <c r="U7" s="1" t="s">
        <v>122</v>
      </c>
      <c r="V7" s="1" t="s">
        <v>836</v>
      </c>
      <c r="W7" s="1">
        <v>4781.60363426</v>
      </c>
      <c r="X7" s="1"/>
      <c r="Y7" s="83" t="str">
        <f>VLOOKUP(LossTable[[#This Row],[Department]],$A$15:$B$40,2,FALSE)</f>
        <v>TP</v>
      </c>
    </row>
    <row r="8" spans="1:25" x14ac:dyDescent="0.25">
      <c r="A8" s="79" t="s">
        <v>53</v>
      </c>
      <c r="B8" s="91">
        <v>280066590</v>
      </c>
      <c r="D8" s="78">
        <v>108</v>
      </c>
      <c r="E8" s="78">
        <v>280014790</v>
      </c>
      <c r="F8" s="83" t="s">
        <v>86</v>
      </c>
      <c r="G8" s="1" t="s">
        <v>217</v>
      </c>
      <c r="H8" s="1" t="s">
        <v>16</v>
      </c>
      <c r="I8" s="1" t="s">
        <v>217</v>
      </c>
      <c r="J8" s="1">
        <v>27010805.971677601</v>
      </c>
      <c r="K8" s="1">
        <v>0</v>
      </c>
      <c r="L8" s="1">
        <v>0</v>
      </c>
      <c r="M8" s="1">
        <v>0</v>
      </c>
      <c r="N8" s="1" t="s">
        <v>44</v>
      </c>
      <c r="O8" s="1">
        <v>0</v>
      </c>
      <c r="P8" s="1">
        <v>1</v>
      </c>
      <c r="Q8" s="83">
        <v>203.6251</v>
      </c>
      <c r="R8" s="83">
        <v>203.6251</v>
      </c>
      <c r="S8" s="1">
        <v>203.6251</v>
      </c>
      <c r="T8" s="83">
        <v>0</v>
      </c>
      <c r="U8" s="1" t="s">
        <v>122</v>
      </c>
      <c r="V8" s="1" t="s">
        <v>836</v>
      </c>
      <c r="W8" s="1">
        <v>4781.60363426</v>
      </c>
      <c r="X8" s="1"/>
      <c r="Y8" s="83" t="str">
        <f>VLOOKUP(LossTable[[#This Row],[Department]],$A$15:$B$40,2,FALSE)</f>
        <v>FP</v>
      </c>
    </row>
    <row r="9" spans="1:25" x14ac:dyDescent="0.25">
      <c r="A9" s="79" t="s">
        <v>54</v>
      </c>
      <c r="B9">
        <v>280037801</v>
      </c>
      <c r="D9" s="78">
        <v>474075</v>
      </c>
      <c r="E9" s="78">
        <v>280037801</v>
      </c>
      <c r="F9" s="83" t="s">
        <v>94</v>
      </c>
      <c r="G9" s="1" t="s">
        <v>648</v>
      </c>
      <c r="H9" s="1" t="s">
        <v>16</v>
      </c>
      <c r="I9" s="1" t="s">
        <v>822</v>
      </c>
      <c r="J9" s="1">
        <v>2250000</v>
      </c>
      <c r="K9" s="1">
        <v>75000000</v>
      </c>
      <c r="L9" s="1">
        <v>0</v>
      </c>
      <c r="M9" s="1">
        <v>0</v>
      </c>
      <c r="N9" s="1" t="s">
        <v>122</v>
      </c>
      <c r="O9" s="1">
        <v>6.8000000000000005E-2</v>
      </c>
      <c r="P9" s="1">
        <v>0.03</v>
      </c>
      <c r="Q9" s="83">
        <v>4.8996000000000004</v>
      </c>
      <c r="R9" s="83">
        <v>4.8996000000000004</v>
      </c>
      <c r="S9" s="1">
        <v>4.8996000000000004</v>
      </c>
      <c r="T9" s="83">
        <v>0</v>
      </c>
      <c r="U9" s="1" t="s">
        <v>122</v>
      </c>
      <c r="V9" s="1" t="s">
        <v>852</v>
      </c>
      <c r="W9" s="1">
        <v>3949.1976460300002</v>
      </c>
      <c r="X9" s="1"/>
      <c r="Y9" s="83" t="str">
        <f>VLOOKUP(LossTable[[#This Row],[Department]],$A$15:$B$40,2,FALSE)</f>
        <v>TP</v>
      </c>
    </row>
    <row r="10" spans="1:25" x14ac:dyDescent="0.25">
      <c r="A10" s="79" t="s">
        <v>55</v>
      </c>
      <c r="B10" s="80">
        <v>280014790</v>
      </c>
      <c r="D10" s="78">
        <v>471410</v>
      </c>
      <c r="E10" s="78">
        <v>280066590</v>
      </c>
      <c r="F10" s="83" t="s">
        <v>45</v>
      </c>
      <c r="G10" s="1" t="s">
        <v>675</v>
      </c>
      <c r="H10" s="1" t="s">
        <v>14</v>
      </c>
      <c r="I10" s="1" t="s">
        <v>676</v>
      </c>
      <c r="J10" s="1">
        <v>71136509.881500006</v>
      </c>
      <c r="K10" s="1">
        <v>2371216996.0500002</v>
      </c>
      <c r="L10" s="1">
        <v>0</v>
      </c>
      <c r="M10" s="1">
        <v>0</v>
      </c>
      <c r="N10" s="1" t="s">
        <v>14</v>
      </c>
      <c r="O10" s="1">
        <v>0.12172348</v>
      </c>
      <c r="P10" s="1">
        <v>0.03</v>
      </c>
      <c r="Q10" s="83">
        <v>27600.109199999999</v>
      </c>
      <c r="R10" s="83">
        <v>27600.109199999999</v>
      </c>
      <c r="S10" s="1">
        <v>27600.109199999999</v>
      </c>
      <c r="T10" s="83">
        <v>0</v>
      </c>
      <c r="U10" s="1" t="s">
        <v>122</v>
      </c>
      <c r="V10" s="1" t="s">
        <v>837</v>
      </c>
      <c r="W10" s="1">
        <v>3280.0940773799998</v>
      </c>
      <c r="X10" s="1"/>
      <c r="Y10" s="83" t="str">
        <f>VLOOKUP(LossTable[[#This Row],[Department]],$A$15:$B$40,2,FALSE)</f>
        <v>FP</v>
      </c>
    </row>
    <row r="11" spans="1:25" x14ac:dyDescent="0.25">
      <c r="A11" s="118"/>
      <c r="B11" s="118"/>
      <c r="D11" s="78">
        <v>467463</v>
      </c>
      <c r="E11" s="78">
        <v>280037801</v>
      </c>
      <c r="F11" s="83" t="s">
        <v>12</v>
      </c>
      <c r="G11" s="1" t="s">
        <v>625</v>
      </c>
      <c r="H11" s="1" t="s">
        <v>14</v>
      </c>
      <c r="I11" s="1" t="s">
        <v>626</v>
      </c>
      <c r="J11" s="1">
        <v>52500000</v>
      </c>
      <c r="K11" s="1">
        <v>1050000000</v>
      </c>
      <c r="L11" s="1">
        <v>0</v>
      </c>
      <c r="M11" s="1">
        <v>0</v>
      </c>
      <c r="N11" s="1" t="s">
        <v>122</v>
      </c>
      <c r="O11" s="1">
        <v>0.51428571000000001</v>
      </c>
      <c r="P11" s="1">
        <v>0.05</v>
      </c>
      <c r="Q11" s="83">
        <v>40547.620499999997</v>
      </c>
      <c r="R11" s="83">
        <v>40547.620499999997</v>
      </c>
      <c r="S11" s="1">
        <v>40547.620499999997</v>
      </c>
      <c r="T11" s="83">
        <v>0</v>
      </c>
      <c r="U11" s="1" t="s">
        <v>122</v>
      </c>
      <c r="V11" s="1" t="s">
        <v>852</v>
      </c>
      <c r="W11" s="1">
        <v>3949.1976460300002</v>
      </c>
      <c r="X11" s="1"/>
      <c r="Y11" s="83" t="str">
        <f>VLOOKUP(LossTable[[#This Row],[Department]],$A$15:$B$40,2,FALSE)</f>
        <v>Bermuda</v>
      </c>
    </row>
    <row r="12" spans="1:25" x14ac:dyDescent="0.25">
      <c r="D12" s="78">
        <v>448798</v>
      </c>
      <c r="E12" s="78">
        <v>280037801</v>
      </c>
      <c r="F12" s="83" t="s">
        <v>92</v>
      </c>
      <c r="G12" s="1" t="s">
        <v>562</v>
      </c>
      <c r="H12" s="1" t="s">
        <v>16</v>
      </c>
      <c r="I12" s="1" t="s">
        <v>563</v>
      </c>
      <c r="J12" s="1">
        <v>7669590.4588918304</v>
      </c>
      <c r="K12" s="1">
        <v>153391809.17783701</v>
      </c>
      <c r="L12" s="1">
        <v>0</v>
      </c>
      <c r="M12" s="1">
        <v>0</v>
      </c>
      <c r="N12" s="1" t="s">
        <v>564</v>
      </c>
      <c r="O12" s="1">
        <v>4.6056670000000001E-2</v>
      </c>
      <c r="P12" s="1">
        <v>0.05</v>
      </c>
      <c r="Q12" s="83">
        <v>148.17851754</v>
      </c>
      <c r="R12" s="83">
        <v>148.17851754</v>
      </c>
      <c r="S12" s="1">
        <v>148.17851754</v>
      </c>
      <c r="T12" s="83">
        <v>0</v>
      </c>
      <c r="U12" s="1" t="s">
        <v>122</v>
      </c>
      <c r="V12" s="1" t="s">
        <v>852</v>
      </c>
      <c r="W12" s="1">
        <v>3949.1976460300002</v>
      </c>
      <c r="X12" s="1"/>
      <c r="Y12" s="83" t="str">
        <f>VLOOKUP(LossTable[[#This Row],[Department]],$A$15:$B$40,2,FALSE)</f>
        <v>FP</v>
      </c>
    </row>
    <row r="13" spans="1:25" x14ac:dyDescent="0.25">
      <c r="D13" s="78">
        <v>484547</v>
      </c>
      <c r="E13" s="78">
        <v>280066590</v>
      </c>
      <c r="F13" s="83" t="s">
        <v>94</v>
      </c>
      <c r="G13" s="1" t="s">
        <v>702</v>
      </c>
      <c r="H13" s="1" t="s">
        <v>14</v>
      </c>
      <c r="I13" s="1" t="s">
        <v>703</v>
      </c>
      <c r="J13" s="1">
        <v>1125000</v>
      </c>
      <c r="K13" s="1">
        <v>10000000</v>
      </c>
      <c r="L13" s="1">
        <v>0</v>
      </c>
      <c r="M13" s="1">
        <v>0</v>
      </c>
      <c r="N13" s="1" t="s">
        <v>122</v>
      </c>
      <c r="O13" s="1">
        <v>6.0607328100000002</v>
      </c>
      <c r="P13" s="1">
        <v>0.1125</v>
      </c>
      <c r="Q13" s="83">
        <v>95549.981625</v>
      </c>
      <c r="R13" s="83">
        <v>95549.981625</v>
      </c>
      <c r="S13" s="1">
        <v>95549.981625</v>
      </c>
      <c r="T13" s="83">
        <v>0</v>
      </c>
      <c r="U13" s="1" t="s">
        <v>122</v>
      </c>
      <c r="V13" s="1" t="s">
        <v>837</v>
      </c>
      <c r="W13" s="1">
        <v>3280.0940773799998</v>
      </c>
      <c r="X13" s="1"/>
      <c r="Y13" s="83" t="str">
        <f>VLOOKUP(LossTable[[#This Row],[Department]],$A$15:$B$40,2,FALSE)</f>
        <v>TP</v>
      </c>
    </row>
    <row r="14" spans="1:25" x14ac:dyDescent="0.25">
      <c r="A14" s="93" t="s">
        <v>11</v>
      </c>
      <c r="B14" s="93" t="s">
        <v>114</v>
      </c>
      <c r="D14" s="78">
        <v>109</v>
      </c>
      <c r="E14" s="78">
        <v>280066590</v>
      </c>
      <c r="F14" s="83" t="s">
        <v>86</v>
      </c>
      <c r="G14" s="1" t="s">
        <v>217</v>
      </c>
      <c r="H14" s="1" t="s">
        <v>16</v>
      </c>
      <c r="I14" s="1" t="s">
        <v>217</v>
      </c>
      <c r="J14" s="1">
        <v>87372584.063106105</v>
      </c>
      <c r="K14" s="1">
        <v>0</v>
      </c>
      <c r="L14" s="1">
        <v>0</v>
      </c>
      <c r="M14" s="1">
        <v>0</v>
      </c>
      <c r="N14" s="1" t="s">
        <v>44</v>
      </c>
      <c r="O14" s="1">
        <v>0</v>
      </c>
      <c r="P14" s="1">
        <v>1</v>
      </c>
      <c r="Q14" s="83">
        <v>77687.884229999996</v>
      </c>
      <c r="R14" s="83">
        <v>77687.884229999996</v>
      </c>
      <c r="S14" s="1">
        <v>77687.884229999996</v>
      </c>
      <c r="T14" s="83">
        <v>0</v>
      </c>
      <c r="U14" s="1" t="s">
        <v>122</v>
      </c>
      <c r="V14" s="1" t="s">
        <v>837</v>
      </c>
      <c r="W14" s="1">
        <v>3280.0940773799998</v>
      </c>
      <c r="X14" s="1"/>
      <c r="Y14" s="83" t="str">
        <f>VLOOKUP(LossTable[[#This Row],[Department]],$A$15:$B$40,2,FALSE)</f>
        <v>FP</v>
      </c>
    </row>
    <row r="15" spans="1:25" x14ac:dyDescent="0.25">
      <c r="A15" s="94" t="s">
        <v>12</v>
      </c>
      <c r="B15" s="94" t="s">
        <v>12</v>
      </c>
      <c r="D15" s="78">
        <v>102</v>
      </c>
      <c r="E15" s="78">
        <v>280066590</v>
      </c>
      <c r="F15" s="83" t="s">
        <v>86</v>
      </c>
      <c r="G15" s="1" t="s">
        <v>217</v>
      </c>
      <c r="H15" s="1" t="s">
        <v>16</v>
      </c>
      <c r="I15" s="1" t="s">
        <v>217</v>
      </c>
      <c r="J15" s="1">
        <v>152353276.241009</v>
      </c>
      <c r="K15" s="1">
        <v>0</v>
      </c>
      <c r="L15" s="1">
        <v>0</v>
      </c>
      <c r="M15" s="1">
        <v>0</v>
      </c>
      <c r="N15" s="1" t="s">
        <v>44</v>
      </c>
      <c r="O15" s="1">
        <v>0</v>
      </c>
      <c r="P15" s="1">
        <v>1</v>
      </c>
      <c r="Q15" s="83">
        <v>168.44689099999999</v>
      </c>
      <c r="R15" s="83">
        <v>168.44689099999999</v>
      </c>
      <c r="S15" s="1">
        <v>168.44689099999999</v>
      </c>
      <c r="T15" s="83">
        <v>0</v>
      </c>
      <c r="U15" s="1" t="s">
        <v>122</v>
      </c>
      <c r="V15" s="1" t="s">
        <v>837</v>
      </c>
      <c r="W15" s="1">
        <v>3280.0940773799998</v>
      </c>
      <c r="X15" s="1"/>
      <c r="Y15" s="83" t="str">
        <f>VLOOKUP(LossTable[[#This Row],[Department]],$A$15:$B$40,2,FALSE)</f>
        <v>FP</v>
      </c>
    </row>
    <row r="16" spans="1:25" x14ac:dyDescent="0.25">
      <c r="A16" s="92" t="s">
        <v>15</v>
      </c>
      <c r="B16" s="92" t="s">
        <v>15</v>
      </c>
      <c r="D16" s="78">
        <v>445969</v>
      </c>
      <c r="E16" s="78">
        <v>280066590</v>
      </c>
      <c r="F16" s="83" t="s">
        <v>94</v>
      </c>
      <c r="G16" s="1" t="s">
        <v>470</v>
      </c>
      <c r="H16" s="1" t="s">
        <v>16</v>
      </c>
      <c r="I16" s="1" t="s">
        <v>471</v>
      </c>
      <c r="J16" s="1">
        <v>1000000</v>
      </c>
      <c r="K16" s="1">
        <v>20000000</v>
      </c>
      <c r="L16" s="1">
        <v>0</v>
      </c>
      <c r="M16" s="1">
        <v>0</v>
      </c>
      <c r="N16" s="1" t="s">
        <v>325</v>
      </c>
      <c r="O16" s="1">
        <v>0.28000842999999997</v>
      </c>
      <c r="P16" s="1">
        <v>0.05</v>
      </c>
      <c r="Q16" s="83">
        <v>12576.264499999999</v>
      </c>
      <c r="R16" s="83">
        <v>12576.264499999999</v>
      </c>
      <c r="S16" s="1">
        <v>12576.264499999999</v>
      </c>
      <c r="T16" s="83">
        <v>0</v>
      </c>
      <c r="U16" s="1" t="s">
        <v>122</v>
      </c>
      <c r="V16" s="1" t="s">
        <v>837</v>
      </c>
      <c r="W16" s="1">
        <v>3280.0940773799998</v>
      </c>
      <c r="X16" s="1"/>
      <c r="Y16" s="83" t="str">
        <f>VLOOKUP(LossTable[[#This Row],[Department]],$A$15:$B$40,2,FALSE)</f>
        <v>TP</v>
      </c>
    </row>
    <row r="17" spans="1:25" x14ac:dyDescent="0.25">
      <c r="A17" s="94" t="s">
        <v>86</v>
      </c>
      <c r="B17" s="94" t="s">
        <v>19</v>
      </c>
      <c r="D17" s="78">
        <v>127</v>
      </c>
      <c r="E17" s="78">
        <v>280014790</v>
      </c>
      <c r="F17" s="83" t="s">
        <v>92</v>
      </c>
      <c r="G17" s="1" t="s">
        <v>220</v>
      </c>
      <c r="H17" s="1" t="s">
        <v>16</v>
      </c>
      <c r="I17" s="1" t="s">
        <v>220</v>
      </c>
      <c r="J17" s="1">
        <v>84868955.288334802</v>
      </c>
      <c r="K17" s="1">
        <v>0</v>
      </c>
      <c r="L17" s="1">
        <v>0</v>
      </c>
      <c r="M17" s="1">
        <v>0</v>
      </c>
      <c r="N17" s="1" t="s">
        <v>44</v>
      </c>
      <c r="O17" s="1">
        <v>0</v>
      </c>
      <c r="P17" s="1">
        <v>1</v>
      </c>
      <c r="Q17" s="83">
        <v>824.68761300000006</v>
      </c>
      <c r="R17" s="83">
        <v>824.68761300000006</v>
      </c>
      <c r="S17" s="1">
        <v>824.68761300000006</v>
      </c>
      <c r="T17" s="83">
        <v>0</v>
      </c>
      <c r="U17" s="1" t="s">
        <v>122</v>
      </c>
      <c r="V17" s="1" t="s">
        <v>836</v>
      </c>
      <c r="W17" s="1">
        <v>4781.60363426</v>
      </c>
      <c r="X17" s="1"/>
      <c r="Y17" s="83" t="str">
        <f>VLOOKUP(LossTable[[#This Row],[Department]],$A$15:$B$40,2,FALSE)</f>
        <v>FP</v>
      </c>
    </row>
    <row r="18" spans="1:25" x14ac:dyDescent="0.25">
      <c r="A18" s="92" t="s">
        <v>68</v>
      </c>
      <c r="B18" s="92" t="s">
        <v>68</v>
      </c>
      <c r="D18" s="78">
        <v>388342</v>
      </c>
      <c r="E18" s="78">
        <v>280037801</v>
      </c>
      <c r="F18" s="83" t="s">
        <v>100</v>
      </c>
      <c r="G18" s="1" t="s">
        <v>145</v>
      </c>
      <c r="H18" s="1" t="s">
        <v>14</v>
      </c>
      <c r="I18" s="1" t="s">
        <v>146</v>
      </c>
      <c r="J18" s="1">
        <v>-337886333.38</v>
      </c>
      <c r="K18" s="1">
        <v>-337886333.38</v>
      </c>
      <c r="L18" s="1">
        <v>0</v>
      </c>
      <c r="M18" s="1">
        <v>0</v>
      </c>
      <c r="N18" s="1" t="s">
        <v>14</v>
      </c>
      <c r="O18" s="1">
        <v>0</v>
      </c>
      <c r="P18" s="1">
        <v>1</v>
      </c>
      <c r="Q18" s="83">
        <v>0</v>
      </c>
      <c r="R18" s="83">
        <v>0</v>
      </c>
      <c r="S18" s="1">
        <v>-794085.64</v>
      </c>
      <c r="T18" s="83">
        <v>0</v>
      </c>
      <c r="U18" s="1" t="s">
        <v>122</v>
      </c>
      <c r="V18" s="1" t="s">
        <v>852</v>
      </c>
      <c r="W18" s="1">
        <v>3949.1976460300002</v>
      </c>
      <c r="X18" s="1"/>
      <c r="Y18" s="83" t="str">
        <f>VLOOKUP(LossTable[[#This Row],[Department]],$A$15:$B$40,2,FALSE)</f>
        <v>EI Recovery^</v>
      </c>
    </row>
    <row r="19" spans="1:25" x14ac:dyDescent="0.25">
      <c r="A19" s="94" t="s">
        <v>87</v>
      </c>
      <c r="B19" s="94" t="s">
        <v>20</v>
      </c>
      <c r="D19" s="78">
        <v>438221</v>
      </c>
      <c r="E19" s="78">
        <v>280037801</v>
      </c>
      <c r="F19" s="83" t="s">
        <v>12</v>
      </c>
      <c r="G19" s="1" t="s">
        <v>186</v>
      </c>
      <c r="H19" s="1" t="s">
        <v>14</v>
      </c>
      <c r="I19" s="1" t="s">
        <v>187</v>
      </c>
      <c r="J19" s="1">
        <v>22336875</v>
      </c>
      <c r="K19" s="1">
        <v>99275000</v>
      </c>
      <c r="L19" s="1">
        <v>0</v>
      </c>
      <c r="M19" s="1">
        <v>0</v>
      </c>
      <c r="N19" s="1" t="s">
        <v>122</v>
      </c>
      <c r="O19" s="1">
        <v>0.67357942000000004</v>
      </c>
      <c r="P19" s="1">
        <v>0.22500000000000001</v>
      </c>
      <c r="Q19" s="83">
        <v>40217.525999999998</v>
      </c>
      <c r="R19" s="83">
        <v>40217.525999999998</v>
      </c>
      <c r="S19" s="1">
        <v>40217.525999999998</v>
      </c>
      <c r="T19" s="83">
        <v>0</v>
      </c>
      <c r="U19" s="1" t="s">
        <v>122</v>
      </c>
      <c r="V19" s="1" t="s">
        <v>852</v>
      </c>
      <c r="W19" s="1">
        <v>3949.1976460300002</v>
      </c>
      <c r="X19" s="1"/>
      <c r="Y19" s="83" t="str">
        <f>VLOOKUP(LossTable[[#This Row],[Department]],$A$15:$B$40,2,FALSE)</f>
        <v>Bermuda</v>
      </c>
    </row>
    <row r="20" spans="1:25" x14ac:dyDescent="0.25">
      <c r="A20" s="92" t="s">
        <v>100</v>
      </c>
      <c r="B20" s="92" t="s">
        <v>18</v>
      </c>
      <c r="D20" s="78">
        <v>483530</v>
      </c>
      <c r="E20" s="78">
        <v>280014790</v>
      </c>
      <c r="F20" s="83" t="s">
        <v>94</v>
      </c>
      <c r="G20" s="1" t="s">
        <v>726</v>
      </c>
      <c r="H20" s="1" t="s">
        <v>14</v>
      </c>
      <c r="I20" s="1" t="s">
        <v>727</v>
      </c>
      <c r="J20" s="1">
        <v>99996000</v>
      </c>
      <c r="K20" s="1">
        <v>1950000000</v>
      </c>
      <c r="L20" s="1">
        <v>0</v>
      </c>
      <c r="M20" s="1">
        <v>0</v>
      </c>
      <c r="N20" s="1" t="s">
        <v>122</v>
      </c>
      <c r="O20" s="1">
        <v>0.12830200999999999</v>
      </c>
      <c r="P20" s="1">
        <v>5.1279999999999999E-2</v>
      </c>
      <c r="Q20" s="83">
        <v>55889.320747999998</v>
      </c>
      <c r="R20" s="83">
        <v>55889.320747999998</v>
      </c>
      <c r="S20" s="1">
        <v>55889.320747999998</v>
      </c>
      <c r="T20" s="83">
        <v>0</v>
      </c>
      <c r="U20" s="1" t="s">
        <v>122</v>
      </c>
      <c r="V20" s="1" t="s">
        <v>836</v>
      </c>
      <c r="W20" s="1">
        <v>4781.60363426</v>
      </c>
      <c r="X20" s="1"/>
      <c r="Y20" s="83" t="str">
        <f>VLOOKUP(LossTable[[#This Row],[Department]],$A$15:$B$40,2,FALSE)</f>
        <v>TP</v>
      </c>
    </row>
    <row r="21" spans="1:25" x14ac:dyDescent="0.25">
      <c r="A21" s="94" t="s">
        <v>127</v>
      </c>
      <c r="B21" s="94" t="s">
        <v>20</v>
      </c>
      <c r="D21" s="78">
        <v>359086</v>
      </c>
      <c r="E21" s="78">
        <v>280014790</v>
      </c>
      <c r="F21" s="83" t="s">
        <v>100</v>
      </c>
      <c r="G21" s="1" t="s">
        <v>147</v>
      </c>
      <c r="H21" s="1" t="s">
        <v>14</v>
      </c>
      <c r="I21" s="1" t="s">
        <v>148</v>
      </c>
      <c r="J21" s="1">
        <v>-21336730.800000001</v>
      </c>
      <c r="K21" s="1">
        <v>-21336730.800000001</v>
      </c>
      <c r="L21" s="1">
        <v>0</v>
      </c>
      <c r="M21" s="1">
        <v>0</v>
      </c>
      <c r="N21" s="1" t="s">
        <v>14</v>
      </c>
      <c r="O21" s="1">
        <v>0</v>
      </c>
      <c r="P21" s="1">
        <v>1</v>
      </c>
      <c r="Q21" s="83">
        <v>0</v>
      </c>
      <c r="R21" s="83">
        <v>0</v>
      </c>
      <c r="S21" s="1">
        <v>-3388.87</v>
      </c>
      <c r="T21" s="83">
        <v>0</v>
      </c>
      <c r="U21" s="1" t="s">
        <v>122</v>
      </c>
      <c r="V21" s="1" t="s">
        <v>836</v>
      </c>
      <c r="W21" s="1">
        <v>4781.60363426</v>
      </c>
      <c r="X21" s="1"/>
      <c r="Y21" s="83" t="str">
        <f>VLOOKUP(LossTable[[#This Row],[Department]],$A$15:$B$40,2,FALSE)</f>
        <v>EI Recovery^</v>
      </c>
    </row>
    <row r="22" spans="1:25" x14ac:dyDescent="0.25">
      <c r="A22" s="92" t="s">
        <v>100</v>
      </c>
      <c r="B22" s="92" t="s">
        <v>18</v>
      </c>
      <c r="D22" s="78">
        <v>486037</v>
      </c>
      <c r="E22" s="78">
        <v>280037801</v>
      </c>
      <c r="F22" s="83" t="s">
        <v>127</v>
      </c>
      <c r="G22" s="1" t="s">
        <v>737</v>
      </c>
      <c r="H22" s="1" t="s">
        <v>14</v>
      </c>
      <c r="I22" s="1" t="s">
        <v>136</v>
      </c>
      <c r="J22" s="1">
        <v>1012412391.53</v>
      </c>
      <c r="K22" s="1">
        <v>1012412391.53</v>
      </c>
      <c r="L22" s="1">
        <v>0</v>
      </c>
      <c r="M22" s="1">
        <v>0</v>
      </c>
      <c r="N22" s="1" t="s">
        <v>14</v>
      </c>
      <c r="O22" s="1">
        <v>2.1730299999999998E-3</v>
      </c>
      <c r="P22" s="1">
        <v>1</v>
      </c>
      <c r="Q22" s="83">
        <v>120325.72</v>
      </c>
      <c r="R22" s="83">
        <v>120325.72</v>
      </c>
      <c r="S22" s="1">
        <v>120325.72</v>
      </c>
      <c r="T22" s="83">
        <v>0</v>
      </c>
      <c r="U22" s="1" t="s">
        <v>122</v>
      </c>
      <c r="V22" s="1" t="s">
        <v>852</v>
      </c>
      <c r="W22" s="1">
        <v>3949.1976460300002</v>
      </c>
      <c r="X22" s="1"/>
      <c r="Y22" s="83" t="str">
        <f>VLOOKUP(LossTable[[#This Row],[Department]],$A$15:$B$40,2,FALSE)</f>
        <v>Insurance</v>
      </c>
    </row>
    <row r="23" spans="1:25" x14ac:dyDescent="0.25">
      <c r="A23" s="94" t="s">
        <v>149</v>
      </c>
      <c r="B23" s="94" t="s">
        <v>20</v>
      </c>
      <c r="D23" s="78">
        <v>480605</v>
      </c>
      <c r="E23" s="78">
        <v>280066590</v>
      </c>
      <c r="F23" s="83" t="s">
        <v>45</v>
      </c>
      <c r="G23" s="1" t="s">
        <v>706</v>
      </c>
      <c r="H23" s="1" t="s">
        <v>14</v>
      </c>
      <c r="I23" s="1" t="s">
        <v>707</v>
      </c>
      <c r="J23" s="1">
        <v>650000</v>
      </c>
      <c r="K23" s="1">
        <v>65000000</v>
      </c>
      <c r="L23" s="1">
        <v>0</v>
      </c>
      <c r="M23" s="1">
        <v>0</v>
      </c>
      <c r="N23" s="1" t="s">
        <v>158</v>
      </c>
      <c r="O23" s="1">
        <v>0.55714898000000002</v>
      </c>
      <c r="P23" s="1">
        <v>0.01</v>
      </c>
      <c r="Q23" s="83">
        <v>2.2084999999999999</v>
      </c>
      <c r="R23" s="83">
        <v>2.2084999999999999</v>
      </c>
      <c r="S23" s="1">
        <v>2.2084999999999999</v>
      </c>
      <c r="T23" s="83">
        <v>0</v>
      </c>
      <c r="U23" s="1" t="s">
        <v>122</v>
      </c>
      <c r="V23" s="1" t="s">
        <v>837</v>
      </c>
      <c r="W23" s="1">
        <v>3280.0940773799998</v>
      </c>
      <c r="X23" s="1"/>
      <c r="Y23" s="83" t="str">
        <f>VLOOKUP(LossTable[[#This Row],[Department]],$A$15:$B$40,2,FALSE)</f>
        <v>FP</v>
      </c>
    </row>
    <row r="24" spans="1:25" x14ac:dyDescent="0.25">
      <c r="A24" s="92" t="s">
        <v>130</v>
      </c>
      <c r="B24" s="92" t="s">
        <v>20</v>
      </c>
      <c r="D24" s="78">
        <v>445987</v>
      </c>
      <c r="E24" s="78">
        <v>280037801</v>
      </c>
      <c r="F24" s="83" t="s">
        <v>94</v>
      </c>
      <c r="G24" s="1" t="s">
        <v>491</v>
      </c>
      <c r="H24" s="1" t="s">
        <v>16</v>
      </c>
      <c r="I24" s="1" t="s">
        <v>499</v>
      </c>
      <c r="J24" s="1">
        <v>829182.49450000003</v>
      </c>
      <c r="K24" s="1">
        <v>16583649.890000001</v>
      </c>
      <c r="L24" s="1">
        <v>0</v>
      </c>
      <c r="M24" s="1">
        <v>0</v>
      </c>
      <c r="N24" s="1" t="s">
        <v>360</v>
      </c>
      <c r="O24" s="1">
        <v>8.4101389999999998E-2</v>
      </c>
      <c r="P24" s="1">
        <v>0.05</v>
      </c>
      <c r="Q24" s="83">
        <v>2103.0774999999999</v>
      </c>
      <c r="R24" s="83">
        <v>2103.0774999999999</v>
      </c>
      <c r="S24" s="1">
        <v>2103.0774999999999</v>
      </c>
      <c r="T24" s="83">
        <v>0</v>
      </c>
      <c r="U24" s="1" t="s">
        <v>122</v>
      </c>
      <c r="V24" s="1" t="s">
        <v>852</v>
      </c>
      <c r="W24" s="1">
        <v>3949.1976460300002</v>
      </c>
      <c r="X24" s="1"/>
      <c r="Y24" s="83" t="str">
        <f>VLOOKUP(LossTable[[#This Row],[Department]],$A$15:$B$40,2,FALSE)</f>
        <v>TP</v>
      </c>
    </row>
    <row r="25" spans="1:25" x14ac:dyDescent="0.25">
      <c r="A25" s="94" t="s">
        <v>91</v>
      </c>
      <c r="B25" s="94" t="s">
        <v>23</v>
      </c>
      <c r="D25" s="78">
        <v>474075</v>
      </c>
      <c r="E25" s="78">
        <v>280014790</v>
      </c>
      <c r="F25" s="83" t="s">
        <v>94</v>
      </c>
      <c r="G25" s="1" t="s">
        <v>648</v>
      </c>
      <c r="H25" s="1" t="s">
        <v>16</v>
      </c>
      <c r="I25" s="1" t="s">
        <v>822</v>
      </c>
      <c r="J25" s="1">
        <v>2250000</v>
      </c>
      <c r="K25" s="1">
        <v>75000000</v>
      </c>
      <c r="L25" s="1">
        <v>0</v>
      </c>
      <c r="M25" s="1">
        <v>0</v>
      </c>
      <c r="N25" s="1" t="s">
        <v>122</v>
      </c>
      <c r="O25" s="1">
        <v>6.8000000000000005E-2</v>
      </c>
      <c r="P25" s="1">
        <v>0.03</v>
      </c>
      <c r="Q25" s="83">
        <v>1.1919</v>
      </c>
      <c r="R25" s="83">
        <v>1.1919</v>
      </c>
      <c r="S25" s="1">
        <v>1.1919</v>
      </c>
      <c r="T25" s="83">
        <v>0</v>
      </c>
      <c r="U25" s="1" t="s">
        <v>122</v>
      </c>
      <c r="V25" s="1" t="s">
        <v>836</v>
      </c>
      <c r="W25" s="1">
        <v>4781.60363426</v>
      </c>
      <c r="X25" s="1"/>
      <c r="Y25" s="83" t="str">
        <f>VLOOKUP(LossTable[[#This Row],[Department]],$A$15:$B$40,2,FALSE)</f>
        <v>TP</v>
      </c>
    </row>
    <row r="26" spans="1:25" x14ac:dyDescent="0.25">
      <c r="A26" s="92" t="s">
        <v>42</v>
      </c>
      <c r="B26" s="92" t="s">
        <v>19</v>
      </c>
      <c r="D26" s="78">
        <v>464876</v>
      </c>
      <c r="E26" s="78">
        <v>280066590</v>
      </c>
      <c r="F26" s="83" t="s">
        <v>92</v>
      </c>
      <c r="G26" s="1" t="s">
        <v>621</v>
      </c>
      <c r="H26" s="1" t="s">
        <v>14</v>
      </c>
      <c r="I26" s="1" t="s">
        <v>622</v>
      </c>
      <c r="J26" s="1">
        <v>2500000</v>
      </c>
      <c r="K26" s="1">
        <v>50000000</v>
      </c>
      <c r="L26" s="1">
        <v>0</v>
      </c>
      <c r="M26" s="1">
        <v>0</v>
      </c>
      <c r="N26" s="1" t="s">
        <v>166</v>
      </c>
      <c r="O26" s="1">
        <v>0.19800000000000001</v>
      </c>
      <c r="P26" s="1">
        <v>0.05</v>
      </c>
      <c r="Q26" s="83">
        <v>124.2765</v>
      </c>
      <c r="R26" s="83">
        <v>124.2765</v>
      </c>
      <c r="S26" s="1">
        <v>124.2765</v>
      </c>
      <c r="T26" s="83">
        <v>0</v>
      </c>
      <c r="U26" s="1" t="s">
        <v>122</v>
      </c>
      <c r="V26" s="1" t="s">
        <v>837</v>
      </c>
      <c r="W26" s="1">
        <v>3280.0940773799998</v>
      </c>
      <c r="X26" s="1"/>
      <c r="Y26" s="83" t="str">
        <f>VLOOKUP(LossTable[[#This Row],[Department]],$A$15:$B$40,2,FALSE)</f>
        <v>FP</v>
      </c>
    </row>
    <row r="27" spans="1:25" x14ac:dyDescent="0.25">
      <c r="A27" s="94" t="s">
        <v>21</v>
      </c>
      <c r="B27" s="94" t="s">
        <v>21</v>
      </c>
      <c r="D27" s="78">
        <v>469888</v>
      </c>
      <c r="E27" s="78">
        <v>280066590</v>
      </c>
      <c r="F27" s="83" t="s">
        <v>94</v>
      </c>
      <c r="G27" s="1" t="s">
        <v>667</v>
      </c>
      <c r="H27" s="1" t="s">
        <v>14</v>
      </c>
      <c r="I27" s="1" t="s">
        <v>668</v>
      </c>
      <c r="J27" s="1">
        <v>13500000</v>
      </c>
      <c r="K27" s="1">
        <v>90000000</v>
      </c>
      <c r="L27" s="1">
        <v>0</v>
      </c>
      <c r="M27" s="1">
        <v>0</v>
      </c>
      <c r="N27" s="1" t="s">
        <v>122</v>
      </c>
      <c r="O27" s="1">
        <v>0.2555907</v>
      </c>
      <c r="P27" s="1">
        <v>0.15</v>
      </c>
      <c r="Q27" s="83">
        <v>543596.08499999996</v>
      </c>
      <c r="R27" s="83">
        <v>543596.08499999996</v>
      </c>
      <c r="S27" s="1">
        <v>543596.08499999996</v>
      </c>
      <c r="T27" s="83">
        <v>0</v>
      </c>
      <c r="U27" s="1" t="s">
        <v>122</v>
      </c>
      <c r="V27" s="1" t="s">
        <v>837</v>
      </c>
      <c r="W27" s="1">
        <v>3280.0940773799998</v>
      </c>
      <c r="X27" s="1"/>
      <c r="Y27" s="83" t="str">
        <f>VLOOKUP(LossTable[[#This Row],[Department]],$A$15:$B$40,2,FALSE)</f>
        <v>TP</v>
      </c>
    </row>
    <row r="28" spans="1:25" x14ac:dyDescent="0.25">
      <c r="A28" s="92" t="s">
        <v>92</v>
      </c>
      <c r="B28" s="92" t="s">
        <v>19</v>
      </c>
      <c r="D28" s="78">
        <v>435695</v>
      </c>
      <c r="E28" s="78">
        <v>280037801</v>
      </c>
      <c r="F28" s="83" t="s">
        <v>94</v>
      </c>
      <c r="G28" s="1" t="s">
        <v>318</v>
      </c>
      <c r="H28" s="1" t="s">
        <v>16</v>
      </c>
      <c r="I28" s="1" t="s">
        <v>319</v>
      </c>
      <c r="J28" s="1">
        <v>6000000</v>
      </c>
      <c r="K28" s="1">
        <v>120000000</v>
      </c>
      <c r="L28" s="1">
        <v>0</v>
      </c>
      <c r="M28" s="1">
        <v>0</v>
      </c>
      <c r="N28" s="1" t="s">
        <v>320</v>
      </c>
      <c r="O28" s="1">
        <v>2.2000000000000002</v>
      </c>
      <c r="P28" s="1">
        <v>0.05</v>
      </c>
      <c r="Q28" s="83">
        <v>11574.879000000001</v>
      </c>
      <c r="R28" s="83">
        <v>11574.879000000001</v>
      </c>
      <c r="S28" s="1">
        <v>11574.879000000001</v>
      </c>
      <c r="T28" s="83">
        <v>0</v>
      </c>
      <c r="U28" s="1" t="s">
        <v>122</v>
      </c>
      <c r="V28" s="1" t="s">
        <v>852</v>
      </c>
      <c r="W28" s="1">
        <v>3949.1976460300002</v>
      </c>
      <c r="X28" s="1"/>
      <c r="Y28" s="83" t="str">
        <f>VLOOKUP(LossTable[[#This Row],[Department]],$A$15:$B$40,2,FALSE)</f>
        <v>TP</v>
      </c>
    </row>
    <row r="29" spans="1:25" x14ac:dyDescent="0.25">
      <c r="A29" s="94" t="s">
        <v>67</v>
      </c>
      <c r="B29" s="94" t="s">
        <v>67</v>
      </c>
      <c r="D29" s="78">
        <v>484261</v>
      </c>
      <c r="E29" s="78">
        <v>280037801</v>
      </c>
      <c r="F29" s="83" t="s">
        <v>94</v>
      </c>
      <c r="G29" s="1" t="s">
        <v>686</v>
      </c>
      <c r="H29" s="1" t="s">
        <v>16</v>
      </c>
      <c r="I29" s="1" t="s">
        <v>687</v>
      </c>
      <c r="J29" s="1">
        <v>8000000</v>
      </c>
      <c r="K29" s="1">
        <v>200000000</v>
      </c>
      <c r="L29" s="1">
        <v>0</v>
      </c>
      <c r="M29" s="1">
        <v>0</v>
      </c>
      <c r="N29" s="1" t="s">
        <v>122</v>
      </c>
      <c r="O29" s="1">
        <v>0.18</v>
      </c>
      <c r="P29" s="1">
        <v>0.04</v>
      </c>
      <c r="Q29" s="83">
        <v>10491.808800000001</v>
      </c>
      <c r="R29" s="83">
        <v>10491.808800000001</v>
      </c>
      <c r="S29" s="1">
        <v>10491.808800000001</v>
      </c>
      <c r="T29" s="83">
        <v>0</v>
      </c>
      <c r="U29" s="1" t="s">
        <v>122</v>
      </c>
      <c r="V29" s="1" t="s">
        <v>852</v>
      </c>
      <c r="W29" s="1">
        <v>3949.1976460300002</v>
      </c>
      <c r="X29" s="1"/>
      <c r="Y29" s="83" t="str">
        <f>VLOOKUP(LossTable[[#This Row],[Department]],$A$15:$B$40,2,FALSE)</f>
        <v>TP</v>
      </c>
    </row>
    <row r="30" spans="1:25" x14ac:dyDescent="0.25">
      <c r="A30" s="92" t="s">
        <v>93</v>
      </c>
      <c r="B30" s="92" t="s">
        <v>22</v>
      </c>
      <c r="D30" s="78">
        <v>468496</v>
      </c>
      <c r="E30" s="78">
        <v>280014790</v>
      </c>
      <c r="F30" s="83" t="s">
        <v>21</v>
      </c>
      <c r="G30" s="1" t="s">
        <v>572</v>
      </c>
      <c r="H30" s="1" t="s">
        <v>14</v>
      </c>
      <c r="I30" s="1" t="s">
        <v>573</v>
      </c>
      <c r="J30" s="1">
        <v>7200000</v>
      </c>
      <c r="K30" s="1">
        <v>72000000</v>
      </c>
      <c r="L30" s="1">
        <v>0</v>
      </c>
      <c r="M30" s="1">
        <v>0</v>
      </c>
      <c r="N30" s="1" t="s">
        <v>574</v>
      </c>
      <c r="O30" s="1">
        <v>0.48611111000000001</v>
      </c>
      <c r="P30" s="1">
        <v>0.1</v>
      </c>
      <c r="Q30" s="83">
        <v>6566.0950000000003</v>
      </c>
      <c r="R30" s="83">
        <v>6566.0950000000003</v>
      </c>
      <c r="S30" s="1">
        <v>6566.0950000000003</v>
      </c>
      <c r="T30" s="83">
        <v>0</v>
      </c>
      <c r="U30" s="1" t="s">
        <v>122</v>
      </c>
      <c r="V30" s="1" t="s">
        <v>836</v>
      </c>
      <c r="W30" s="1">
        <v>4781.60363426</v>
      </c>
      <c r="X30" s="1"/>
      <c r="Y30" s="83" t="str">
        <f>VLOOKUP(LossTable[[#This Row],[Department]],$A$15:$B$40,2,FALSE)</f>
        <v>London</v>
      </c>
    </row>
    <row r="31" spans="1:25" x14ac:dyDescent="0.25">
      <c r="A31" s="95" t="s">
        <v>64</v>
      </c>
      <c r="B31" s="95" t="s">
        <v>64</v>
      </c>
      <c r="D31" s="78">
        <v>473719</v>
      </c>
      <c r="E31" s="78">
        <v>280014790</v>
      </c>
      <c r="F31" s="83" t="s">
        <v>15</v>
      </c>
      <c r="G31" s="1" t="s">
        <v>790</v>
      </c>
      <c r="H31" s="1" t="s">
        <v>16</v>
      </c>
      <c r="I31" s="1" t="s">
        <v>797</v>
      </c>
      <c r="J31" s="1">
        <v>8744441.9860839806</v>
      </c>
      <c r="K31" s="1">
        <v>43722209.9304199</v>
      </c>
      <c r="L31" s="1">
        <v>0</v>
      </c>
      <c r="M31" s="1">
        <v>0</v>
      </c>
      <c r="N31" s="1" t="s">
        <v>122</v>
      </c>
      <c r="O31" s="1">
        <v>1.32476142</v>
      </c>
      <c r="P31" s="1">
        <v>0.2</v>
      </c>
      <c r="Q31" s="83">
        <v>2981.3941766399998</v>
      </c>
      <c r="R31" s="83">
        <v>2981.3941766399998</v>
      </c>
      <c r="S31" s="1">
        <v>2981.3941766399998</v>
      </c>
      <c r="T31" s="83">
        <v>0</v>
      </c>
      <c r="U31" s="1" t="s">
        <v>122</v>
      </c>
      <c r="V31" s="1" t="s">
        <v>836</v>
      </c>
      <c r="W31" s="1">
        <v>4781.60363426</v>
      </c>
      <c r="X31" s="1"/>
      <c r="Y31" s="83" t="str">
        <f>VLOOKUP(LossTable[[#This Row],[Department]],$A$15:$B$40,2,FALSE)</f>
        <v>Canada</v>
      </c>
    </row>
    <row r="32" spans="1:25" x14ac:dyDescent="0.25">
      <c r="A32" s="92" t="s">
        <v>94</v>
      </c>
      <c r="B32" s="92" t="s">
        <v>25</v>
      </c>
      <c r="D32" s="78">
        <v>430384</v>
      </c>
      <c r="E32" s="78">
        <v>280014790</v>
      </c>
      <c r="F32" s="83" t="s">
        <v>94</v>
      </c>
      <c r="G32" s="1" t="s">
        <v>313</v>
      </c>
      <c r="H32" s="1" t="s">
        <v>16</v>
      </c>
      <c r="I32" s="1" t="s">
        <v>314</v>
      </c>
      <c r="J32" s="1">
        <v>525000</v>
      </c>
      <c r="K32" s="1">
        <v>10000000</v>
      </c>
      <c r="L32" s="1">
        <v>0</v>
      </c>
      <c r="M32" s="1">
        <v>0</v>
      </c>
      <c r="N32" s="1" t="s">
        <v>315</v>
      </c>
      <c r="O32" s="1">
        <v>0.65</v>
      </c>
      <c r="P32" s="1">
        <v>5.2499999999999998E-2</v>
      </c>
      <c r="Q32" s="83">
        <v>79655.119424999997</v>
      </c>
      <c r="R32" s="83">
        <v>79655.119424999997</v>
      </c>
      <c r="S32" s="1">
        <v>79655.119424999997</v>
      </c>
      <c r="T32" s="83">
        <v>0</v>
      </c>
      <c r="U32" s="1" t="s">
        <v>122</v>
      </c>
      <c r="V32" s="1" t="s">
        <v>836</v>
      </c>
      <c r="W32" s="1">
        <v>4781.60363426</v>
      </c>
      <c r="X32" s="1"/>
      <c r="Y32" s="83" t="str">
        <f>VLOOKUP(LossTable[[#This Row],[Department]],$A$15:$B$40,2,FALSE)</f>
        <v>TP</v>
      </c>
    </row>
    <row r="33" spans="1:25" x14ac:dyDescent="0.25">
      <c r="A33" s="95" t="s">
        <v>45</v>
      </c>
      <c r="B33" s="95" t="s">
        <v>19</v>
      </c>
      <c r="D33" s="78">
        <v>147</v>
      </c>
      <c r="E33" s="78">
        <v>280066590</v>
      </c>
      <c r="F33" s="83" t="s">
        <v>45</v>
      </c>
      <c r="G33" s="1" t="s">
        <v>46</v>
      </c>
      <c r="H33" s="1" t="s">
        <v>16</v>
      </c>
      <c r="I33" s="1" t="s">
        <v>46</v>
      </c>
      <c r="J33" s="1">
        <v>1347147300</v>
      </c>
      <c r="K33" s="1">
        <v>0</v>
      </c>
      <c r="L33" s="1">
        <v>0</v>
      </c>
      <c r="M33" s="1">
        <v>0</v>
      </c>
      <c r="N33" s="1" t="s">
        <v>44</v>
      </c>
      <c r="O33" s="1">
        <v>0</v>
      </c>
      <c r="P33" s="1">
        <v>1</v>
      </c>
      <c r="Q33" s="83">
        <v>113432.381733</v>
      </c>
      <c r="R33" s="83">
        <v>113432.381733</v>
      </c>
      <c r="S33" s="1">
        <v>113432.381733</v>
      </c>
      <c r="T33" s="83">
        <v>0</v>
      </c>
      <c r="U33" s="1" t="s">
        <v>122</v>
      </c>
      <c r="V33" s="1" t="s">
        <v>837</v>
      </c>
      <c r="W33" s="1">
        <v>3280.0940773799998</v>
      </c>
      <c r="X33" s="1"/>
      <c r="Y33" s="83" t="str">
        <f>VLOOKUP(LossTable[[#This Row],[Department]],$A$15:$B$40,2,FALSE)</f>
        <v>FP</v>
      </c>
    </row>
    <row r="34" spans="1:25" x14ac:dyDescent="0.25">
      <c r="A34" s="92" t="s">
        <v>96</v>
      </c>
      <c r="B34" s="92" t="s">
        <v>25</v>
      </c>
      <c r="D34" s="78">
        <v>103</v>
      </c>
      <c r="E34" s="78">
        <v>280037801</v>
      </c>
      <c r="F34" s="83" t="s">
        <v>86</v>
      </c>
      <c r="G34" s="1" t="s">
        <v>217</v>
      </c>
      <c r="H34" s="1" t="s">
        <v>16</v>
      </c>
      <c r="I34" s="1" t="s">
        <v>217</v>
      </c>
      <c r="J34" s="1">
        <v>266144997.75758201</v>
      </c>
      <c r="K34" s="1">
        <v>0</v>
      </c>
      <c r="L34" s="1">
        <v>0</v>
      </c>
      <c r="M34" s="1">
        <v>0</v>
      </c>
      <c r="N34" s="1" t="s">
        <v>44</v>
      </c>
      <c r="O34" s="1">
        <v>0</v>
      </c>
      <c r="P34" s="1">
        <v>1</v>
      </c>
      <c r="Q34" s="83">
        <v>3731.0890720000002</v>
      </c>
      <c r="R34" s="83">
        <v>3731.0890720000002</v>
      </c>
      <c r="S34" s="1">
        <v>3731.0890720000002</v>
      </c>
      <c r="T34" s="83">
        <v>0</v>
      </c>
      <c r="U34" s="1" t="s">
        <v>122</v>
      </c>
      <c r="V34" s="1" t="s">
        <v>852</v>
      </c>
      <c r="W34" s="1">
        <v>3949.1976460300002</v>
      </c>
      <c r="X34" s="1"/>
      <c r="Y34" s="83" t="str">
        <f>VLOOKUP(LossTable[[#This Row],[Department]],$A$15:$B$40,2,FALSE)</f>
        <v>FP</v>
      </c>
    </row>
    <row r="35" spans="1:25" x14ac:dyDescent="0.25">
      <c r="A35" s="95" t="s">
        <v>95</v>
      </c>
      <c r="B35" s="95" t="s">
        <v>17</v>
      </c>
      <c r="D35" s="78">
        <v>432034</v>
      </c>
      <c r="E35" s="78">
        <v>280014790</v>
      </c>
      <c r="F35" s="83" t="s">
        <v>94</v>
      </c>
      <c r="G35" s="1" t="s">
        <v>279</v>
      </c>
      <c r="H35" s="1" t="s">
        <v>14</v>
      </c>
      <c r="I35" s="1" t="s">
        <v>280</v>
      </c>
      <c r="J35" s="1">
        <v>16877119</v>
      </c>
      <c r="K35" s="1">
        <v>241101700</v>
      </c>
      <c r="L35" s="1">
        <v>0</v>
      </c>
      <c r="M35" s="1">
        <v>0</v>
      </c>
      <c r="N35" s="1" t="s">
        <v>281</v>
      </c>
      <c r="O35" s="1">
        <v>1.5384615399999999</v>
      </c>
      <c r="P35" s="1">
        <v>7.0000000000000007E-2</v>
      </c>
      <c r="Q35" s="83">
        <v>632050.5527</v>
      </c>
      <c r="R35" s="83">
        <v>632050.5527</v>
      </c>
      <c r="S35" s="1">
        <v>632050.5527</v>
      </c>
      <c r="T35" s="83">
        <v>0</v>
      </c>
      <c r="U35" s="1" t="s">
        <v>122</v>
      </c>
      <c r="V35" s="1" t="s">
        <v>836</v>
      </c>
      <c r="W35" s="1">
        <v>4781.60363426</v>
      </c>
      <c r="X35" s="1"/>
      <c r="Y35" s="83" t="str">
        <f>VLOOKUP(LossTable[[#This Row],[Department]],$A$15:$B$40,2,FALSE)</f>
        <v>TP</v>
      </c>
    </row>
    <row r="36" spans="1:25" x14ac:dyDescent="0.25">
      <c r="A36" s="99" t="s">
        <v>121</v>
      </c>
      <c r="B36" s="99" t="s">
        <v>26</v>
      </c>
      <c r="D36" s="78">
        <v>434180</v>
      </c>
      <c r="E36" s="78">
        <v>280037801</v>
      </c>
      <c r="F36" s="83" t="s">
        <v>94</v>
      </c>
      <c r="G36" s="1" t="s">
        <v>382</v>
      </c>
      <c r="H36" s="1" t="s">
        <v>16</v>
      </c>
      <c r="I36" s="1" t="s">
        <v>383</v>
      </c>
      <c r="J36" s="1">
        <v>1000000</v>
      </c>
      <c r="K36" s="1">
        <v>10000000</v>
      </c>
      <c r="L36" s="1">
        <v>0</v>
      </c>
      <c r="M36" s="1">
        <v>0</v>
      </c>
      <c r="N36" s="1" t="s">
        <v>257</v>
      </c>
      <c r="O36" s="1">
        <v>1.05</v>
      </c>
      <c r="P36" s="1">
        <v>0.1</v>
      </c>
      <c r="Q36" s="83">
        <v>19452.812999999998</v>
      </c>
      <c r="R36" s="83">
        <v>19452.812999999998</v>
      </c>
      <c r="S36" s="1">
        <v>19452.812999999998</v>
      </c>
      <c r="T36" s="83">
        <v>0</v>
      </c>
      <c r="U36" s="1" t="s">
        <v>122</v>
      </c>
      <c r="V36" s="1" t="s">
        <v>852</v>
      </c>
      <c r="W36" s="1">
        <v>3949.1976460300002</v>
      </c>
      <c r="X36" s="1"/>
      <c r="Y36" s="83" t="str">
        <f>VLOOKUP(LossTable[[#This Row],[Department]],$A$15:$B$40,2,FALSE)</f>
        <v>TP</v>
      </c>
    </row>
    <row r="37" spans="1:25" x14ac:dyDescent="0.25">
      <c r="A37" s="100" t="s">
        <v>133</v>
      </c>
      <c r="B37" s="100" t="s">
        <v>20</v>
      </c>
      <c r="D37" s="78">
        <v>139</v>
      </c>
      <c r="E37" s="78">
        <v>280014790</v>
      </c>
      <c r="F37" s="83" t="s">
        <v>45</v>
      </c>
      <c r="G37" s="1" t="s">
        <v>46</v>
      </c>
      <c r="H37" s="1" t="s">
        <v>16</v>
      </c>
      <c r="I37" s="1" t="s">
        <v>46</v>
      </c>
      <c r="J37" s="1">
        <v>66506138</v>
      </c>
      <c r="K37" s="1">
        <v>0</v>
      </c>
      <c r="L37" s="1">
        <v>0</v>
      </c>
      <c r="M37" s="1">
        <v>0</v>
      </c>
      <c r="N37" s="1" t="s">
        <v>44</v>
      </c>
      <c r="O37" s="1">
        <v>0</v>
      </c>
      <c r="P37" s="1">
        <v>1</v>
      </c>
      <c r="Q37" s="83">
        <v>13040.544802</v>
      </c>
      <c r="R37" s="83">
        <v>13040.544802</v>
      </c>
      <c r="S37" s="1">
        <v>13040.544802</v>
      </c>
      <c r="T37" s="83">
        <v>0</v>
      </c>
      <c r="U37" s="1" t="s">
        <v>122</v>
      </c>
      <c r="V37" s="1" t="s">
        <v>836</v>
      </c>
      <c r="W37" s="1">
        <v>4781.60363426</v>
      </c>
      <c r="X37" s="1"/>
      <c r="Y37" s="83" t="str">
        <f>VLOOKUP(LossTable[[#This Row],[Department]],$A$15:$B$40,2,FALSE)</f>
        <v>FP</v>
      </c>
    </row>
    <row r="38" spans="1:25" x14ac:dyDescent="0.25">
      <c r="A38" s="99" t="s">
        <v>27</v>
      </c>
      <c r="B38" s="99" t="s">
        <v>27</v>
      </c>
      <c r="D38" s="78">
        <v>388108</v>
      </c>
      <c r="E38" s="78">
        <v>280066590</v>
      </c>
      <c r="F38" s="83" t="s">
        <v>133</v>
      </c>
      <c r="G38" s="1" t="s">
        <v>140</v>
      </c>
      <c r="H38" s="1" t="s">
        <v>14</v>
      </c>
      <c r="I38" s="1" t="s">
        <v>141</v>
      </c>
      <c r="J38" s="1">
        <v>394874353.98000002</v>
      </c>
      <c r="K38" s="1">
        <v>394874353.98000002</v>
      </c>
      <c r="L38" s="1">
        <v>0</v>
      </c>
      <c r="M38" s="1">
        <v>0</v>
      </c>
      <c r="N38" s="1" t="s">
        <v>14</v>
      </c>
      <c r="O38" s="1">
        <v>2.5325E-4</v>
      </c>
      <c r="P38" s="1">
        <v>1</v>
      </c>
      <c r="Q38" s="83">
        <v>136249.64000000001</v>
      </c>
      <c r="R38" s="83">
        <v>136249.64000000001</v>
      </c>
      <c r="S38" s="1">
        <v>136249.64000000001</v>
      </c>
      <c r="T38" s="83">
        <v>0</v>
      </c>
      <c r="U38" s="1" t="s">
        <v>122</v>
      </c>
      <c r="V38" s="1" t="s">
        <v>837</v>
      </c>
      <c r="W38" s="1">
        <v>3280.0940773799998</v>
      </c>
      <c r="X38" s="1"/>
      <c r="Y38" s="83" t="str">
        <f>VLOOKUP(LossTable[[#This Row],[Department]],$A$15:$B$40,2,FALSE)</f>
        <v>Insurance</v>
      </c>
    </row>
    <row r="39" spans="1:25" x14ac:dyDescent="0.25">
      <c r="D39" s="78">
        <v>463040</v>
      </c>
      <c r="E39" s="78">
        <v>280014790</v>
      </c>
      <c r="F39" s="83" t="s">
        <v>94</v>
      </c>
      <c r="G39" s="1" t="s">
        <v>602</v>
      </c>
      <c r="H39" s="1" t="s">
        <v>14</v>
      </c>
      <c r="I39" s="1" t="s">
        <v>603</v>
      </c>
      <c r="J39" s="1">
        <v>8250000</v>
      </c>
      <c r="K39" s="1">
        <v>110000000</v>
      </c>
      <c r="L39" s="1">
        <v>0</v>
      </c>
      <c r="M39" s="1">
        <v>0</v>
      </c>
      <c r="N39" s="1" t="s">
        <v>182</v>
      </c>
      <c r="O39" s="1">
        <v>0.49090908999999999</v>
      </c>
      <c r="P39" s="1">
        <v>7.4999999999999997E-2</v>
      </c>
      <c r="Q39" s="83">
        <v>72756.441749999998</v>
      </c>
      <c r="R39" s="83">
        <v>72756.441749999998</v>
      </c>
      <c r="S39" s="1">
        <v>72756.441749999998</v>
      </c>
      <c r="T39" s="83">
        <v>0</v>
      </c>
      <c r="U39" s="1" t="s">
        <v>122</v>
      </c>
      <c r="V39" s="1" t="s">
        <v>836</v>
      </c>
      <c r="W39" s="1">
        <v>4781.60363426</v>
      </c>
      <c r="X39" s="1"/>
      <c r="Y39" s="83" t="str">
        <f>VLOOKUP(LossTable[[#This Row],[Department]],$A$15:$B$40,2,FALSE)</f>
        <v>TP</v>
      </c>
    </row>
    <row r="40" spans="1:25" x14ac:dyDescent="0.25">
      <c r="D40" s="78">
        <v>142</v>
      </c>
      <c r="E40" s="78">
        <v>280066590</v>
      </c>
      <c r="F40" s="83" t="s">
        <v>45</v>
      </c>
      <c r="G40" s="1" t="s">
        <v>46</v>
      </c>
      <c r="H40" s="1" t="s">
        <v>16</v>
      </c>
      <c r="I40" s="1" t="s">
        <v>46</v>
      </c>
      <c r="J40" s="1">
        <v>103566650</v>
      </c>
      <c r="K40" s="1">
        <v>0</v>
      </c>
      <c r="L40" s="1">
        <v>0</v>
      </c>
      <c r="M40" s="1">
        <v>0</v>
      </c>
      <c r="N40" s="1" t="s">
        <v>44</v>
      </c>
      <c r="O40" s="1">
        <v>0</v>
      </c>
      <c r="P40" s="1">
        <v>1</v>
      </c>
      <c r="Q40" s="83">
        <v>5085.9600849999997</v>
      </c>
      <c r="R40" s="83">
        <v>5085.9600849999997</v>
      </c>
      <c r="S40" s="1">
        <v>5085.9600849999997</v>
      </c>
      <c r="T40" s="83">
        <v>0</v>
      </c>
      <c r="U40" s="1" t="s">
        <v>122</v>
      </c>
      <c r="V40" s="1" t="s">
        <v>837</v>
      </c>
      <c r="W40" s="1">
        <v>3280.0940773799998</v>
      </c>
      <c r="X40" s="1"/>
      <c r="Y40" s="83" t="str">
        <f>VLOOKUP(LossTable[[#This Row],[Department]],$A$15:$B$40,2,FALSE)</f>
        <v>FP</v>
      </c>
    </row>
    <row r="41" spans="1:25" x14ac:dyDescent="0.25">
      <c r="D41" s="78">
        <v>427960</v>
      </c>
      <c r="E41" s="78">
        <v>280037801</v>
      </c>
      <c r="F41" s="83" t="s">
        <v>94</v>
      </c>
      <c r="G41" s="1" t="s">
        <v>344</v>
      </c>
      <c r="H41" s="1" t="s">
        <v>16</v>
      </c>
      <c r="I41" s="1" t="s">
        <v>345</v>
      </c>
      <c r="J41" s="1">
        <v>180000</v>
      </c>
      <c r="K41" s="1">
        <v>9000000</v>
      </c>
      <c r="L41" s="1">
        <v>0</v>
      </c>
      <c r="M41" s="1">
        <v>0</v>
      </c>
      <c r="N41" s="1" t="s">
        <v>346</v>
      </c>
      <c r="O41" s="1">
        <v>1.93333321</v>
      </c>
      <c r="P41" s="1">
        <v>0.02</v>
      </c>
      <c r="Q41" s="83">
        <v>4107.7852000000003</v>
      </c>
      <c r="R41" s="83">
        <v>4107.7852000000003</v>
      </c>
      <c r="S41" s="1">
        <v>4107.7852000000003</v>
      </c>
      <c r="T41" s="83">
        <v>0</v>
      </c>
      <c r="U41" s="1" t="s">
        <v>122</v>
      </c>
      <c r="V41" s="1" t="s">
        <v>852</v>
      </c>
      <c r="W41" s="1">
        <v>3949.1976460300002</v>
      </c>
      <c r="X41" s="1"/>
      <c r="Y41" s="83" t="str">
        <f>VLOOKUP(LossTable[[#This Row],[Department]],$A$15:$B$40,2,FALSE)</f>
        <v>TP</v>
      </c>
    </row>
    <row r="42" spans="1:25" x14ac:dyDescent="0.25">
      <c r="D42" s="78">
        <v>442098</v>
      </c>
      <c r="E42" s="78">
        <v>280014790</v>
      </c>
      <c r="F42" s="83" t="s">
        <v>45</v>
      </c>
      <c r="G42" s="1" t="s">
        <v>454</v>
      </c>
      <c r="H42" s="1" t="s">
        <v>16</v>
      </c>
      <c r="I42" s="1" t="s">
        <v>455</v>
      </c>
      <c r="J42" s="1">
        <v>13000000</v>
      </c>
      <c r="K42" s="1">
        <v>160000000</v>
      </c>
      <c r="L42" s="1">
        <v>0</v>
      </c>
      <c r="M42" s="1">
        <v>0</v>
      </c>
      <c r="N42" s="1" t="s">
        <v>456</v>
      </c>
      <c r="O42" s="1">
        <v>7.2696759999999999E-2</v>
      </c>
      <c r="P42" s="1">
        <v>8.1250000000000003E-2</v>
      </c>
      <c r="Q42" s="83">
        <v>437.282625</v>
      </c>
      <c r="R42" s="83">
        <v>437.282625</v>
      </c>
      <c r="S42" s="1">
        <v>437.282625</v>
      </c>
      <c r="T42" s="83">
        <v>0</v>
      </c>
      <c r="U42" s="1" t="s">
        <v>122</v>
      </c>
      <c r="V42" s="1" t="s">
        <v>836</v>
      </c>
      <c r="W42" s="1">
        <v>4781.60363426</v>
      </c>
      <c r="X42" s="1"/>
      <c r="Y42" s="83" t="str">
        <f>VLOOKUP(LossTable[[#This Row],[Department]],$A$15:$B$40,2,FALSE)</f>
        <v>FP</v>
      </c>
    </row>
    <row r="43" spans="1:25" x14ac:dyDescent="0.25">
      <c r="D43" s="78">
        <v>424514</v>
      </c>
      <c r="E43" s="78">
        <v>280037801</v>
      </c>
      <c r="F43" s="83" t="s">
        <v>127</v>
      </c>
      <c r="G43" s="1" t="s">
        <v>326</v>
      </c>
      <c r="H43" s="1" t="s">
        <v>14</v>
      </c>
      <c r="I43" s="1" t="s">
        <v>327</v>
      </c>
      <c r="J43" s="1">
        <v>21503083.149999999</v>
      </c>
      <c r="K43" s="1">
        <v>21503083.149999999</v>
      </c>
      <c r="L43" s="1">
        <v>0</v>
      </c>
      <c r="M43" s="1">
        <v>0</v>
      </c>
      <c r="N43" s="1" t="s">
        <v>14</v>
      </c>
      <c r="O43" s="1">
        <v>6.9757400000000002E-3</v>
      </c>
      <c r="P43" s="1">
        <v>1</v>
      </c>
      <c r="Q43" s="83">
        <v>25.37</v>
      </c>
      <c r="R43" s="83">
        <v>25.37</v>
      </c>
      <c r="S43" s="1">
        <v>25.37</v>
      </c>
      <c r="T43" s="83">
        <v>0</v>
      </c>
      <c r="U43" s="1" t="s">
        <v>122</v>
      </c>
      <c r="V43" s="1" t="s">
        <v>852</v>
      </c>
      <c r="W43" s="1">
        <v>3949.1976460300002</v>
      </c>
      <c r="X43" s="1"/>
      <c r="Y43" s="83" t="str">
        <f>VLOOKUP(LossTable[[#This Row],[Department]],$A$15:$B$40,2,FALSE)</f>
        <v>Insurance</v>
      </c>
    </row>
    <row r="44" spans="1:25" x14ac:dyDescent="0.25">
      <c r="D44" s="78">
        <v>447865</v>
      </c>
      <c r="E44" s="78">
        <v>280037801</v>
      </c>
      <c r="F44" s="83" t="s">
        <v>94</v>
      </c>
      <c r="G44" s="1" t="s">
        <v>489</v>
      </c>
      <c r="H44" s="1" t="s">
        <v>16</v>
      </c>
      <c r="I44" s="1" t="s">
        <v>497</v>
      </c>
      <c r="J44" s="1">
        <v>350000</v>
      </c>
      <c r="K44" s="1">
        <v>10000000</v>
      </c>
      <c r="L44" s="1">
        <v>0</v>
      </c>
      <c r="M44" s="1">
        <v>0</v>
      </c>
      <c r="N44" s="1" t="s">
        <v>498</v>
      </c>
      <c r="O44" s="1">
        <v>0.1</v>
      </c>
      <c r="P44" s="1">
        <v>3.5000000000000003E-2</v>
      </c>
      <c r="Q44" s="83">
        <v>46.746000000000002</v>
      </c>
      <c r="R44" s="83">
        <v>46.746000000000002</v>
      </c>
      <c r="S44" s="1">
        <v>46.746000000000002</v>
      </c>
      <c r="T44" s="83">
        <v>0</v>
      </c>
      <c r="U44" s="1" t="s">
        <v>122</v>
      </c>
      <c r="V44" s="1" t="s">
        <v>852</v>
      </c>
      <c r="W44" s="1">
        <v>3949.1976460300002</v>
      </c>
      <c r="X44" s="1"/>
      <c r="Y44" s="83" t="str">
        <f>VLOOKUP(LossTable[[#This Row],[Department]],$A$15:$B$40,2,FALSE)</f>
        <v>TP</v>
      </c>
    </row>
    <row r="45" spans="1:25" x14ac:dyDescent="0.25">
      <c r="D45" s="78">
        <v>468871</v>
      </c>
      <c r="E45" s="78">
        <v>280037801</v>
      </c>
      <c r="F45" s="83" t="s">
        <v>94</v>
      </c>
      <c r="G45" s="1" t="s">
        <v>591</v>
      </c>
      <c r="H45" s="1" t="s">
        <v>16</v>
      </c>
      <c r="I45" s="1" t="s">
        <v>592</v>
      </c>
      <c r="J45" s="1">
        <v>700000</v>
      </c>
      <c r="K45" s="1">
        <v>14000000</v>
      </c>
      <c r="L45" s="1">
        <v>0</v>
      </c>
      <c r="M45" s="1">
        <v>0</v>
      </c>
      <c r="N45" s="1" t="s">
        <v>593</v>
      </c>
      <c r="O45" s="1">
        <v>2.024</v>
      </c>
      <c r="P45" s="1">
        <v>0.05</v>
      </c>
      <c r="Q45" s="83">
        <v>11.7125</v>
      </c>
      <c r="R45" s="83">
        <v>11.7125</v>
      </c>
      <c r="S45" s="1">
        <v>11.7125</v>
      </c>
      <c r="T45" s="83">
        <v>0</v>
      </c>
      <c r="U45" s="1" t="s">
        <v>122</v>
      </c>
      <c r="V45" s="1" t="s">
        <v>852</v>
      </c>
      <c r="W45" s="1">
        <v>3949.1976460300002</v>
      </c>
      <c r="X45" s="1"/>
      <c r="Y45" s="83" t="str">
        <f>VLOOKUP(LossTable[[#This Row],[Department]],$A$15:$B$40,2,FALSE)</f>
        <v>TP</v>
      </c>
    </row>
    <row r="46" spans="1:25" x14ac:dyDescent="0.25">
      <c r="D46" s="78">
        <v>447395</v>
      </c>
      <c r="E46" s="78">
        <v>280014790</v>
      </c>
      <c r="F46" s="83" t="s">
        <v>94</v>
      </c>
      <c r="G46" s="1" t="s">
        <v>482</v>
      </c>
      <c r="H46" s="1" t="s">
        <v>16</v>
      </c>
      <c r="I46" s="1" t="s">
        <v>483</v>
      </c>
      <c r="J46" s="1">
        <v>1800000</v>
      </c>
      <c r="K46" s="1">
        <v>10000000</v>
      </c>
      <c r="L46" s="1">
        <v>0</v>
      </c>
      <c r="M46" s="1">
        <v>0</v>
      </c>
      <c r="N46" s="1" t="s">
        <v>257</v>
      </c>
      <c r="O46" s="1">
        <v>0.54</v>
      </c>
      <c r="P46" s="1">
        <v>0.18</v>
      </c>
      <c r="Q46" s="83">
        <v>16865.890200000002</v>
      </c>
      <c r="R46" s="83">
        <v>16865.890200000002</v>
      </c>
      <c r="S46" s="1">
        <v>16865.890200000002</v>
      </c>
      <c r="T46" s="83">
        <v>0</v>
      </c>
      <c r="U46" s="1" t="s">
        <v>122</v>
      </c>
      <c r="V46" s="1" t="s">
        <v>836</v>
      </c>
      <c r="W46" s="1">
        <v>4781.60363426</v>
      </c>
      <c r="X46" s="1"/>
      <c r="Y46" s="83" t="str">
        <f>VLOOKUP(LossTable[[#This Row],[Department]],$A$15:$B$40,2,FALSE)</f>
        <v>TP</v>
      </c>
    </row>
    <row r="47" spans="1:25" x14ac:dyDescent="0.25">
      <c r="D47" s="78">
        <v>431800</v>
      </c>
      <c r="E47" s="78">
        <v>280066590</v>
      </c>
      <c r="F47" s="83" t="s">
        <v>94</v>
      </c>
      <c r="G47" s="1" t="s">
        <v>272</v>
      </c>
      <c r="H47" s="1" t="s">
        <v>16</v>
      </c>
      <c r="I47" s="1" t="s">
        <v>273</v>
      </c>
      <c r="J47" s="1">
        <v>1500000</v>
      </c>
      <c r="K47" s="1">
        <v>15000000</v>
      </c>
      <c r="L47" s="1">
        <v>0</v>
      </c>
      <c r="M47" s="1">
        <v>0</v>
      </c>
      <c r="N47" s="1" t="s">
        <v>274</v>
      </c>
      <c r="O47" s="1">
        <v>0.27500000000000002</v>
      </c>
      <c r="P47" s="1">
        <v>0.1</v>
      </c>
      <c r="Q47" s="83">
        <v>520.10400000000004</v>
      </c>
      <c r="R47" s="83">
        <v>520.10400000000004</v>
      </c>
      <c r="S47" s="1">
        <v>520.10400000000004</v>
      </c>
      <c r="T47" s="83">
        <v>0</v>
      </c>
      <c r="U47" s="1" t="s">
        <v>122</v>
      </c>
      <c r="V47" s="1" t="s">
        <v>837</v>
      </c>
      <c r="W47" s="1">
        <v>3280.0940773799998</v>
      </c>
      <c r="X47" s="1"/>
      <c r="Y47" s="83" t="str">
        <f>VLOOKUP(LossTable[[#This Row],[Department]],$A$15:$B$40,2,FALSE)</f>
        <v>TP</v>
      </c>
    </row>
    <row r="48" spans="1:25" x14ac:dyDescent="0.25">
      <c r="D48" s="78">
        <v>441909</v>
      </c>
      <c r="E48" s="78">
        <v>280066590</v>
      </c>
      <c r="F48" s="83" t="s">
        <v>94</v>
      </c>
      <c r="G48" s="1" t="s">
        <v>398</v>
      </c>
      <c r="H48" s="1" t="s">
        <v>14</v>
      </c>
      <c r="I48" s="1" t="s">
        <v>399</v>
      </c>
      <c r="J48" s="1">
        <v>12000000</v>
      </c>
      <c r="K48" s="1">
        <v>40000000</v>
      </c>
      <c r="L48" s="1">
        <v>0</v>
      </c>
      <c r="M48" s="1">
        <v>0</v>
      </c>
      <c r="N48" s="1" t="s">
        <v>400</v>
      </c>
      <c r="O48" s="1">
        <v>8.8791679999999999</v>
      </c>
      <c r="P48" s="1">
        <v>0.3</v>
      </c>
      <c r="Q48" s="83">
        <v>484896.24</v>
      </c>
      <c r="R48" s="83">
        <v>484896.24</v>
      </c>
      <c r="S48" s="1">
        <v>484896.24</v>
      </c>
      <c r="T48" s="83">
        <v>0</v>
      </c>
      <c r="U48" s="1" t="s">
        <v>122</v>
      </c>
      <c r="V48" s="1" t="s">
        <v>837</v>
      </c>
      <c r="W48" s="1">
        <v>3280.0940773799998</v>
      </c>
      <c r="X48" s="1"/>
      <c r="Y48" s="83" t="str">
        <f>VLOOKUP(LossTable[[#This Row],[Department]],$A$15:$B$40,2,FALSE)</f>
        <v>TP</v>
      </c>
    </row>
    <row r="49" spans="4:25" x14ac:dyDescent="0.25">
      <c r="D49" s="78">
        <v>462731</v>
      </c>
      <c r="E49" s="78">
        <v>280037801</v>
      </c>
      <c r="F49" s="83" t="s">
        <v>94</v>
      </c>
      <c r="G49" s="1" t="s">
        <v>598</v>
      </c>
      <c r="H49" s="1" t="s">
        <v>14</v>
      </c>
      <c r="I49" s="1" t="s">
        <v>599</v>
      </c>
      <c r="J49" s="1">
        <v>375000</v>
      </c>
      <c r="K49" s="1">
        <v>5000000</v>
      </c>
      <c r="L49" s="1">
        <v>0</v>
      </c>
      <c r="M49" s="1">
        <v>0</v>
      </c>
      <c r="N49" s="1" t="s">
        <v>122</v>
      </c>
      <c r="O49" s="1">
        <v>5.6174999999999997</v>
      </c>
      <c r="P49" s="1">
        <v>7.4999999999999997E-2</v>
      </c>
      <c r="Q49" s="83">
        <v>7029.8684999999996</v>
      </c>
      <c r="R49" s="83">
        <v>7029.8684999999996</v>
      </c>
      <c r="S49" s="1">
        <v>7029.8684999999996</v>
      </c>
      <c r="T49" s="83">
        <v>0</v>
      </c>
      <c r="U49" s="1" t="s">
        <v>122</v>
      </c>
      <c r="V49" s="1" t="s">
        <v>852</v>
      </c>
      <c r="W49" s="1">
        <v>3949.1976460300002</v>
      </c>
      <c r="X49" s="1"/>
      <c r="Y49" s="83" t="str">
        <f>VLOOKUP(LossTable[[#This Row],[Department]],$A$15:$B$40,2,FALSE)</f>
        <v>TP</v>
      </c>
    </row>
    <row r="50" spans="4:25" x14ac:dyDescent="0.25">
      <c r="D50" s="78">
        <v>445987</v>
      </c>
      <c r="E50" s="78">
        <v>280014790</v>
      </c>
      <c r="F50" s="83" t="s">
        <v>94</v>
      </c>
      <c r="G50" s="1" t="s">
        <v>491</v>
      </c>
      <c r="H50" s="1" t="s">
        <v>16</v>
      </c>
      <c r="I50" s="1" t="s">
        <v>499</v>
      </c>
      <c r="J50" s="1">
        <v>829182.49450000003</v>
      </c>
      <c r="K50" s="1">
        <v>16583649.890000001</v>
      </c>
      <c r="L50" s="1">
        <v>0</v>
      </c>
      <c r="M50" s="1">
        <v>0</v>
      </c>
      <c r="N50" s="1" t="s">
        <v>360</v>
      </c>
      <c r="O50" s="1">
        <v>8.4101389999999998E-2</v>
      </c>
      <c r="P50" s="1">
        <v>0.05</v>
      </c>
      <c r="Q50" s="83">
        <v>3634.6129999999998</v>
      </c>
      <c r="R50" s="83">
        <v>3634.6129999999998</v>
      </c>
      <c r="S50" s="1">
        <v>3634.6129999999998</v>
      </c>
      <c r="T50" s="83">
        <v>0</v>
      </c>
      <c r="U50" s="1" t="s">
        <v>122</v>
      </c>
      <c r="V50" s="1" t="s">
        <v>836</v>
      </c>
      <c r="W50" s="1">
        <v>4781.60363426</v>
      </c>
      <c r="X50" s="1"/>
      <c r="Y50" s="83" t="str">
        <f>VLOOKUP(LossTable[[#This Row],[Department]],$A$15:$B$40,2,FALSE)</f>
        <v>TP</v>
      </c>
    </row>
    <row r="51" spans="4:25" x14ac:dyDescent="0.25">
      <c r="D51" s="78">
        <v>435689</v>
      </c>
      <c r="E51" s="78">
        <v>280066590</v>
      </c>
      <c r="F51" s="83" t="s">
        <v>94</v>
      </c>
      <c r="G51" s="1" t="s">
        <v>167</v>
      </c>
      <c r="H51" s="1" t="s">
        <v>16</v>
      </c>
      <c r="I51" s="1" t="s">
        <v>404</v>
      </c>
      <c r="J51" s="1">
        <v>5250000</v>
      </c>
      <c r="K51" s="1">
        <v>30000000</v>
      </c>
      <c r="L51" s="1">
        <v>0</v>
      </c>
      <c r="M51" s="1">
        <v>0</v>
      </c>
      <c r="N51" s="1" t="s">
        <v>122</v>
      </c>
      <c r="O51" s="1">
        <v>0.49996528000000001</v>
      </c>
      <c r="P51" s="1">
        <v>0.17499999999999999</v>
      </c>
      <c r="Q51" s="83">
        <v>12626.64725</v>
      </c>
      <c r="R51" s="83">
        <v>12626.64725</v>
      </c>
      <c r="S51" s="1">
        <v>12626.64725</v>
      </c>
      <c r="T51" s="83">
        <v>0</v>
      </c>
      <c r="U51" s="1" t="s">
        <v>122</v>
      </c>
      <c r="V51" s="1" t="s">
        <v>837</v>
      </c>
      <c r="W51" s="1">
        <v>3280.0940773799998</v>
      </c>
      <c r="X51" s="1"/>
      <c r="Y51" s="83" t="str">
        <f>VLOOKUP(LossTable[[#This Row],[Department]],$A$15:$B$40,2,FALSE)</f>
        <v>TP</v>
      </c>
    </row>
    <row r="52" spans="4:25" x14ac:dyDescent="0.25">
      <c r="D52" s="78">
        <v>459195</v>
      </c>
      <c r="E52" s="78">
        <v>280066590</v>
      </c>
      <c r="F52" s="83" t="s">
        <v>21</v>
      </c>
      <c r="G52" s="1" t="s">
        <v>539</v>
      </c>
      <c r="H52" s="1" t="s">
        <v>14</v>
      </c>
      <c r="I52" s="1" t="s">
        <v>540</v>
      </c>
      <c r="J52" s="1">
        <v>2245050</v>
      </c>
      <c r="K52" s="1">
        <v>16630000</v>
      </c>
      <c r="L52" s="1">
        <v>0</v>
      </c>
      <c r="M52" s="1">
        <v>0</v>
      </c>
      <c r="N52" s="1" t="s">
        <v>137</v>
      </c>
      <c r="O52" s="1">
        <v>0.99551497</v>
      </c>
      <c r="P52" s="1">
        <v>0.13500000000000001</v>
      </c>
      <c r="Q52" s="83">
        <v>85.185000000000002</v>
      </c>
      <c r="R52" s="83">
        <v>85.185000000000002</v>
      </c>
      <c r="S52" s="1">
        <v>85.185000000000002</v>
      </c>
      <c r="T52" s="83">
        <v>0</v>
      </c>
      <c r="U52" s="1" t="s">
        <v>122</v>
      </c>
      <c r="V52" s="1" t="s">
        <v>837</v>
      </c>
      <c r="W52" s="1">
        <v>3280.0940773799998</v>
      </c>
      <c r="X52" s="1"/>
      <c r="Y52" s="83" t="str">
        <f>VLOOKUP(LossTable[[#This Row],[Department]],$A$15:$B$40,2,FALSE)</f>
        <v>London</v>
      </c>
    </row>
    <row r="53" spans="4:25" x14ac:dyDescent="0.25">
      <c r="D53" s="78">
        <v>478523</v>
      </c>
      <c r="E53" s="78">
        <v>280066590</v>
      </c>
      <c r="F53" s="83" t="s">
        <v>21</v>
      </c>
      <c r="G53" s="1" t="s">
        <v>708</v>
      </c>
      <c r="H53" s="1" t="s">
        <v>14</v>
      </c>
      <c r="I53" s="1" t="s">
        <v>709</v>
      </c>
      <c r="J53" s="1">
        <v>9217500</v>
      </c>
      <c r="K53" s="1">
        <v>75000000</v>
      </c>
      <c r="L53" s="1">
        <v>0</v>
      </c>
      <c r="M53" s="1">
        <v>0</v>
      </c>
      <c r="N53" s="1" t="s">
        <v>710</v>
      </c>
      <c r="O53" s="1">
        <v>0.26666666999999999</v>
      </c>
      <c r="P53" s="1">
        <v>0.1229</v>
      </c>
      <c r="Q53" s="83">
        <v>1071.799839</v>
      </c>
      <c r="R53" s="83">
        <v>1071.799839</v>
      </c>
      <c r="S53" s="1">
        <v>1071.799839</v>
      </c>
      <c r="T53" s="83">
        <v>0</v>
      </c>
      <c r="U53" s="1" t="s">
        <v>122</v>
      </c>
      <c r="V53" s="1" t="s">
        <v>837</v>
      </c>
      <c r="W53" s="1">
        <v>3280.0940773799998</v>
      </c>
      <c r="X53" s="1"/>
      <c r="Y53" s="83" t="str">
        <f>VLOOKUP(LossTable[[#This Row],[Department]],$A$15:$B$40,2,FALSE)</f>
        <v>London</v>
      </c>
    </row>
    <row r="54" spans="4:25" x14ac:dyDescent="0.25">
      <c r="D54" s="78">
        <v>446146</v>
      </c>
      <c r="E54" s="78">
        <v>280037801</v>
      </c>
      <c r="F54" s="83" t="s">
        <v>94</v>
      </c>
      <c r="G54" s="1" t="s">
        <v>527</v>
      </c>
      <c r="H54" s="1" t="s">
        <v>16</v>
      </c>
      <c r="I54" s="1" t="s">
        <v>758</v>
      </c>
      <c r="J54" s="1">
        <v>3750000</v>
      </c>
      <c r="K54" s="1">
        <v>150000000</v>
      </c>
      <c r="L54" s="1">
        <v>0</v>
      </c>
      <c r="M54" s="1">
        <v>0</v>
      </c>
      <c r="N54" s="1" t="s">
        <v>122</v>
      </c>
      <c r="O54" s="1">
        <v>5.2747130000000003E-2</v>
      </c>
      <c r="P54" s="1">
        <v>2.5000000000000001E-2</v>
      </c>
      <c r="Q54" s="83">
        <v>47.810749999999999</v>
      </c>
      <c r="R54" s="83">
        <v>47.810749999999999</v>
      </c>
      <c r="S54" s="1">
        <v>47.810749999999999</v>
      </c>
      <c r="T54" s="83">
        <v>0</v>
      </c>
      <c r="U54" s="1" t="s">
        <v>122</v>
      </c>
      <c r="V54" s="1" t="s">
        <v>852</v>
      </c>
      <c r="W54" s="1">
        <v>3949.1976460300002</v>
      </c>
      <c r="X54" s="1"/>
      <c r="Y54" s="83" t="str">
        <f>VLOOKUP(LossTable[[#This Row],[Department]],$A$15:$B$40,2,FALSE)</f>
        <v>TP</v>
      </c>
    </row>
    <row r="55" spans="4:25" x14ac:dyDescent="0.25">
      <c r="D55" s="78">
        <v>120</v>
      </c>
      <c r="E55" s="78">
        <v>280014790</v>
      </c>
      <c r="F55" s="83" t="s">
        <v>92</v>
      </c>
      <c r="G55" s="1" t="s">
        <v>220</v>
      </c>
      <c r="H55" s="1" t="s">
        <v>16</v>
      </c>
      <c r="I55" s="1" t="s">
        <v>220</v>
      </c>
      <c r="J55" s="1">
        <v>4157913.60481088</v>
      </c>
      <c r="K55" s="1">
        <v>0</v>
      </c>
      <c r="L55" s="1">
        <v>0</v>
      </c>
      <c r="M55" s="1">
        <v>0</v>
      </c>
      <c r="N55" s="1" t="s">
        <v>44</v>
      </c>
      <c r="O55" s="1">
        <v>0</v>
      </c>
      <c r="P55" s="1">
        <v>1</v>
      </c>
      <c r="Q55" s="83">
        <v>9582.3363169999993</v>
      </c>
      <c r="R55" s="83">
        <v>9582.3363169999993</v>
      </c>
      <c r="S55" s="1">
        <v>9582.3363169999993</v>
      </c>
      <c r="T55" s="83">
        <v>0</v>
      </c>
      <c r="U55" s="1" t="s">
        <v>122</v>
      </c>
      <c r="V55" s="1" t="s">
        <v>836</v>
      </c>
      <c r="W55" s="1">
        <v>4781.60363426</v>
      </c>
      <c r="X55" s="1"/>
      <c r="Y55" s="83" t="str">
        <f>VLOOKUP(LossTable[[#This Row],[Department]],$A$15:$B$40,2,FALSE)</f>
        <v>FP</v>
      </c>
    </row>
    <row r="56" spans="4:25" x14ac:dyDescent="0.25">
      <c r="D56" s="78">
        <v>483214</v>
      </c>
      <c r="E56" s="78">
        <v>280014790</v>
      </c>
      <c r="F56" s="83" t="s">
        <v>94</v>
      </c>
      <c r="G56" s="1" t="s">
        <v>715</v>
      </c>
      <c r="H56" s="1" t="s">
        <v>16</v>
      </c>
      <c r="I56" s="1" t="s">
        <v>716</v>
      </c>
      <c r="J56" s="1">
        <v>3000000</v>
      </c>
      <c r="K56" s="1">
        <v>40000000</v>
      </c>
      <c r="L56" s="1">
        <v>0</v>
      </c>
      <c r="M56" s="1">
        <v>0</v>
      </c>
      <c r="N56" s="1" t="s">
        <v>122</v>
      </c>
      <c r="O56" s="1">
        <v>9.9936960000000005E-2</v>
      </c>
      <c r="P56" s="1">
        <v>7.4999999999999997E-2</v>
      </c>
      <c r="Q56" s="83">
        <v>89.644499999999994</v>
      </c>
      <c r="R56" s="83">
        <v>89.644499999999994</v>
      </c>
      <c r="S56" s="1">
        <v>89.644499999999994</v>
      </c>
      <c r="T56" s="83">
        <v>0</v>
      </c>
      <c r="U56" s="1" t="s">
        <v>122</v>
      </c>
      <c r="V56" s="1" t="s">
        <v>836</v>
      </c>
      <c r="W56" s="1">
        <v>4781.60363426</v>
      </c>
      <c r="X56" s="1"/>
      <c r="Y56" s="83" t="str">
        <f>VLOOKUP(LossTable[[#This Row],[Department]],$A$15:$B$40,2,FALSE)</f>
        <v>TP</v>
      </c>
    </row>
    <row r="57" spans="4:25" x14ac:dyDescent="0.25">
      <c r="D57" s="78">
        <v>448492</v>
      </c>
      <c r="E57" s="78">
        <v>280014790</v>
      </c>
      <c r="F57" s="83" t="s">
        <v>94</v>
      </c>
      <c r="G57" s="1" t="s">
        <v>533</v>
      </c>
      <c r="H57" s="1" t="s">
        <v>16</v>
      </c>
      <c r="I57" s="1" t="s">
        <v>534</v>
      </c>
      <c r="J57" s="1">
        <v>7500000</v>
      </c>
      <c r="K57" s="1">
        <v>300000000</v>
      </c>
      <c r="L57" s="1">
        <v>0</v>
      </c>
      <c r="M57" s="1">
        <v>0</v>
      </c>
      <c r="N57" s="1" t="s">
        <v>535</v>
      </c>
      <c r="O57" s="1">
        <v>0.315</v>
      </c>
      <c r="P57" s="1">
        <v>2.5000000000000001E-2</v>
      </c>
      <c r="Q57" s="83">
        <v>18229.169249999999</v>
      </c>
      <c r="R57" s="83">
        <v>18229.169249999999</v>
      </c>
      <c r="S57" s="1">
        <v>18229.169249999999</v>
      </c>
      <c r="T57" s="83">
        <v>0</v>
      </c>
      <c r="U57" s="1" t="s">
        <v>122</v>
      </c>
      <c r="V57" s="1" t="s">
        <v>836</v>
      </c>
      <c r="W57" s="1">
        <v>4781.60363426</v>
      </c>
      <c r="X57" s="1"/>
      <c r="Y57" s="83" t="str">
        <f>VLOOKUP(LossTable[[#This Row],[Department]],$A$15:$B$40,2,FALSE)</f>
        <v>TP</v>
      </c>
    </row>
    <row r="58" spans="4:25" x14ac:dyDescent="0.25">
      <c r="D58" s="78">
        <v>420186</v>
      </c>
      <c r="E58" s="78">
        <v>280037801</v>
      </c>
      <c r="F58" s="83" t="s">
        <v>94</v>
      </c>
      <c r="G58" s="1" t="s">
        <v>170</v>
      </c>
      <c r="H58" s="1" t="s">
        <v>14</v>
      </c>
      <c r="I58" s="1" t="s">
        <v>171</v>
      </c>
      <c r="J58" s="1">
        <v>2250000</v>
      </c>
      <c r="K58" s="1">
        <v>50000000</v>
      </c>
      <c r="L58" s="1">
        <v>0</v>
      </c>
      <c r="M58" s="1">
        <v>0</v>
      </c>
      <c r="N58" s="1" t="s">
        <v>166</v>
      </c>
      <c r="O58" s="1">
        <v>1.3646039999999999</v>
      </c>
      <c r="P58" s="1">
        <v>4.4999999999999998E-2</v>
      </c>
      <c r="Q58" s="83">
        <v>35403.046199999997</v>
      </c>
      <c r="R58" s="83">
        <v>35403.046199999997</v>
      </c>
      <c r="S58" s="1">
        <v>35403.046199999997</v>
      </c>
      <c r="T58" s="83">
        <v>0</v>
      </c>
      <c r="U58" s="1" t="s">
        <v>122</v>
      </c>
      <c r="V58" s="1" t="s">
        <v>852</v>
      </c>
      <c r="W58" s="1">
        <v>3949.1976460300002</v>
      </c>
      <c r="X58" s="1"/>
      <c r="Y58" s="83" t="str">
        <f>VLOOKUP(LossTable[[#This Row],[Department]],$A$15:$B$40,2,FALSE)</f>
        <v>TP</v>
      </c>
    </row>
    <row r="59" spans="4:25" x14ac:dyDescent="0.25">
      <c r="D59" s="78">
        <v>484541</v>
      </c>
      <c r="E59" s="78">
        <v>280037801</v>
      </c>
      <c r="F59" s="83" t="s">
        <v>94</v>
      </c>
      <c r="G59" s="1" t="s">
        <v>596</v>
      </c>
      <c r="H59" s="1" t="s">
        <v>14</v>
      </c>
      <c r="I59" s="1" t="s">
        <v>742</v>
      </c>
      <c r="J59" s="1">
        <v>1500000</v>
      </c>
      <c r="K59" s="1">
        <v>20000000</v>
      </c>
      <c r="L59" s="1">
        <v>0</v>
      </c>
      <c r="M59" s="1">
        <v>0</v>
      </c>
      <c r="N59" s="1" t="s">
        <v>122</v>
      </c>
      <c r="O59" s="1">
        <v>0.95</v>
      </c>
      <c r="P59" s="1">
        <v>7.4999999999999997E-2</v>
      </c>
      <c r="Q59" s="83">
        <v>2687.337</v>
      </c>
      <c r="R59" s="83">
        <v>2687.337</v>
      </c>
      <c r="S59" s="1">
        <v>2687.337</v>
      </c>
      <c r="T59" s="83">
        <v>0</v>
      </c>
      <c r="U59" s="1" t="s">
        <v>122</v>
      </c>
      <c r="V59" s="1" t="s">
        <v>852</v>
      </c>
      <c r="W59" s="1">
        <v>3949.1976460300002</v>
      </c>
      <c r="X59" s="1"/>
      <c r="Y59" s="83" t="str">
        <f>VLOOKUP(LossTable[[#This Row],[Department]],$A$15:$B$40,2,FALSE)</f>
        <v>TP</v>
      </c>
    </row>
    <row r="60" spans="4:25" x14ac:dyDescent="0.25">
      <c r="D60" s="78">
        <v>426913</v>
      </c>
      <c r="E60" s="78">
        <v>280014790</v>
      </c>
      <c r="F60" s="83" t="s">
        <v>94</v>
      </c>
      <c r="G60" s="1" t="s">
        <v>336</v>
      </c>
      <c r="H60" s="1" t="s">
        <v>14</v>
      </c>
      <c r="I60" s="1" t="s">
        <v>337</v>
      </c>
      <c r="J60" s="1">
        <v>22732750</v>
      </c>
      <c r="K60" s="1">
        <v>227327500</v>
      </c>
      <c r="L60" s="1">
        <v>0</v>
      </c>
      <c r="M60" s="1">
        <v>0</v>
      </c>
      <c r="N60" s="1" t="s">
        <v>251</v>
      </c>
      <c r="O60" s="1">
        <v>0.8</v>
      </c>
      <c r="P60" s="1">
        <v>0.1</v>
      </c>
      <c r="Q60" s="83">
        <v>141446.83199999999</v>
      </c>
      <c r="R60" s="83">
        <v>141446.83199999999</v>
      </c>
      <c r="S60" s="1">
        <v>141446.83199999999</v>
      </c>
      <c r="T60" s="83">
        <v>0</v>
      </c>
      <c r="U60" s="1" t="s">
        <v>122</v>
      </c>
      <c r="V60" s="1" t="s">
        <v>836</v>
      </c>
      <c r="W60" s="1">
        <v>4781.60363426</v>
      </c>
      <c r="X60" s="1"/>
      <c r="Y60" s="83" t="str">
        <f>VLOOKUP(LossTable[[#This Row],[Department]],$A$15:$B$40,2,FALSE)</f>
        <v>TP</v>
      </c>
    </row>
    <row r="61" spans="4:25" x14ac:dyDescent="0.25">
      <c r="D61" s="78">
        <v>329067</v>
      </c>
      <c r="E61" s="78">
        <v>280066590</v>
      </c>
      <c r="F61" s="83" t="s">
        <v>127</v>
      </c>
      <c r="G61" s="1" t="s">
        <v>128</v>
      </c>
      <c r="H61" s="1" t="s">
        <v>14</v>
      </c>
      <c r="I61" s="1" t="s">
        <v>129</v>
      </c>
      <c r="J61" s="1">
        <v>100178784.83</v>
      </c>
      <c r="K61" s="1">
        <v>100178784.83</v>
      </c>
      <c r="L61" s="1">
        <v>0</v>
      </c>
      <c r="M61" s="1">
        <v>0</v>
      </c>
      <c r="N61" s="1" t="s">
        <v>14</v>
      </c>
      <c r="O61" s="1">
        <v>2.4955379999999999E-2</v>
      </c>
      <c r="P61" s="1">
        <v>1</v>
      </c>
      <c r="Q61" s="83">
        <v>63148.02</v>
      </c>
      <c r="R61" s="83">
        <v>63148.02</v>
      </c>
      <c r="S61" s="1">
        <v>63148.02</v>
      </c>
      <c r="T61" s="83">
        <v>0</v>
      </c>
      <c r="U61" s="1" t="s">
        <v>122</v>
      </c>
      <c r="V61" s="1" t="s">
        <v>837</v>
      </c>
      <c r="W61" s="1">
        <v>3280.0940773799998</v>
      </c>
      <c r="X61" s="1"/>
      <c r="Y61" s="83" t="str">
        <f>VLOOKUP(LossTable[[#This Row],[Department]],$A$15:$B$40,2,FALSE)</f>
        <v>Insurance</v>
      </c>
    </row>
    <row r="62" spans="4:25" x14ac:dyDescent="0.25">
      <c r="D62" s="78">
        <v>444256</v>
      </c>
      <c r="E62" s="78">
        <v>280037801</v>
      </c>
      <c r="F62" s="83" t="s">
        <v>94</v>
      </c>
      <c r="G62" s="1" t="s">
        <v>814</v>
      </c>
      <c r="H62" s="1" t="s">
        <v>13</v>
      </c>
      <c r="I62" s="1" t="s">
        <v>815</v>
      </c>
      <c r="J62" s="1">
        <v>4000000</v>
      </c>
      <c r="K62" s="1">
        <v>50000000</v>
      </c>
      <c r="L62" s="1">
        <v>10000000</v>
      </c>
      <c r="M62" s="1">
        <v>0</v>
      </c>
      <c r="N62" s="1" t="s">
        <v>816</v>
      </c>
      <c r="O62" s="1">
        <v>0.2</v>
      </c>
      <c r="P62" s="1">
        <v>0.08</v>
      </c>
      <c r="Q62" s="83">
        <v>408260.97759999998</v>
      </c>
      <c r="R62" s="83">
        <v>268721.34978785901</v>
      </c>
      <c r="S62" s="1">
        <v>268721.34978785901</v>
      </c>
      <c r="T62" s="83">
        <v>53744.141264404498</v>
      </c>
      <c r="U62" s="1" t="s">
        <v>122</v>
      </c>
      <c r="V62" s="1" t="s">
        <v>852</v>
      </c>
      <c r="W62" s="1">
        <v>3949.1976460300002</v>
      </c>
      <c r="X62" s="1"/>
      <c r="Y62" s="83" t="str">
        <f>VLOOKUP(LossTable[[#This Row],[Department]],$A$15:$B$40,2,FALSE)</f>
        <v>TP</v>
      </c>
    </row>
    <row r="63" spans="4:25" x14ac:dyDescent="0.25">
      <c r="D63" s="78">
        <v>122</v>
      </c>
      <c r="E63" s="78">
        <v>280037801</v>
      </c>
      <c r="F63" s="83" t="s">
        <v>92</v>
      </c>
      <c r="G63" s="1" t="s">
        <v>220</v>
      </c>
      <c r="H63" s="1" t="s">
        <v>16</v>
      </c>
      <c r="I63" s="1" t="s">
        <v>220</v>
      </c>
      <c r="J63" s="1">
        <v>63556412.625237398</v>
      </c>
      <c r="K63" s="1">
        <v>0</v>
      </c>
      <c r="L63" s="1">
        <v>0</v>
      </c>
      <c r="M63" s="1">
        <v>0</v>
      </c>
      <c r="N63" s="1" t="s">
        <v>44</v>
      </c>
      <c r="O63" s="1">
        <v>0</v>
      </c>
      <c r="P63" s="1">
        <v>1</v>
      </c>
      <c r="Q63" s="83">
        <v>2146.94479</v>
      </c>
      <c r="R63" s="83">
        <v>2146.94479</v>
      </c>
      <c r="S63" s="1">
        <v>2146.94479</v>
      </c>
      <c r="T63" s="83">
        <v>0</v>
      </c>
      <c r="U63" s="1" t="s">
        <v>122</v>
      </c>
      <c r="V63" s="1" t="s">
        <v>852</v>
      </c>
      <c r="W63" s="1">
        <v>3949.1976460300002</v>
      </c>
      <c r="X63" s="1"/>
      <c r="Y63" s="83" t="str">
        <f>VLOOKUP(LossTable[[#This Row],[Department]],$A$15:$B$40,2,FALSE)</f>
        <v>FP</v>
      </c>
    </row>
    <row r="64" spans="4:25" x14ac:dyDescent="0.25">
      <c r="D64" s="78">
        <v>141</v>
      </c>
      <c r="E64" s="78">
        <v>280037801</v>
      </c>
      <c r="F64" s="83" t="s">
        <v>45</v>
      </c>
      <c r="G64" s="1" t="s">
        <v>46</v>
      </c>
      <c r="H64" s="1" t="s">
        <v>16</v>
      </c>
      <c r="I64" s="1" t="s">
        <v>46</v>
      </c>
      <c r="J64" s="1">
        <v>58990116</v>
      </c>
      <c r="K64" s="1">
        <v>0</v>
      </c>
      <c r="L64" s="1">
        <v>0</v>
      </c>
      <c r="M64" s="1">
        <v>0</v>
      </c>
      <c r="N64" s="1" t="s">
        <v>44</v>
      </c>
      <c r="O64" s="1">
        <v>0</v>
      </c>
      <c r="P64" s="1">
        <v>1</v>
      </c>
      <c r="Q64" s="83">
        <v>7582.2352499999997</v>
      </c>
      <c r="R64" s="83">
        <v>7582.2352499999997</v>
      </c>
      <c r="S64" s="1">
        <v>7582.2352499999997</v>
      </c>
      <c r="T64" s="83">
        <v>0</v>
      </c>
      <c r="U64" s="1" t="s">
        <v>122</v>
      </c>
      <c r="V64" s="1" t="s">
        <v>852</v>
      </c>
      <c r="W64" s="1">
        <v>3949.1976460300002</v>
      </c>
      <c r="X64" s="1"/>
      <c r="Y64" s="83" t="str">
        <f>VLOOKUP(LossTable[[#This Row],[Department]],$A$15:$B$40,2,FALSE)</f>
        <v>FP</v>
      </c>
    </row>
    <row r="65" spans="4:25" x14ac:dyDescent="0.25">
      <c r="D65" s="78">
        <v>449439</v>
      </c>
      <c r="E65" s="78">
        <v>280037801</v>
      </c>
      <c r="F65" s="83" t="s">
        <v>21</v>
      </c>
      <c r="G65" s="1" t="s">
        <v>567</v>
      </c>
      <c r="H65" s="1" t="s">
        <v>14</v>
      </c>
      <c r="I65" s="1" t="s">
        <v>568</v>
      </c>
      <c r="J65" s="1">
        <v>3032192.2302246098</v>
      </c>
      <c r="K65" s="1">
        <v>134764099.12109399</v>
      </c>
      <c r="L65" s="1">
        <v>0</v>
      </c>
      <c r="M65" s="1">
        <v>0</v>
      </c>
      <c r="N65" s="1" t="s">
        <v>335</v>
      </c>
      <c r="O65" s="1">
        <v>0.628</v>
      </c>
      <c r="P65" s="1">
        <v>2.2499999999999999E-2</v>
      </c>
      <c r="Q65" s="83">
        <v>635.04990870999995</v>
      </c>
      <c r="R65" s="83">
        <v>635.04990870999995</v>
      </c>
      <c r="S65" s="1">
        <v>635.04990870999995</v>
      </c>
      <c r="T65" s="83">
        <v>0</v>
      </c>
      <c r="U65" s="1" t="s">
        <v>122</v>
      </c>
      <c r="V65" s="1" t="s">
        <v>852</v>
      </c>
      <c r="W65" s="1">
        <v>3949.1976460300002</v>
      </c>
      <c r="X65" s="1"/>
      <c r="Y65" s="83" t="str">
        <f>VLOOKUP(LossTable[[#This Row],[Department]],$A$15:$B$40,2,FALSE)</f>
        <v>London</v>
      </c>
    </row>
    <row r="66" spans="4:25" x14ac:dyDescent="0.25">
      <c r="D66" s="78">
        <v>422349</v>
      </c>
      <c r="E66" s="78">
        <v>280014790</v>
      </c>
      <c r="F66" s="83" t="s">
        <v>94</v>
      </c>
      <c r="G66" s="1" t="s">
        <v>275</v>
      </c>
      <c r="H66" s="1" t="s">
        <v>16</v>
      </c>
      <c r="I66" s="1" t="s">
        <v>276</v>
      </c>
      <c r="J66" s="1">
        <v>800000</v>
      </c>
      <c r="K66" s="1">
        <v>40000000</v>
      </c>
      <c r="L66" s="1">
        <v>0</v>
      </c>
      <c r="M66" s="1">
        <v>0</v>
      </c>
      <c r="N66" s="1" t="s">
        <v>277</v>
      </c>
      <c r="O66" s="1">
        <v>0.1125</v>
      </c>
      <c r="P66" s="1">
        <v>0.02</v>
      </c>
      <c r="Q66" s="83">
        <v>591.1146</v>
      </c>
      <c r="R66" s="83">
        <v>591.1146</v>
      </c>
      <c r="S66" s="1">
        <v>591.1146</v>
      </c>
      <c r="T66" s="83">
        <v>0</v>
      </c>
      <c r="U66" s="1" t="s">
        <v>122</v>
      </c>
      <c r="V66" s="1" t="s">
        <v>836</v>
      </c>
      <c r="W66" s="1">
        <v>4781.60363426</v>
      </c>
      <c r="X66" s="1"/>
      <c r="Y66" s="83" t="str">
        <f>VLOOKUP(LossTable[[#This Row],[Department]],$A$15:$B$40,2,FALSE)</f>
        <v>TP</v>
      </c>
    </row>
    <row r="67" spans="4:25" x14ac:dyDescent="0.25">
      <c r="D67" s="78">
        <v>471433</v>
      </c>
      <c r="E67" s="78">
        <v>280014790</v>
      </c>
      <c r="F67" s="83" t="s">
        <v>45</v>
      </c>
      <c r="G67" s="1" t="s">
        <v>618</v>
      </c>
      <c r="H67" s="1" t="s">
        <v>14</v>
      </c>
      <c r="I67" s="1" t="s">
        <v>619</v>
      </c>
      <c r="J67" s="1">
        <v>9000000</v>
      </c>
      <c r="K67" s="1">
        <v>60000000</v>
      </c>
      <c r="L67" s="1">
        <v>0</v>
      </c>
      <c r="M67" s="1">
        <v>0</v>
      </c>
      <c r="N67" s="1" t="s">
        <v>620</v>
      </c>
      <c r="O67" s="1">
        <v>0.91666667000000002</v>
      </c>
      <c r="P67" s="1">
        <v>0.15</v>
      </c>
      <c r="Q67" s="83">
        <v>260.721</v>
      </c>
      <c r="R67" s="83">
        <v>260.721</v>
      </c>
      <c r="S67" s="1">
        <v>260.721</v>
      </c>
      <c r="T67" s="83">
        <v>0</v>
      </c>
      <c r="U67" s="1" t="s">
        <v>122</v>
      </c>
      <c r="V67" s="1" t="s">
        <v>836</v>
      </c>
      <c r="W67" s="1">
        <v>4781.60363426</v>
      </c>
      <c r="X67" s="1"/>
      <c r="Y67" s="83" t="str">
        <f>VLOOKUP(LossTable[[#This Row],[Department]],$A$15:$B$40,2,FALSE)</f>
        <v>FP</v>
      </c>
    </row>
    <row r="68" spans="4:25" x14ac:dyDescent="0.25">
      <c r="D68" s="78">
        <v>427961</v>
      </c>
      <c r="E68" s="78">
        <v>280066590</v>
      </c>
      <c r="F68" s="83" t="s">
        <v>94</v>
      </c>
      <c r="G68" s="1" t="s">
        <v>344</v>
      </c>
      <c r="H68" s="1" t="s">
        <v>16</v>
      </c>
      <c r="I68" s="1" t="s">
        <v>755</v>
      </c>
      <c r="J68" s="1">
        <v>200000</v>
      </c>
      <c r="K68" s="1">
        <v>10000000</v>
      </c>
      <c r="L68" s="1">
        <v>0</v>
      </c>
      <c r="M68" s="1">
        <v>0</v>
      </c>
      <c r="N68" s="1" t="s">
        <v>315</v>
      </c>
      <c r="O68" s="1">
        <v>0.40000011000000002</v>
      </c>
      <c r="P68" s="1">
        <v>0.02</v>
      </c>
      <c r="Q68" s="83">
        <v>589.80280000000005</v>
      </c>
      <c r="R68" s="83">
        <v>589.80280000000005</v>
      </c>
      <c r="S68" s="1">
        <v>589.80280000000005</v>
      </c>
      <c r="T68" s="83">
        <v>0</v>
      </c>
      <c r="U68" s="1" t="s">
        <v>122</v>
      </c>
      <c r="V68" s="1" t="s">
        <v>837</v>
      </c>
      <c r="W68" s="1">
        <v>3280.0940773799998</v>
      </c>
      <c r="X68" s="1"/>
      <c r="Y68" s="83" t="str">
        <f>VLOOKUP(LossTable[[#This Row],[Department]],$A$15:$B$40,2,FALSE)</f>
        <v>TP</v>
      </c>
    </row>
    <row r="69" spans="4:25" x14ac:dyDescent="0.25">
      <c r="D69" s="78">
        <v>443278</v>
      </c>
      <c r="E69" s="78">
        <v>280014790</v>
      </c>
      <c r="F69" s="83" t="s">
        <v>45</v>
      </c>
      <c r="G69" s="1" t="s">
        <v>433</v>
      </c>
      <c r="H69" s="1" t="s">
        <v>16</v>
      </c>
      <c r="I69" s="1" t="s">
        <v>434</v>
      </c>
      <c r="J69" s="1">
        <v>500000</v>
      </c>
      <c r="K69" s="1">
        <v>1000000</v>
      </c>
      <c r="L69" s="1">
        <v>0</v>
      </c>
      <c r="M69" s="1">
        <v>0</v>
      </c>
      <c r="N69" s="1" t="s">
        <v>435</v>
      </c>
      <c r="O69" s="1">
        <v>0.82499999999999996</v>
      </c>
      <c r="P69" s="1">
        <v>0.5</v>
      </c>
      <c r="Q69" s="83">
        <v>250595.345</v>
      </c>
      <c r="R69" s="83">
        <v>250595.345</v>
      </c>
      <c r="S69" s="1">
        <v>250595.345</v>
      </c>
      <c r="T69" s="83">
        <v>200003.51250000001</v>
      </c>
      <c r="U69" s="1" t="s">
        <v>122</v>
      </c>
      <c r="V69" s="1" t="s">
        <v>836</v>
      </c>
      <c r="W69" s="1">
        <v>4781.60363426</v>
      </c>
      <c r="X69" s="1"/>
      <c r="Y69" s="83" t="str">
        <f>VLOOKUP(LossTable[[#This Row],[Department]],$A$15:$B$40,2,FALSE)</f>
        <v>FP</v>
      </c>
    </row>
    <row r="70" spans="4:25" x14ac:dyDescent="0.25">
      <c r="D70" s="78">
        <v>445988</v>
      </c>
      <c r="E70" s="78">
        <v>280066590</v>
      </c>
      <c r="F70" s="83" t="s">
        <v>94</v>
      </c>
      <c r="G70" s="1" t="s">
        <v>491</v>
      </c>
      <c r="H70" s="1" t="s">
        <v>16</v>
      </c>
      <c r="I70" s="1" t="s">
        <v>505</v>
      </c>
      <c r="J70" s="1">
        <v>746029.98149999999</v>
      </c>
      <c r="K70" s="1">
        <v>14920599.630000001</v>
      </c>
      <c r="L70" s="1">
        <v>0</v>
      </c>
      <c r="M70" s="1">
        <v>0</v>
      </c>
      <c r="N70" s="1" t="s">
        <v>341</v>
      </c>
      <c r="O70" s="1">
        <v>4.6618E-2</v>
      </c>
      <c r="P70" s="1">
        <v>0.05</v>
      </c>
      <c r="Q70" s="83">
        <v>465.20949999999999</v>
      </c>
      <c r="R70" s="83">
        <v>465.20949999999999</v>
      </c>
      <c r="S70" s="1">
        <v>465.20949999999999</v>
      </c>
      <c r="T70" s="83">
        <v>0</v>
      </c>
      <c r="U70" s="1" t="s">
        <v>122</v>
      </c>
      <c r="V70" s="1" t="s">
        <v>837</v>
      </c>
      <c r="W70" s="1">
        <v>3280.0940773799998</v>
      </c>
      <c r="X70" s="1"/>
      <c r="Y70" s="83" t="str">
        <f>VLOOKUP(LossTable[[#This Row],[Department]],$A$15:$B$40,2,FALSE)</f>
        <v>TP</v>
      </c>
    </row>
    <row r="71" spans="4:25" x14ac:dyDescent="0.25">
      <c r="D71" s="78">
        <v>438659</v>
      </c>
      <c r="E71" s="78">
        <v>280066590</v>
      </c>
      <c r="F71" s="83" t="s">
        <v>94</v>
      </c>
      <c r="G71" s="1" t="s">
        <v>485</v>
      </c>
      <c r="H71" s="1" t="s">
        <v>14</v>
      </c>
      <c r="I71" s="1" t="s">
        <v>486</v>
      </c>
      <c r="J71" s="1">
        <v>9375000</v>
      </c>
      <c r="K71" s="1">
        <v>62500000</v>
      </c>
      <c r="L71" s="1">
        <v>0</v>
      </c>
      <c r="M71" s="1">
        <v>0</v>
      </c>
      <c r="N71" s="1" t="s">
        <v>122</v>
      </c>
      <c r="O71" s="1">
        <v>0.8</v>
      </c>
      <c r="P71" s="1">
        <v>0.15</v>
      </c>
      <c r="Q71" s="83">
        <v>58597.74</v>
      </c>
      <c r="R71" s="83">
        <v>58597.74</v>
      </c>
      <c r="S71" s="1">
        <v>58597.74</v>
      </c>
      <c r="T71" s="83">
        <v>0</v>
      </c>
      <c r="U71" s="1" t="s">
        <v>122</v>
      </c>
      <c r="V71" s="1" t="s">
        <v>837</v>
      </c>
      <c r="W71" s="1">
        <v>3280.0940773799998</v>
      </c>
      <c r="X71" s="1"/>
      <c r="Y71" s="83" t="str">
        <f>VLOOKUP(LossTable[[#This Row],[Department]],$A$15:$B$40,2,FALSE)</f>
        <v>TP</v>
      </c>
    </row>
    <row r="72" spans="4:25" x14ac:dyDescent="0.25">
      <c r="D72" s="78">
        <v>445341</v>
      </c>
      <c r="E72" s="78">
        <v>280037801</v>
      </c>
      <c r="F72" s="83" t="s">
        <v>94</v>
      </c>
      <c r="G72" s="1" t="s">
        <v>416</v>
      </c>
      <c r="H72" s="1" t="s">
        <v>16</v>
      </c>
      <c r="I72" s="1" t="s">
        <v>423</v>
      </c>
      <c r="J72" s="1">
        <v>11250000</v>
      </c>
      <c r="K72" s="1">
        <v>375000000</v>
      </c>
      <c r="L72" s="1">
        <v>0</v>
      </c>
      <c r="M72" s="1">
        <v>0</v>
      </c>
      <c r="N72" s="1" t="s">
        <v>424</v>
      </c>
      <c r="O72" s="1">
        <v>4.9333330000000002E-2</v>
      </c>
      <c r="P72" s="1">
        <v>0.03</v>
      </c>
      <c r="Q72" s="83">
        <v>6.1853999999999996</v>
      </c>
      <c r="R72" s="83">
        <v>6.1853999999999996</v>
      </c>
      <c r="S72" s="1">
        <v>6.1853999999999996</v>
      </c>
      <c r="T72" s="83">
        <v>0</v>
      </c>
      <c r="U72" s="1" t="s">
        <v>122</v>
      </c>
      <c r="V72" s="1" t="s">
        <v>852</v>
      </c>
      <c r="W72" s="1">
        <v>3949.1976460300002</v>
      </c>
      <c r="X72" s="1"/>
      <c r="Y72" s="83" t="str">
        <f>VLOOKUP(LossTable[[#This Row],[Department]],$A$15:$B$40,2,FALSE)</f>
        <v>TP</v>
      </c>
    </row>
    <row r="73" spans="4:25" x14ac:dyDescent="0.25">
      <c r="D73" s="78">
        <v>479983</v>
      </c>
      <c r="E73" s="78">
        <v>280066590</v>
      </c>
      <c r="F73" s="83" t="s">
        <v>12</v>
      </c>
      <c r="G73" s="1" t="s">
        <v>652</v>
      </c>
      <c r="H73" s="1" t="s">
        <v>14</v>
      </c>
      <c r="I73" s="1" t="s">
        <v>653</v>
      </c>
      <c r="J73" s="1">
        <v>3062500</v>
      </c>
      <c r="K73" s="1">
        <v>43750000</v>
      </c>
      <c r="L73" s="1">
        <v>0</v>
      </c>
      <c r="M73" s="1">
        <v>0</v>
      </c>
      <c r="N73" s="1" t="s">
        <v>654</v>
      </c>
      <c r="O73" s="1">
        <v>0.45714285999999998</v>
      </c>
      <c r="P73" s="1">
        <v>7.0000000000000007E-2</v>
      </c>
      <c r="Q73" s="83">
        <v>2203.5783000000001</v>
      </c>
      <c r="R73" s="83">
        <v>2203.5783000000001</v>
      </c>
      <c r="S73" s="1">
        <v>2203.5783000000001</v>
      </c>
      <c r="T73" s="83">
        <v>0</v>
      </c>
      <c r="U73" s="1" t="s">
        <v>122</v>
      </c>
      <c r="V73" s="1" t="s">
        <v>837</v>
      </c>
      <c r="W73" s="1">
        <v>3280.0940773799998</v>
      </c>
      <c r="X73" s="1"/>
      <c r="Y73" s="83" t="str">
        <f>VLOOKUP(LossTable[[#This Row],[Department]],$A$15:$B$40,2,FALSE)</f>
        <v>Bermuda</v>
      </c>
    </row>
    <row r="74" spans="4:25" x14ac:dyDescent="0.25">
      <c r="D74" s="78">
        <v>430854</v>
      </c>
      <c r="E74" s="78">
        <v>280014790</v>
      </c>
      <c r="F74" s="83" t="s">
        <v>93</v>
      </c>
      <c r="G74" s="1" t="s">
        <v>333</v>
      </c>
      <c r="H74" s="1" t="s">
        <v>14</v>
      </c>
      <c r="I74" s="1" t="s">
        <v>334</v>
      </c>
      <c r="J74" s="1">
        <v>10000000</v>
      </c>
      <c r="K74" s="1">
        <v>100000000</v>
      </c>
      <c r="L74" s="1">
        <v>0</v>
      </c>
      <c r="M74" s="1">
        <v>0</v>
      </c>
      <c r="N74" s="1" t="s">
        <v>335</v>
      </c>
      <c r="O74" s="1">
        <v>0.49</v>
      </c>
      <c r="P74" s="1">
        <v>0.1</v>
      </c>
      <c r="Q74" s="83">
        <v>2681.8609999999999</v>
      </c>
      <c r="R74" s="83">
        <v>2681.8609999999999</v>
      </c>
      <c r="S74" s="1">
        <v>2681.8609999999999</v>
      </c>
      <c r="T74" s="83">
        <v>0</v>
      </c>
      <c r="U74" s="1" t="s">
        <v>122</v>
      </c>
      <c r="V74" s="1" t="s">
        <v>836</v>
      </c>
      <c r="W74" s="1">
        <v>4781.60363426</v>
      </c>
      <c r="X74" s="1"/>
      <c r="Y74" s="83" t="str">
        <f>VLOOKUP(LossTable[[#This Row],[Department]],$A$15:$B$40,2,FALSE)</f>
        <v>MEA</v>
      </c>
    </row>
    <row r="75" spans="4:25" x14ac:dyDescent="0.25">
      <c r="D75" s="78">
        <v>116</v>
      </c>
      <c r="E75" s="78">
        <v>280066590</v>
      </c>
      <c r="F75" s="83" t="s">
        <v>42</v>
      </c>
      <c r="G75" s="1" t="s">
        <v>43</v>
      </c>
      <c r="H75" s="1" t="s">
        <v>16</v>
      </c>
      <c r="I75" s="1" t="s">
        <v>43</v>
      </c>
      <c r="J75" s="1">
        <v>88718863.125521794</v>
      </c>
      <c r="K75" s="1">
        <v>0</v>
      </c>
      <c r="L75" s="1">
        <v>0</v>
      </c>
      <c r="M75" s="1">
        <v>0</v>
      </c>
      <c r="N75" s="1" t="s">
        <v>44</v>
      </c>
      <c r="O75" s="1">
        <v>0</v>
      </c>
      <c r="P75" s="1">
        <v>1</v>
      </c>
      <c r="Q75" s="83">
        <v>505.177256</v>
      </c>
      <c r="R75" s="83">
        <v>505.177256</v>
      </c>
      <c r="S75" s="1">
        <v>505.177256</v>
      </c>
      <c r="T75" s="83">
        <v>0</v>
      </c>
      <c r="U75" s="1" t="s">
        <v>122</v>
      </c>
      <c r="V75" s="1" t="s">
        <v>837</v>
      </c>
      <c r="W75" s="1">
        <v>3280.0940773799998</v>
      </c>
      <c r="X75" s="1"/>
      <c r="Y75" s="83" t="str">
        <f>VLOOKUP(LossTable[[#This Row],[Department]],$A$15:$B$40,2,FALSE)</f>
        <v>FP</v>
      </c>
    </row>
    <row r="76" spans="4:25" x14ac:dyDescent="0.25">
      <c r="D76" s="78">
        <v>483214</v>
      </c>
      <c r="E76" s="78">
        <v>280037801</v>
      </c>
      <c r="F76" s="83" t="s">
        <v>94</v>
      </c>
      <c r="G76" s="1" t="s">
        <v>715</v>
      </c>
      <c r="H76" s="1" t="s">
        <v>16</v>
      </c>
      <c r="I76" s="1" t="s">
        <v>716</v>
      </c>
      <c r="J76" s="1">
        <v>3000000</v>
      </c>
      <c r="K76" s="1">
        <v>40000000</v>
      </c>
      <c r="L76" s="1">
        <v>0</v>
      </c>
      <c r="M76" s="1">
        <v>0</v>
      </c>
      <c r="N76" s="1" t="s">
        <v>122</v>
      </c>
      <c r="O76" s="1">
        <v>9.9936960000000005E-2</v>
      </c>
      <c r="P76" s="1">
        <v>7.4999999999999997E-2</v>
      </c>
      <c r="Q76" s="83">
        <v>88.521000000000001</v>
      </c>
      <c r="R76" s="83">
        <v>88.521000000000001</v>
      </c>
      <c r="S76" s="1">
        <v>88.521000000000001</v>
      </c>
      <c r="T76" s="83">
        <v>0</v>
      </c>
      <c r="U76" s="1" t="s">
        <v>122</v>
      </c>
      <c r="V76" s="1" t="s">
        <v>852</v>
      </c>
      <c r="W76" s="1">
        <v>3949.1976460300002</v>
      </c>
      <c r="X76" s="1"/>
      <c r="Y76" s="83" t="str">
        <f>VLOOKUP(LossTable[[#This Row],[Department]],$A$15:$B$40,2,FALSE)</f>
        <v>TP</v>
      </c>
    </row>
    <row r="77" spans="4:25" x14ac:dyDescent="0.25">
      <c r="D77" s="78">
        <v>447865</v>
      </c>
      <c r="E77" s="78">
        <v>280014790</v>
      </c>
      <c r="F77" s="83" t="s">
        <v>94</v>
      </c>
      <c r="G77" s="1" t="s">
        <v>489</v>
      </c>
      <c r="H77" s="1" t="s">
        <v>16</v>
      </c>
      <c r="I77" s="1" t="s">
        <v>497</v>
      </c>
      <c r="J77" s="1">
        <v>350000</v>
      </c>
      <c r="K77" s="1">
        <v>10000000</v>
      </c>
      <c r="L77" s="1">
        <v>0</v>
      </c>
      <c r="M77" s="1">
        <v>0</v>
      </c>
      <c r="N77" s="1" t="s">
        <v>498</v>
      </c>
      <c r="O77" s="1">
        <v>0.1</v>
      </c>
      <c r="P77" s="1">
        <v>3.5000000000000003E-2</v>
      </c>
      <c r="Q77" s="83">
        <v>31.905650000000001</v>
      </c>
      <c r="R77" s="83">
        <v>31.905650000000001</v>
      </c>
      <c r="S77" s="1">
        <v>31.905650000000001</v>
      </c>
      <c r="T77" s="83">
        <v>0</v>
      </c>
      <c r="U77" s="1" t="s">
        <v>122</v>
      </c>
      <c r="V77" s="1" t="s">
        <v>836</v>
      </c>
      <c r="W77" s="1">
        <v>4781.60363426</v>
      </c>
      <c r="X77" s="1"/>
      <c r="Y77" s="83" t="str">
        <f>VLOOKUP(LossTable[[#This Row],[Department]],$A$15:$B$40,2,FALSE)</f>
        <v>TP</v>
      </c>
    </row>
    <row r="78" spans="4:25" x14ac:dyDescent="0.25">
      <c r="D78" s="78">
        <v>437878</v>
      </c>
      <c r="E78" s="78">
        <v>280066590</v>
      </c>
      <c r="F78" s="83" t="s">
        <v>45</v>
      </c>
      <c r="G78" s="1" t="s">
        <v>355</v>
      </c>
      <c r="H78" s="1" t="s">
        <v>16</v>
      </c>
      <c r="I78" s="1" t="s">
        <v>356</v>
      </c>
      <c r="J78" s="1">
        <v>1500000</v>
      </c>
      <c r="K78" s="1">
        <v>10000000</v>
      </c>
      <c r="L78" s="1">
        <v>0</v>
      </c>
      <c r="M78" s="1">
        <v>0</v>
      </c>
      <c r="N78" s="1" t="s">
        <v>357</v>
      </c>
      <c r="O78" s="1">
        <v>0.10790130000000001</v>
      </c>
      <c r="P78" s="1">
        <v>0.15</v>
      </c>
      <c r="Q78" s="83">
        <v>1555.1804999999999</v>
      </c>
      <c r="R78" s="83">
        <v>1555.1804999999999</v>
      </c>
      <c r="S78" s="1">
        <v>1555.1804999999999</v>
      </c>
      <c r="T78" s="83">
        <v>0</v>
      </c>
      <c r="U78" s="1" t="s">
        <v>122</v>
      </c>
      <c r="V78" s="1" t="s">
        <v>837</v>
      </c>
      <c r="W78" s="1">
        <v>3280.0940773799998</v>
      </c>
      <c r="X78" s="1"/>
      <c r="Y78" s="83" t="str">
        <f>VLOOKUP(LossTable[[#This Row],[Department]],$A$15:$B$40,2,FALSE)</f>
        <v>FP</v>
      </c>
    </row>
    <row r="79" spans="4:25" x14ac:dyDescent="0.25">
      <c r="D79" s="78">
        <v>426913</v>
      </c>
      <c r="E79" s="78">
        <v>280037801</v>
      </c>
      <c r="F79" s="83" t="s">
        <v>94</v>
      </c>
      <c r="G79" s="1" t="s">
        <v>336</v>
      </c>
      <c r="H79" s="1" t="s">
        <v>14</v>
      </c>
      <c r="I79" s="1" t="s">
        <v>337</v>
      </c>
      <c r="J79" s="1">
        <v>22732750</v>
      </c>
      <c r="K79" s="1">
        <v>227327500</v>
      </c>
      <c r="L79" s="1">
        <v>0</v>
      </c>
      <c r="M79" s="1">
        <v>0</v>
      </c>
      <c r="N79" s="1" t="s">
        <v>251</v>
      </c>
      <c r="O79" s="1">
        <v>0.8</v>
      </c>
      <c r="P79" s="1">
        <v>0.1</v>
      </c>
      <c r="Q79" s="83">
        <v>96514.76</v>
      </c>
      <c r="R79" s="83">
        <v>96514.76</v>
      </c>
      <c r="S79" s="1">
        <v>96514.76</v>
      </c>
      <c r="T79" s="83">
        <v>0</v>
      </c>
      <c r="U79" s="1" t="s">
        <v>122</v>
      </c>
      <c r="V79" s="1" t="s">
        <v>852</v>
      </c>
      <c r="W79" s="1">
        <v>3949.1976460300002</v>
      </c>
      <c r="X79" s="1"/>
      <c r="Y79" s="83" t="str">
        <f>VLOOKUP(LossTable[[#This Row],[Department]],$A$15:$B$40,2,FALSE)</f>
        <v>TP</v>
      </c>
    </row>
    <row r="80" spans="4:25" x14ac:dyDescent="0.25">
      <c r="D80" s="78">
        <v>445992</v>
      </c>
      <c r="E80" s="78">
        <v>280014790</v>
      </c>
      <c r="F80" s="83" t="s">
        <v>94</v>
      </c>
      <c r="G80" s="1" t="s">
        <v>440</v>
      </c>
      <c r="H80" s="1" t="s">
        <v>16</v>
      </c>
      <c r="I80" s="1" t="s">
        <v>506</v>
      </c>
      <c r="J80" s="1">
        <v>20000000</v>
      </c>
      <c r="K80" s="1">
        <v>250000000</v>
      </c>
      <c r="L80" s="1">
        <v>0</v>
      </c>
      <c r="M80" s="1">
        <v>0</v>
      </c>
      <c r="N80" s="1" t="s">
        <v>507</v>
      </c>
      <c r="O80" s="1">
        <v>0.05</v>
      </c>
      <c r="P80" s="1">
        <v>0.08</v>
      </c>
      <c r="Q80" s="83">
        <v>1568.992</v>
      </c>
      <c r="R80" s="83">
        <v>1568.992</v>
      </c>
      <c r="S80" s="1">
        <v>1568.992</v>
      </c>
      <c r="T80" s="83">
        <v>0</v>
      </c>
      <c r="U80" s="1" t="s">
        <v>122</v>
      </c>
      <c r="V80" s="1" t="s">
        <v>836</v>
      </c>
      <c r="W80" s="1">
        <v>4781.60363426</v>
      </c>
      <c r="X80" s="1"/>
      <c r="Y80" s="83" t="str">
        <f>VLOOKUP(LossTable[[#This Row],[Department]],$A$15:$B$40,2,FALSE)</f>
        <v>TP</v>
      </c>
    </row>
    <row r="81" spans="4:25" x14ac:dyDescent="0.25">
      <c r="D81" s="78">
        <v>435695</v>
      </c>
      <c r="E81" s="78">
        <v>280014790</v>
      </c>
      <c r="F81" s="83" t="s">
        <v>94</v>
      </c>
      <c r="G81" s="1" t="s">
        <v>318</v>
      </c>
      <c r="H81" s="1" t="s">
        <v>16</v>
      </c>
      <c r="I81" s="1" t="s">
        <v>319</v>
      </c>
      <c r="J81" s="1">
        <v>6000000</v>
      </c>
      <c r="K81" s="1">
        <v>120000000</v>
      </c>
      <c r="L81" s="1">
        <v>0</v>
      </c>
      <c r="M81" s="1">
        <v>0</v>
      </c>
      <c r="N81" s="1" t="s">
        <v>320</v>
      </c>
      <c r="O81" s="1">
        <v>2.2000000000000002</v>
      </c>
      <c r="P81" s="1">
        <v>0.05</v>
      </c>
      <c r="Q81" s="83">
        <v>13842.709000000001</v>
      </c>
      <c r="R81" s="83">
        <v>13842.709000000001</v>
      </c>
      <c r="S81" s="1">
        <v>13842.709000000001</v>
      </c>
      <c r="T81" s="83">
        <v>0</v>
      </c>
      <c r="U81" s="1" t="s">
        <v>122</v>
      </c>
      <c r="V81" s="1" t="s">
        <v>836</v>
      </c>
      <c r="W81" s="1">
        <v>4781.60363426</v>
      </c>
      <c r="X81" s="1"/>
      <c r="Y81" s="83" t="str">
        <f>VLOOKUP(LossTable[[#This Row],[Department]],$A$15:$B$40,2,FALSE)</f>
        <v>TP</v>
      </c>
    </row>
    <row r="82" spans="4:25" x14ac:dyDescent="0.25">
      <c r="D82" s="78">
        <v>445339</v>
      </c>
      <c r="E82" s="78">
        <v>280014790</v>
      </c>
      <c r="F82" s="83" t="s">
        <v>94</v>
      </c>
      <c r="G82" s="1" t="s">
        <v>416</v>
      </c>
      <c r="H82" s="1" t="s">
        <v>16</v>
      </c>
      <c r="I82" s="1" t="s">
        <v>417</v>
      </c>
      <c r="J82" s="1">
        <v>6875000</v>
      </c>
      <c r="K82" s="1">
        <v>275000000</v>
      </c>
      <c r="L82" s="1">
        <v>0</v>
      </c>
      <c r="M82" s="1">
        <v>0</v>
      </c>
      <c r="N82" s="1" t="s">
        <v>418</v>
      </c>
      <c r="O82" s="1">
        <v>0.42727272999999999</v>
      </c>
      <c r="P82" s="1">
        <v>2.5000000000000001E-2</v>
      </c>
      <c r="Q82" s="83">
        <v>18841.204750000001</v>
      </c>
      <c r="R82" s="83">
        <v>18841.204750000001</v>
      </c>
      <c r="S82" s="1">
        <v>18841.204750000001</v>
      </c>
      <c r="T82" s="83">
        <v>0</v>
      </c>
      <c r="U82" s="1" t="s">
        <v>122</v>
      </c>
      <c r="V82" s="1" t="s">
        <v>836</v>
      </c>
      <c r="W82" s="1">
        <v>4781.60363426</v>
      </c>
      <c r="X82" s="1"/>
      <c r="Y82" s="83" t="str">
        <f>VLOOKUP(LossTable[[#This Row],[Department]],$A$15:$B$40,2,FALSE)</f>
        <v>TP</v>
      </c>
    </row>
    <row r="83" spans="4:25" x14ac:dyDescent="0.25">
      <c r="D83" s="78">
        <v>436977</v>
      </c>
      <c r="E83" s="78">
        <v>280037801</v>
      </c>
      <c r="F83" s="83" t="s">
        <v>45</v>
      </c>
      <c r="G83" s="1" t="s">
        <v>358</v>
      </c>
      <c r="H83" s="1" t="s">
        <v>16</v>
      </c>
      <c r="I83" s="1" t="s">
        <v>359</v>
      </c>
      <c r="J83" s="1">
        <v>5174783.8514999999</v>
      </c>
      <c r="K83" s="1">
        <v>68997118.019999996</v>
      </c>
      <c r="L83" s="1">
        <v>0</v>
      </c>
      <c r="M83" s="1">
        <v>0</v>
      </c>
      <c r="N83" s="1" t="s">
        <v>360</v>
      </c>
      <c r="O83" s="1">
        <v>0.45</v>
      </c>
      <c r="P83" s="1">
        <v>7.4999999999999997E-2</v>
      </c>
      <c r="Q83" s="83">
        <v>29353.716</v>
      </c>
      <c r="R83" s="83">
        <v>29353.716</v>
      </c>
      <c r="S83" s="1">
        <v>29353.716</v>
      </c>
      <c r="T83" s="83">
        <v>0</v>
      </c>
      <c r="U83" s="1" t="s">
        <v>122</v>
      </c>
      <c r="V83" s="1" t="s">
        <v>852</v>
      </c>
      <c r="W83" s="1">
        <v>3949.1976460300002</v>
      </c>
      <c r="X83" s="1"/>
      <c r="Y83" s="83" t="str">
        <f>VLOOKUP(LossTable[[#This Row],[Department]],$A$15:$B$40,2,FALSE)</f>
        <v>FP</v>
      </c>
    </row>
    <row r="84" spans="4:25" x14ac:dyDescent="0.25">
      <c r="D84" s="78">
        <v>473162</v>
      </c>
      <c r="E84" s="78">
        <v>280066590</v>
      </c>
      <c r="F84" s="83" t="s">
        <v>94</v>
      </c>
      <c r="G84" s="1" t="s">
        <v>671</v>
      </c>
      <c r="H84" s="1" t="s">
        <v>16</v>
      </c>
      <c r="I84" s="1" t="s">
        <v>672</v>
      </c>
      <c r="J84" s="1">
        <v>1250000</v>
      </c>
      <c r="K84" s="1">
        <v>25000000</v>
      </c>
      <c r="L84" s="1">
        <v>0</v>
      </c>
      <c r="M84" s="1">
        <v>0</v>
      </c>
      <c r="N84" s="1" t="s">
        <v>407</v>
      </c>
      <c r="O84" s="1">
        <v>0.35</v>
      </c>
      <c r="P84" s="1">
        <v>0.05</v>
      </c>
      <c r="Q84" s="83">
        <v>56.970999999999997</v>
      </c>
      <c r="R84" s="83">
        <v>56.970999999999997</v>
      </c>
      <c r="S84" s="1">
        <v>56.970999999999997</v>
      </c>
      <c r="T84" s="83">
        <v>0</v>
      </c>
      <c r="U84" s="1" t="s">
        <v>122</v>
      </c>
      <c r="V84" s="1" t="s">
        <v>837</v>
      </c>
      <c r="W84" s="1">
        <v>3280.0940773799998</v>
      </c>
      <c r="X84" s="1"/>
      <c r="Y84" s="83" t="str">
        <f>VLOOKUP(LossTable[[#This Row],[Department]],$A$15:$B$40,2,FALSE)</f>
        <v>TP</v>
      </c>
    </row>
    <row r="85" spans="4:25" x14ac:dyDescent="0.25">
      <c r="D85" s="78">
        <v>484031</v>
      </c>
      <c r="E85" s="78">
        <v>280014790</v>
      </c>
      <c r="F85" s="83" t="s">
        <v>21</v>
      </c>
      <c r="G85" s="1" t="s">
        <v>729</v>
      </c>
      <c r="H85" s="1" t="s">
        <v>14</v>
      </c>
      <c r="I85" s="1" t="s">
        <v>730</v>
      </c>
      <c r="J85" s="1">
        <v>600000</v>
      </c>
      <c r="K85" s="1">
        <v>60000000</v>
      </c>
      <c r="L85" s="1">
        <v>0</v>
      </c>
      <c r="M85" s="1">
        <v>0</v>
      </c>
      <c r="N85" s="1" t="s">
        <v>620</v>
      </c>
      <c r="O85" s="1">
        <v>0.79666667000000002</v>
      </c>
      <c r="P85" s="1">
        <v>0.01</v>
      </c>
      <c r="Q85" s="83">
        <v>423.27550000000002</v>
      </c>
      <c r="R85" s="83">
        <v>423.27550000000002</v>
      </c>
      <c r="S85" s="1">
        <v>423.27550000000002</v>
      </c>
      <c r="T85" s="83">
        <v>0</v>
      </c>
      <c r="U85" s="1" t="s">
        <v>122</v>
      </c>
      <c r="V85" s="1" t="s">
        <v>836</v>
      </c>
      <c r="W85" s="1">
        <v>4781.60363426</v>
      </c>
      <c r="X85" s="1"/>
      <c r="Y85" s="83" t="str">
        <f>VLOOKUP(LossTable[[#This Row],[Department]],$A$15:$B$40,2,FALSE)</f>
        <v>London</v>
      </c>
    </row>
    <row r="86" spans="4:25" x14ac:dyDescent="0.25">
      <c r="D86" s="78">
        <v>443387</v>
      </c>
      <c r="E86" s="78">
        <v>280037801</v>
      </c>
      <c r="F86" s="83" t="s">
        <v>12</v>
      </c>
      <c r="G86" s="1" t="s">
        <v>177</v>
      </c>
      <c r="H86" s="1" t="s">
        <v>14</v>
      </c>
      <c r="I86" s="1" t="s">
        <v>178</v>
      </c>
      <c r="J86" s="1">
        <v>3375000</v>
      </c>
      <c r="K86" s="1">
        <v>33750000</v>
      </c>
      <c r="L86" s="1">
        <v>0</v>
      </c>
      <c r="M86" s="1">
        <v>0</v>
      </c>
      <c r="N86" s="1" t="s">
        <v>179</v>
      </c>
      <c r="O86" s="1">
        <v>1</v>
      </c>
      <c r="P86" s="1">
        <v>0.1</v>
      </c>
      <c r="Q86" s="83">
        <v>10699.759</v>
      </c>
      <c r="R86" s="83">
        <v>10699.759</v>
      </c>
      <c r="S86" s="1">
        <v>10699.759</v>
      </c>
      <c r="T86" s="83">
        <v>0</v>
      </c>
      <c r="U86" s="1" t="s">
        <v>122</v>
      </c>
      <c r="V86" s="1" t="s">
        <v>852</v>
      </c>
      <c r="W86" s="1">
        <v>3949.1976460300002</v>
      </c>
      <c r="X86" s="1"/>
      <c r="Y86" s="83" t="str">
        <f>VLOOKUP(LossTable[[#This Row],[Department]],$A$15:$B$40,2,FALSE)</f>
        <v>Bermuda</v>
      </c>
    </row>
    <row r="87" spans="4:25" x14ac:dyDescent="0.25">
      <c r="D87" s="78">
        <v>431666</v>
      </c>
      <c r="E87" s="78">
        <v>280014790</v>
      </c>
      <c r="F87" s="83" t="s">
        <v>45</v>
      </c>
      <c r="G87" s="1" t="s">
        <v>264</v>
      </c>
      <c r="H87" s="1" t="s">
        <v>16</v>
      </c>
      <c r="I87" s="1" t="s">
        <v>265</v>
      </c>
      <c r="J87" s="1">
        <v>5913368.0010000002</v>
      </c>
      <c r="K87" s="1">
        <v>32852044.449999999</v>
      </c>
      <c r="L87" s="1">
        <v>0</v>
      </c>
      <c r="M87" s="1">
        <v>0</v>
      </c>
      <c r="N87" s="1" t="s">
        <v>266</v>
      </c>
      <c r="O87" s="1">
        <v>8.7431700000000001E-2</v>
      </c>
      <c r="P87" s="1">
        <v>0.18</v>
      </c>
      <c r="Q87" s="83">
        <v>32191.442999999999</v>
      </c>
      <c r="R87" s="83">
        <v>32191.442999999999</v>
      </c>
      <c r="S87" s="1">
        <v>32191.442999999999</v>
      </c>
      <c r="T87" s="83">
        <v>0</v>
      </c>
      <c r="U87" s="1" t="s">
        <v>122</v>
      </c>
      <c r="V87" s="1" t="s">
        <v>836</v>
      </c>
      <c r="W87" s="1">
        <v>4781.60363426</v>
      </c>
      <c r="X87" s="1"/>
      <c r="Y87" s="83" t="str">
        <f>VLOOKUP(LossTable[[#This Row],[Department]],$A$15:$B$40,2,FALSE)</f>
        <v>FP</v>
      </c>
    </row>
    <row r="88" spans="4:25" x14ac:dyDescent="0.25">
      <c r="D88" s="78">
        <v>464234</v>
      </c>
      <c r="E88" s="78">
        <v>280037801</v>
      </c>
      <c r="F88" s="83" t="s">
        <v>94</v>
      </c>
      <c r="G88" s="1" t="s">
        <v>555</v>
      </c>
      <c r="H88" s="1" t="s">
        <v>14</v>
      </c>
      <c r="I88" s="1" t="s">
        <v>556</v>
      </c>
      <c r="J88" s="1">
        <v>12500000</v>
      </c>
      <c r="K88" s="1">
        <v>50000000</v>
      </c>
      <c r="L88" s="1">
        <v>0</v>
      </c>
      <c r="M88" s="1">
        <v>0</v>
      </c>
      <c r="N88" s="1" t="s">
        <v>166</v>
      </c>
      <c r="O88" s="1">
        <v>0.4</v>
      </c>
      <c r="P88" s="1">
        <v>0.25</v>
      </c>
      <c r="Q88" s="83">
        <v>28272.7075</v>
      </c>
      <c r="R88" s="83">
        <v>28272.7075</v>
      </c>
      <c r="S88" s="1">
        <v>28272.7075</v>
      </c>
      <c r="T88" s="83">
        <v>0</v>
      </c>
      <c r="U88" s="1" t="s">
        <v>122</v>
      </c>
      <c r="V88" s="1" t="s">
        <v>852</v>
      </c>
      <c r="W88" s="1">
        <v>3949.1976460300002</v>
      </c>
      <c r="X88" s="1"/>
      <c r="Y88" s="83" t="str">
        <f>VLOOKUP(LossTable[[#This Row],[Department]],$A$15:$B$40,2,FALSE)</f>
        <v>TP</v>
      </c>
    </row>
    <row r="89" spans="4:25" ht="14.45" customHeight="1" x14ac:dyDescent="0.25">
      <c r="D89" s="78">
        <v>479468</v>
      </c>
      <c r="E89" s="78">
        <v>280066590</v>
      </c>
      <c r="F89" s="83" t="s">
        <v>12</v>
      </c>
      <c r="G89" s="1" t="s">
        <v>717</v>
      </c>
      <c r="H89" s="1" t="s">
        <v>14</v>
      </c>
      <c r="I89" s="1" t="s">
        <v>718</v>
      </c>
      <c r="J89" s="1">
        <v>8500000</v>
      </c>
      <c r="K89" s="1">
        <v>85000000</v>
      </c>
      <c r="L89" s="1">
        <v>0</v>
      </c>
      <c r="M89" s="1">
        <v>0</v>
      </c>
      <c r="N89" s="1" t="s">
        <v>719</v>
      </c>
      <c r="O89" s="1">
        <v>1.98823529</v>
      </c>
      <c r="P89" s="1">
        <v>0.1</v>
      </c>
      <c r="Q89" s="83">
        <v>6193.509</v>
      </c>
      <c r="R89" s="83">
        <v>6193.509</v>
      </c>
      <c r="S89" s="1">
        <v>6193.509</v>
      </c>
      <c r="T89" s="83">
        <v>0</v>
      </c>
      <c r="U89" s="1" t="s">
        <v>122</v>
      </c>
      <c r="V89" s="1" t="s">
        <v>837</v>
      </c>
      <c r="W89" s="1">
        <v>3280.0940773799998</v>
      </c>
      <c r="X89" s="1"/>
      <c r="Y89" s="83" t="str">
        <f>VLOOKUP(LossTable[[#This Row],[Department]],$A$15:$B$40,2,FALSE)</f>
        <v>Bermuda</v>
      </c>
    </row>
    <row r="90" spans="4:25" ht="14.45" customHeight="1" x14ac:dyDescent="0.25">
      <c r="D90" s="78">
        <v>288758</v>
      </c>
      <c r="E90" s="78">
        <v>280066590</v>
      </c>
      <c r="F90" s="83" t="s">
        <v>87</v>
      </c>
      <c r="G90" s="1" t="s">
        <v>224</v>
      </c>
      <c r="H90" s="1" t="s">
        <v>14</v>
      </c>
      <c r="I90" s="1" t="s">
        <v>222</v>
      </c>
      <c r="J90" s="1">
        <v>1020000</v>
      </c>
      <c r="K90" s="1">
        <v>1020000</v>
      </c>
      <c r="L90" s="1">
        <v>0</v>
      </c>
      <c r="M90" s="1">
        <v>0</v>
      </c>
      <c r="N90" s="1" t="s">
        <v>14</v>
      </c>
      <c r="O90" s="1">
        <v>9.8039219999999996E-2</v>
      </c>
      <c r="P90" s="1">
        <v>1</v>
      </c>
      <c r="Q90" s="83">
        <v>343.58</v>
      </c>
      <c r="R90" s="83">
        <v>343.58</v>
      </c>
      <c r="S90" s="1">
        <v>343.58</v>
      </c>
      <c r="T90" s="83">
        <v>0</v>
      </c>
      <c r="U90" s="1" t="s">
        <v>122</v>
      </c>
      <c r="V90" s="1" t="s">
        <v>837</v>
      </c>
      <c r="W90" s="1">
        <v>3280.0940773799998</v>
      </c>
      <c r="X90" s="1"/>
      <c r="Y90" s="83" t="str">
        <f>VLOOKUP(LossTable[[#This Row],[Department]],$A$15:$B$40,2,FALSE)</f>
        <v>Insurance</v>
      </c>
    </row>
    <row r="91" spans="4:25" ht="14.45" customHeight="1" x14ac:dyDescent="0.25">
      <c r="D91" s="78">
        <v>468726</v>
      </c>
      <c r="E91" s="78">
        <v>280037801</v>
      </c>
      <c r="F91" s="83" t="s">
        <v>94</v>
      </c>
      <c r="G91" s="1" t="s">
        <v>600</v>
      </c>
      <c r="H91" s="1" t="s">
        <v>14</v>
      </c>
      <c r="I91" s="1" t="s">
        <v>601</v>
      </c>
      <c r="J91" s="1">
        <v>20000000</v>
      </c>
      <c r="K91" s="1">
        <v>2000000000</v>
      </c>
      <c r="L91" s="1">
        <v>0</v>
      </c>
      <c r="M91" s="1">
        <v>0</v>
      </c>
      <c r="N91" s="1" t="s">
        <v>122</v>
      </c>
      <c r="O91" s="1">
        <v>0.72499999999999998</v>
      </c>
      <c r="P91" s="1">
        <v>0.01</v>
      </c>
      <c r="Q91" s="83">
        <v>234217.8363</v>
      </c>
      <c r="R91" s="83">
        <v>234217.8363</v>
      </c>
      <c r="S91" s="1">
        <v>234217.8363</v>
      </c>
      <c r="T91" s="83">
        <v>0</v>
      </c>
      <c r="U91" s="1" t="s">
        <v>122</v>
      </c>
      <c r="V91" s="1" t="s">
        <v>852</v>
      </c>
      <c r="W91" s="1">
        <v>3949.1976460300002</v>
      </c>
      <c r="X91" s="1"/>
      <c r="Y91" s="83" t="str">
        <f>VLOOKUP(LossTable[[#This Row],[Department]],$A$15:$B$40,2,FALSE)</f>
        <v>TP</v>
      </c>
    </row>
    <row r="92" spans="4:25" ht="14.45" customHeight="1" x14ac:dyDescent="0.25">
      <c r="D92" s="78">
        <v>435835</v>
      </c>
      <c r="E92" s="78">
        <v>280037801</v>
      </c>
      <c r="F92" s="83" t="s">
        <v>94</v>
      </c>
      <c r="G92" s="1" t="s">
        <v>167</v>
      </c>
      <c r="H92" s="1" t="s">
        <v>14</v>
      </c>
      <c r="I92" s="1" t="s">
        <v>168</v>
      </c>
      <c r="J92" s="1">
        <v>26250000</v>
      </c>
      <c r="K92" s="1">
        <v>375000000</v>
      </c>
      <c r="L92" s="1">
        <v>0</v>
      </c>
      <c r="M92" s="1">
        <v>0</v>
      </c>
      <c r="N92" s="1" t="s">
        <v>169</v>
      </c>
      <c r="O92" s="1">
        <v>0.95251441000000003</v>
      </c>
      <c r="P92" s="1">
        <v>7.0000000000000007E-2</v>
      </c>
      <c r="Q92" s="83">
        <v>285081.48830000003</v>
      </c>
      <c r="R92" s="83">
        <v>285081.48830000003</v>
      </c>
      <c r="S92" s="1">
        <v>285081.48830000003</v>
      </c>
      <c r="T92" s="83">
        <v>0</v>
      </c>
      <c r="U92" s="1" t="s">
        <v>122</v>
      </c>
      <c r="V92" s="1" t="s">
        <v>852</v>
      </c>
      <c r="W92" s="1">
        <v>3949.1976460300002</v>
      </c>
      <c r="X92" s="1"/>
      <c r="Y92" s="83" t="str">
        <f>VLOOKUP(LossTable[[#This Row],[Department]],$A$15:$B$40,2,FALSE)</f>
        <v>TP</v>
      </c>
    </row>
    <row r="93" spans="4:25" ht="14.45" customHeight="1" x14ac:dyDescent="0.25">
      <c r="D93" s="78">
        <v>48044</v>
      </c>
      <c r="E93" s="78">
        <v>280037801</v>
      </c>
      <c r="F93" s="83" t="s">
        <v>87</v>
      </c>
      <c r="G93" s="1" t="s">
        <v>226</v>
      </c>
      <c r="H93" s="1" t="s">
        <v>14</v>
      </c>
      <c r="I93" s="1" t="s">
        <v>227</v>
      </c>
      <c r="J93" s="1">
        <v>324867092.31</v>
      </c>
      <c r="K93" s="1">
        <v>324867092.31</v>
      </c>
      <c r="L93" s="1">
        <v>0</v>
      </c>
      <c r="M93" s="1">
        <v>0</v>
      </c>
      <c r="N93" s="1" t="s">
        <v>14</v>
      </c>
      <c r="O93" s="1">
        <v>0.55811878999999998</v>
      </c>
      <c r="P93" s="1">
        <v>1</v>
      </c>
      <c r="Q93" s="83">
        <v>1564884.85</v>
      </c>
      <c r="R93" s="83">
        <v>1564884.85</v>
      </c>
      <c r="S93" s="1">
        <v>1564884.85</v>
      </c>
      <c r="T93" s="83">
        <v>0</v>
      </c>
      <c r="U93" s="1" t="s">
        <v>122</v>
      </c>
      <c r="V93" s="1" t="s">
        <v>852</v>
      </c>
      <c r="W93" s="1">
        <v>3949.1976460300002</v>
      </c>
      <c r="X93" s="1"/>
      <c r="Y93" s="83" t="str">
        <f>VLOOKUP(LossTable[[#This Row],[Department]],$A$15:$B$40,2,FALSE)</f>
        <v>Insurance</v>
      </c>
    </row>
    <row r="94" spans="4:25" ht="14.45" customHeight="1" x14ac:dyDescent="0.25">
      <c r="D94" s="78">
        <v>449981</v>
      </c>
      <c r="E94" s="78">
        <v>280037801</v>
      </c>
      <c r="F94" s="83" t="s">
        <v>94</v>
      </c>
      <c r="G94" s="1" t="s">
        <v>584</v>
      </c>
      <c r="H94" s="1" t="s">
        <v>16</v>
      </c>
      <c r="I94" s="1" t="s">
        <v>585</v>
      </c>
      <c r="J94" s="1">
        <v>900000</v>
      </c>
      <c r="K94" s="1">
        <v>15000000</v>
      </c>
      <c r="L94" s="1">
        <v>0</v>
      </c>
      <c r="M94" s="1">
        <v>0</v>
      </c>
      <c r="N94" s="1" t="s">
        <v>271</v>
      </c>
      <c r="O94" s="1">
        <v>0.22500000000000001</v>
      </c>
      <c r="P94" s="1">
        <v>0.06</v>
      </c>
      <c r="Q94" s="83">
        <v>10.211399999999999</v>
      </c>
      <c r="R94" s="83">
        <v>10.211399999999999</v>
      </c>
      <c r="S94" s="1">
        <v>10.211399999999999</v>
      </c>
      <c r="T94" s="83">
        <v>0</v>
      </c>
      <c r="U94" s="1" t="s">
        <v>122</v>
      </c>
      <c r="V94" s="1" t="s">
        <v>852</v>
      </c>
      <c r="W94" s="1">
        <v>3949.1976460300002</v>
      </c>
      <c r="X94" s="1"/>
      <c r="Y94" s="83" t="str">
        <f>VLOOKUP(LossTable[[#This Row],[Department]],$A$15:$B$40,2,FALSE)</f>
        <v>TP</v>
      </c>
    </row>
    <row r="95" spans="4:25" ht="14.45" customHeight="1" x14ac:dyDescent="0.25">
      <c r="D95" s="78">
        <v>448494</v>
      </c>
      <c r="E95" s="78">
        <v>280037801</v>
      </c>
      <c r="F95" s="83" t="s">
        <v>94</v>
      </c>
      <c r="G95" s="1" t="s">
        <v>533</v>
      </c>
      <c r="H95" s="1" t="s">
        <v>16</v>
      </c>
      <c r="I95" s="1" t="s">
        <v>549</v>
      </c>
      <c r="J95" s="1">
        <v>35000000</v>
      </c>
      <c r="K95" s="1">
        <v>500000000</v>
      </c>
      <c r="L95" s="1">
        <v>0</v>
      </c>
      <c r="M95" s="1">
        <v>0</v>
      </c>
      <c r="N95" s="1" t="s">
        <v>550</v>
      </c>
      <c r="O95" s="1">
        <v>0.05</v>
      </c>
      <c r="P95" s="1">
        <v>7.0000000000000007E-2</v>
      </c>
      <c r="Q95" s="83">
        <v>28553.722399999999</v>
      </c>
      <c r="R95" s="83">
        <v>28553.722399999999</v>
      </c>
      <c r="S95" s="1">
        <v>28553.722399999999</v>
      </c>
      <c r="T95" s="83">
        <v>0</v>
      </c>
      <c r="U95" s="1" t="s">
        <v>122</v>
      </c>
      <c r="V95" s="1" t="s">
        <v>852</v>
      </c>
      <c r="W95" s="1">
        <v>3949.1976460300002</v>
      </c>
      <c r="X95" s="1"/>
      <c r="Y95" s="83" t="str">
        <f>VLOOKUP(LossTable[[#This Row],[Department]],$A$15:$B$40,2,FALSE)</f>
        <v>TP</v>
      </c>
    </row>
    <row r="96" spans="4:25" ht="14.45" customHeight="1" x14ac:dyDescent="0.25">
      <c r="D96" s="78">
        <v>486037</v>
      </c>
      <c r="E96" s="78">
        <v>280014790</v>
      </c>
      <c r="F96" s="83" t="s">
        <v>127</v>
      </c>
      <c r="G96" s="1" t="s">
        <v>737</v>
      </c>
      <c r="H96" s="1" t="s">
        <v>14</v>
      </c>
      <c r="I96" s="1" t="s">
        <v>136</v>
      </c>
      <c r="J96" s="1">
        <v>1012412391.53</v>
      </c>
      <c r="K96" s="1">
        <v>1012412391.53</v>
      </c>
      <c r="L96" s="1">
        <v>0</v>
      </c>
      <c r="M96" s="1">
        <v>0</v>
      </c>
      <c r="N96" s="1" t="s">
        <v>14</v>
      </c>
      <c r="O96" s="1">
        <v>2.1730299999999998E-3</v>
      </c>
      <c r="P96" s="1">
        <v>1</v>
      </c>
      <c r="Q96" s="83">
        <v>282147.67</v>
      </c>
      <c r="R96" s="83">
        <v>282147.67</v>
      </c>
      <c r="S96" s="1">
        <v>282147.67</v>
      </c>
      <c r="T96" s="83">
        <v>0</v>
      </c>
      <c r="U96" s="1" t="s">
        <v>122</v>
      </c>
      <c r="V96" s="1" t="s">
        <v>836</v>
      </c>
      <c r="W96" s="1">
        <v>4781.60363426</v>
      </c>
      <c r="X96" s="1"/>
      <c r="Y96" s="83" t="str">
        <f>VLOOKUP(LossTable[[#This Row],[Department]],$A$15:$B$40,2,FALSE)</f>
        <v>Insurance</v>
      </c>
    </row>
    <row r="97" spans="4:25" ht="14.45" customHeight="1" x14ac:dyDescent="0.25">
      <c r="D97" s="78">
        <v>484262</v>
      </c>
      <c r="E97" s="78">
        <v>280066590</v>
      </c>
      <c r="F97" s="83" t="s">
        <v>94</v>
      </c>
      <c r="G97" s="1" t="s">
        <v>686</v>
      </c>
      <c r="H97" s="1" t="s">
        <v>16</v>
      </c>
      <c r="I97" s="1" t="s">
        <v>743</v>
      </c>
      <c r="J97" s="1">
        <v>18000000</v>
      </c>
      <c r="K97" s="1">
        <v>450000000</v>
      </c>
      <c r="L97" s="1">
        <v>0</v>
      </c>
      <c r="M97" s="1">
        <v>0</v>
      </c>
      <c r="N97" s="1" t="s">
        <v>122</v>
      </c>
      <c r="O97" s="1">
        <v>4.5555560000000002E-2</v>
      </c>
      <c r="P97" s="1">
        <v>0.04</v>
      </c>
      <c r="Q97" s="83">
        <v>4628.4660000000003</v>
      </c>
      <c r="R97" s="83">
        <v>4628.4660000000003</v>
      </c>
      <c r="S97" s="1">
        <v>4628.4660000000003</v>
      </c>
      <c r="T97" s="83">
        <v>0</v>
      </c>
      <c r="U97" s="1" t="s">
        <v>122</v>
      </c>
      <c r="V97" s="1" t="s">
        <v>837</v>
      </c>
      <c r="W97" s="1">
        <v>3280.0940773799998</v>
      </c>
      <c r="X97" s="1"/>
      <c r="Y97" s="83" t="str">
        <f>VLOOKUP(LossTable[[#This Row],[Department]],$A$15:$B$40,2,FALSE)</f>
        <v>TP</v>
      </c>
    </row>
    <row r="98" spans="4:25" ht="14.45" customHeight="1" x14ac:dyDescent="0.25">
      <c r="D98" s="78">
        <v>114</v>
      </c>
      <c r="E98" s="78">
        <v>280066590</v>
      </c>
      <c r="F98" s="83" t="s">
        <v>42</v>
      </c>
      <c r="G98" s="1" t="s">
        <v>43</v>
      </c>
      <c r="H98" s="1" t="s">
        <v>16</v>
      </c>
      <c r="I98" s="1" t="s">
        <v>43</v>
      </c>
      <c r="J98" s="1">
        <v>803852369.37632203</v>
      </c>
      <c r="K98" s="1">
        <v>0</v>
      </c>
      <c r="L98" s="1">
        <v>0</v>
      </c>
      <c r="M98" s="1">
        <v>0</v>
      </c>
      <c r="N98" s="1" t="s">
        <v>44</v>
      </c>
      <c r="O98" s="1">
        <v>0</v>
      </c>
      <c r="P98" s="1">
        <v>1</v>
      </c>
      <c r="Q98" s="83">
        <v>2.9546999999999999</v>
      </c>
      <c r="R98" s="83">
        <v>2.9546999999999999</v>
      </c>
      <c r="S98" s="1">
        <v>2.9546999999999999</v>
      </c>
      <c r="T98" s="83">
        <v>0</v>
      </c>
      <c r="U98" s="1" t="s">
        <v>122</v>
      </c>
      <c r="V98" s="1" t="s">
        <v>837</v>
      </c>
      <c r="W98" s="1">
        <v>3280.0940773799998</v>
      </c>
      <c r="X98" s="1"/>
      <c r="Y98" s="83" t="str">
        <f>VLOOKUP(LossTable[[#This Row],[Department]],$A$15:$B$40,2,FALSE)</f>
        <v>FP</v>
      </c>
    </row>
    <row r="99" spans="4:25" ht="14.45" customHeight="1" x14ac:dyDescent="0.25">
      <c r="D99" s="78">
        <v>443278</v>
      </c>
      <c r="E99" s="78">
        <v>280066590</v>
      </c>
      <c r="F99" s="83" t="s">
        <v>45</v>
      </c>
      <c r="G99" s="1" t="s">
        <v>433</v>
      </c>
      <c r="H99" s="1" t="s">
        <v>16</v>
      </c>
      <c r="I99" s="1" t="s">
        <v>434</v>
      </c>
      <c r="J99" s="1">
        <v>500000</v>
      </c>
      <c r="K99" s="1">
        <v>1000000</v>
      </c>
      <c r="L99" s="1">
        <v>0</v>
      </c>
      <c r="M99" s="1">
        <v>0</v>
      </c>
      <c r="N99" s="1" t="s">
        <v>435</v>
      </c>
      <c r="O99" s="1">
        <v>0.82499999999999996</v>
      </c>
      <c r="P99" s="1">
        <v>0.5</v>
      </c>
      <c r="Q99" s="83">
        <v>97805.664999999994</v>
      </c>
      <c r="R99" s="83">
        <v>97805.664999999994</v>
      </c>
      <c r="S99" s="1">
        <v>97805.664999999994</v>
      </c>
      <c r="T99" s="83">
        <v>80689.537500010003</v>
      </c>
      <c r="U99" s="1" t="s">
        <v>122</v>
      </c>
      <c r="V99" s="1" t="s">
        <v>837</v>
      </c>
      <c r="W99" s="1">
        <v>3280.0940773799998</v>
      </c>
      <c r="X99" s="1"/>
      <c r="Y99" s="83" t="str">
        <f>VLOOKUP(LossTable[[#This Row],[Department]],$A$15:$B$40,2,FALSE)</f>
        <v>FP</v>
      </c>
    </row>
    <row r="100" spans="4:25" ht="14.45" customHeight="1" x14ac:dyDescent="0.25">
      <c r="D100" s="78">
        <v>473122</v>
      </c>
      <c r="E100" s="78">
        <v>280037801</v>
      </c>
      <c r="F100" s="83" t="s">
        <v>94</v>
      </c>
      <c r="G100" s="1" t="s">
        <v>761</v>
      </c>
      <c r="H100" s="1" t="s">
        <v>16</v>
      </c>
      <c r="I100" s="1" t="s">
        <v>762</v>
      </c>
      <c r="J100" s="1">
        <v>2000000</v>
      </c>
      <c r="K100" s="1">
        <v>10000000</v>
      </c>
      <c r="L100" s="1">
        <v>0</v>
      </c>
      <c r="M100" s="1">
        <v>0</v>
      </c>
      <c r="N100" s="1" t="s">
        <v>122</v>
      </c>
      <c r="O100" s="1">
        <v>0.32</v>
      </c>
      <c r="P100" s="1">
        <v>0.2</v>
      </c>
      <c r="Q100" s="83">
        <v>1.9059999999999999</v>
      </c>
      <c r="R100" s="83">
        <v>1.9059999999999999</v>
      </c>
      <c r="S100" s="1">
        <v>1.9059999999999999</v>
      </c>
      <c r="T100" s="83">
        <v>0</v>
      </c>
      <c r="U100" s="1" t="s">
        <v>122</v>
      </c>
      <c r="V100" s="1" t="s">
        <v>852</v>
      </c>
      <c r="W100" s="1">
        <v>3949.1976460300002</v>
      </c>
      <c r="X100" s="1"/>
      <c r="Y100" s="83" t="str">
        <f>VLOOKUP(LossTable[[#This Row],[Department]],$A$15:$B$40,2,FALSE)</f>
        <v>TP</v>
      </c>
    </row>
    <row r="101" spans="4:25" ht="14.45" customHeight="1" x14ac:dyDescent="0.25">
      <c r="D101" s="78">
        <v>479558</v>
      </c>
      <c r="E101" s="78">
        <v>280066590</v>
      </c>
      <c r="F101" s="83" t="s">
        <v>45</v>
      </c>
      <c r="G101" s="1" t="s">
        <v>643</v>
      </c>
      <c r="H101" s="1" t="s">
        <v>14</v>
      </c>
      <c r="I101" s="1" t="s">
        <v>644</v>
      </c>
      <c r="J101" s="1">
        <v>625000</v>
      </c>
      <c r="K101" s="1">
        <v>5000000</v>
      </c>
      <c r="L101" s="1">
        <v>0</v>
      </c>
      <c r="M101" s="1">
        <v>0</v>
      </c>
      <c r="N101" s="1" t="s">
        <v>645</v>
      </c>
      <c r="O101" s="1">
        <v>0.56000000000000005</v>
      </c>
      <c r="P101" s="1">
        <v>0.125</v>
      </c>
      <c r="Q101" s="83">
        <v>356.93</v>
      </c>
      <c r="R101" s="83">
        <v>356.93</v>
      </c>
      <c r="S101" s="1">
        <v>356.93</v>
      </c>
      <c r="T101" s="83">
        <v>0</v>
      </c>
      <c r="U101" s="1" t="s">
        <v>122</v>
      </c>
      <c r="V101" s="1" t="s">
        <v>837</v>
      </c>
      <c r="W101" s="1">
        <v>3280.0940773799998</v>
      </c>
      <c r="X101" s="1"/>
      <c r="Y101" s="83" t="str">
        <f>VLOOKUP(LossTable[[#This Row],[Department]],$A$15:$B$40,2,FALSE)</f>
        <v>FP</v>
      </c>
    </row>
    <row r="102" spans="4:25" ht="14.45" customHeight="1" x14ac:dyDescent="0.25">
      <c r="D102" s="78">
        <v>387391</v>
      </c>
      <c r="E102" s="78">
        <v>280066590</v>
      </c>
      <c r="F102" s="83" t="s">
        <v>87</v>
      </c>
      <c r="G102" s="1" t="s">
        <v>151</v>
      </c>
      <c r="H102" s="1" t="s">
        <v>14</v>
      </c>
      <c r="I102" s="1" t="s">
        <v>152</v>
      </c>
      <c r="J102" s="1">
        <v>352227968.97000003</v>
      </c>
      <c r="K102" s="1">
        <v>352227968.97000003</v>
      </c>
      <c r="L102" s="1">
        <v>0</v>
      </c>
      <c r="M102" s="1">
        <v>0</v>
      </c>
      <c r="N102" s="1" t="s">
        <v>14</v>
      </c>
      <c r="O102" s="1">
        <v>2.83907E-3</v>
      </c>
      <c r="P102" s="1">
        <v>1</v>
      </c>
      <c r="Q102" s="83">
        <v>362.67</v>
      </c>
      <c r="R102" s="83">
        <v>362.67</v>
      </c>
      <c r="S102" s="1">
        <v>362.67</v>
      </c>
      <c r="T102" s="83">
        <v>0</v>
      </c>
      <c r="U102" s="1" t="s">
        <v>122</v>
      </c>
      <c r="V102" s="1" t="s">
        <v>837</v>
      </c>
      <c r="W102" s="1">
        <v>3280.0940773799998</v>
      </c>
      <c r="X102" s="1"/>
      <c r="Y102" s="83" t="str">
        <f>VLOOKUP(LossTable[[#This Row],[Department]],$A$15:$B$40,2,FALSE)</f>
        <v>Insurance</v>
      </c>
    </row>
    <row r="103" spans="4:25" ht="14.45" customHeight="1" x14ac:dyDescent="0.25">
      <c r="D103" s="78">
        <v>448028</v>
      </c>
      <c r="E103" s="78">
        <v>280014790</v>
      </c>
      <c r="F103" s="83" t="s">
        <v>94</v>
      </c>
      <c r="G103" s="1" t="s">
        <v>395</v>
      </c>
      <c r="H103" s="1" t="s">
        <v>16</v>
      </c>
      <c r="I103" s="1" t="s">
        <v>525</v>
      </c>
      <c r="J103" s="1">
        <v>1410737.5386000001</v>
      </c>
      <c r="K103" s="1">
        <v>43407308.880000003</v>
      </c>
      <c r="L103" s="1">
        <v>0</v>
      </c>
      <c r="M103" s="1">
        <v>0</v>
      </c>
      <c r="N103" s="1" t="s">
        <v>526</v>
      </c>
      <c r="O103" s="1">
        <v>0.57999999999999996</v>
      </c>
      <c r="P103" s="1">
        <v>3.2500000000000001E-2</v>
      </c>
      <c r="Q103" s="83">
        <v>16232.500375</v>
      </c>
      <c r="R103" s="83">
        <v>16232.500375</v>
      </c>
      <c r="S103" s="1">
        <v>16232.500375</v>
      </c>
      <c r="T103" s="83">
        <v>0</v>
      </c>
      <c r="U103" s="1" t="s">
        <v>122</v>
      </c>
      <c r="V103" s="1" t="s">
        <v>836</v>
      </c>
      <c r="W103" s="1">
        <v>4781.60363426</v>
      </c>
      <c r="X103" s="1"/>
      <c r="Y103" s="83" t="str">
        <f>VLOOKUP(LossTable[[#This Row],[Department]],$A$15:$B$40,2,FALSE)</f>
        <v>TP</v>
      </c>
    </row>
    <row r="104" spans="4:25" ht="14.45" customHeight="1" x14ac:dyDescent="0.25">
      <c r="D104" s="78">
        <v>434181</v>
      </c>
      <c r="E104" s="78">
        <v>280037801</v>
      </c>
      <c r="F104" s="83" t="s">
        <v>94</v>
      </c>
      <c r="G104" s="1" t="s">
        <v>382</v>
      </c>
      <c r="H104" s="1" t="s">
        <v>16</v>
      </c>
      <c r="I104" s="1" t="s">
        <v>390</v>
      </c>
      <c r="J104" s="1">
        <v>3300000</v>
      </c>
      <c r="K104" s="1">
        <v>30000000</v>
      </c>
      <c r="L104" s="1">
        <v>0</v>
      </c>
      <c r="M104" s="1">
        <v>0</v>
      </c>
      <c r="N104" s="1" t="s">
        <v>391</v>
      </c>
      <c r="O104" s="1">
        <v>0.17666667</v>
      </c>
      <c r="P104" s="1">
        <v>0.11</v>
      </c>
      <c r="Q104" s="83">
        <v>11453.393599999999</v>
      </c>
      <c r="R104" s="83">
        <v>11453.393599999999</v>
      </c>
      <c r="S104" s="1">
        <v>11453.393599999999</v>
      </c>
      <c r="T104" s="83">
        <v>0</v>
      </c>
      <c r="U104" s="1" t="s">
        <v>122</v>
      </c>
      <c r="V104" s="1" t="s">
        <v>852</v>
      </c>
      <c r="W104" s="1">
        <v>3949.1976460300002</v>
      </c>
      <c r="X104" s="1"/>
      <c r="Y104" s="83" t="str">
        <f>VLOOKUP(LossTable[[#This Row],[Department]],$A$15:$B$40,2,FALSE)</f>
        <v>TP</v>
      </c>
    </row>
    <row r="105" spans="4:25" ht="14.45" customHeight="1" x14ac:dyDescent="0.25">
      <c r="D105" s="78">
        <v>445991</v>
      </c>
      <c r="E105" s="78">
        <v>280014790</v>
      </c>
      <c r="F105" s="83" t="s">
        <v>94</v>
      </c>
      <c r="G105" s="1" t="s">
        <v>440</v>
      </c>
      <c r="H105" s="1" t="s">
        <v>16</v>
      </c>
      <c r="I105" s="1" t="s">
        <v>441</v>
      </c>
      <c r="J105" s="1">
        <v>8500000</v>
      </c>
      <c r="K105" s="1">
        <v>100000000</v>
      </c>
      <c r="L105" s="1">
        <v>0</v>
      </c>
      <c r="M105" s="1">
        <v>0</v>
      </c>
      <c r="N105" s="1" t="s">
        <v>442</v>
      </c>
      <c r="O105" s="1">
        <v>0.15</v>
      </c>
      <c r="P105" s="1">
        <v>8.5000000000000006E-2</v>
      </c>
      <c r="Q105" s="83">
        <v>3850.3436000000002</v>
      </c>
      <c r="R105" s="83">
        <v>3850.3436000000002</v>
      </c>
      <c r="S105" s="1">
        <v>3850.3436000000002</v>
      </c>
      <c r="T105" s="83">
        <v>0</v>
      </c>
      <c r="U105" s="1" t="s">
        <v>122</v>
      </c>
      <c r="V105" s="1" t="s">
        <v>836</v>
      </c>
      <c r="W105" s="1">
        <v>4781.60363426</v>
      </c>
      <c r="X105" s="1"/>
      <c r="Y105" s="83" t="str">
        <f>VLOOKUP(LossTable[[#This Row],[Department]],$A$15:$B$40,2,FALSE)</f>
        <v>TP</v>
      </c>
    </row>
    <row r="106" spans="4:25" ht="14.45" customHeight="1" x14ac:dyDescent="0.25">
      <c r="D106" s="78">
        <v>482844</v>
      </c>
      <c r="E106" s="78">
        <v>280014790</v>
      </c>
      <c r="F106" s="83" t="s">
        <v>21</v>
      </c>
      <c r="G106" s="1" t="s">
        <v>738</v>
      </c>
      <c r="H106" s="1" t="s">
        <v>14</v>
      </c>
      <c r="I106" s="1" t="s">
        <v>739</v>
      </c>
      <c r="J106" s="1">
        <v>17100000</v>
      </c>
      <c r="K106" s="1">
        <v>1140000000</v>
      </c>
      <c r="L106" s="1">
        <v>0</v>
      </c>
      <c r="M106" s="1">
        <v>0</v>
      </c>
      <c r="N106" s="1" t="s">
        <v>122</v>
      </c>
      <c r="O106" s="1">
        <v>0.33333332999999998</v>
      </c>
      <c r="P106" s="1">
        <v>1.4999999999999999E-2</v>
      </c>
      <c r="Q106" s="83">
        <v>32443.814849999999</v>
      </c>
      <c r="R106" s="83">
        <v>32443.814849999999</v>
      </c>
      <c r="S106" s="1">
        <v>32443.814849999999</v>
      </c>
      <c r="T106" s="83">
        <v>0</v>
      </c>
      <c r="U106" s="1" t="s">
        <v>122</v>
      </c>
      <c r="V106" s="1" t="s">
        <v>836</v>
      </c>
      <c r="W106" s="1">
        <v>4781.60363426</v>
      </c>
      <c r="X106" s="1"/>
      <c r="Y106" s="83" t="str">
        <f>VLOOKUP(LossTable[[#This Row],[Department]],$A$15:$B$40,2,FALSE)</f>
        <v>London</v>
      </c>
    </row>
    <row r="107" spans="4:25" ht="14.45" customHeight="1" x14ac:dyDescent="0.25">
      <c r="D107" s="78">
        <v>431332</v>
      </c>
      <c r="E107" s="78">
        <v>280037801</v>
      </c>
      <c r="F107" s="83" t="s">
        <v>94</v>
      </c>
      <c r="G107" s="1" t="s">
        <v>255</v>
      </c>
      <c r="H107" s="1" t="s">
        <v>16</v>
      </c>
      <c r="I107" s="1" t="s">
        <v>256</v>
      </c>
      <c r="J107" s="1">
        <v>1000000</v>
      </c>
      <c r="K107" s="1">
        <v>10000000</v>
      </c>
      <c r="L107" s="1">
        <v>0</v>
      </c>
      <c r="M107" s="1">
        <v>0</v>
      </c>
      <c r="N107" s="1" t="s">
        <v>257</v>
      </c>
      <c r="O107" s="1">
        <v>0.32499810000000001</v>
      </c>
      <c r="P107" s="1">
        <v>0.1</v>
      </c>
      <c r="Q107" s="83">
        <v>787.88599999999997</v>
      </c>
      <c r="R107" s="83">
        <v>787.88599999999997</v>
      </c>
      <c r="S107" s="1">
        <v>787.88599999999997</v>
      </c>
      <c r="T107" s="83">
        <v>0</v>
      </c>
      <c r="U107" s="1" t="s">
        <v>122</v>
      </c>
      <c r="V107" s="1" t="s">
        <v>852</v>
      </c>
      <c r="W107" s="1">
        <v>3949.1976460300002</v>
      </c>
      <c r="X107" s="1"/>
      <c r="Y107" s="83" t="str">
        <f>VLOOKUP(LossTable[[#This Row],[Department]],$A$15:$B$40,2,FALSE)</f>
        <v>TP</v>
      </c>
    </row>
    <row r="108" spans="4:25" ht="14.45" customHeight="1" x14ac:dyDescent="0.25">
      <c r="D108" s="78">
        <v>445707</v>
      </c>
      <c r="E108" s="78">
        <v>280066590</v>
      </c>
      <c r="F108" s="83" t="s">
        <v>94</v>
      </c>
      <c r="G108" s="1" t="s">
        <v>430</v>
      </c>
      <c r="H108" s="1" t="s">
        <v>16</v>
      </c>
      <c r="I108" s="1" t="s">
        <v>431</v>
      </c>
      <c r="J108" s="1">
        <v>2250000</v>
      </c>
      <c r="K108" s="1">
        <v>50000000</v>
      </c>
      <c r="L108" s="1">
        <v>0</v>
      </c>
      <c r="M108" s="1">
        <v>0</v>
      </c>
      <c r="N108" s="1" t="s">
        <v>432</v>
      </c>
      <c r="O108" s="1">
        <v>6.2E-2</v>
      </c>
      <c r="P108" s="1">
        <v>4.4999999999999998E-2</v>
      </c>
      <c r="Q108" s="83">
        <v>191.19465</v>
      </c>
      <c r="R108" s="83">
        <v>191.19465</v>
      </c>
      <c r="S108" s="1">
        <v>191.19465</v>
      </c>
      <c r="T108" s="83">
        <v>0</v>
      </c>
      <c r="U108" s="1" t="s">
        <v>122</v>
      </c>
      <c r="V108" s="1" t="s">
        <v>837</v>
      </c>
      <c r="W108" s="1">
        <v>3280.0940773799998</v>
      </c>
      <c r="X108" s="1"/>
      <c r="Y108" s="83" t="str">
        <f>VLOOKUP(LossTable[[#This Row],[Department]],$A$15:$B$40,2,FALSE)</f>
        <v>TP</v>
      </c>
    </row>
    <row r="109" spans="4:25" ht="14.45" customHeight="1" x14ac:dyDescent="0.25">
      <c r="D109" s="78">
        <v>441513</v>
      </c>
      <c r="E109" s="78">
        <v>280037801</v>
      </c>
      <c r="F109" s="83" t="s">
        <v>45</v>
      </c>
      <c r="G109" s="1" t="s">
        <v>378</v>
      </c>
      <c r="H109" s="1" t="s">
        <v>14</v>
      </c>
      <c r="I109" s="1" t="s">
        <v>379</v>
      </c>
      <c r="J109" s="1">
        <v>5229116.5109999999</v>
      </c>
      <c r="K109" s="1">
        <v>34860776.740000002</v>
      </c>
      <c r="L109" s="1">
        <v>0</v>
      </c>
      <c r="M109" s="1">
        <v>0</v>
      </c>
      <c r="N109" s="1" t="s">
        <v>14</v>
      </c>
      <c r="O109" s="1">
        <v>1.08403915</v>
      </c>
      <c r="P109" s="1">
        <v>0.15</v>
      </c>
      <c r="Q109" s="83">
        <v>4657.8630000000003</v>
      </c>
      <c r="R109" s="83">
        <v>4657.8630000000003</v>
      </c>
      <c r="S109" s="1">
        <v>4657.8630000000003</v>
      </c>
      <c r="T109" s="83">
        <v>0</v>
      </c>
      <c r="U109" s="1" t="s">
        <v>122</v>
      </c>
      <c r="V109" s="1" t="s">
        <v>852</v>
      </c>
      <c r="W109" s="1">
        <v>3949.1976460300002</v>
      </c>
      <c r="X109" s="1"/>
      <c r="Y109" s="83" t="str">
        <f>VLOOKUP(LossTable[[#This Row],[Department]],$A$15:$B$40,2,FALSE)</f>
        <v>FP</v>
      </c>
    </row>
    <row r="110" spans="4:25" ht="14.45" customHeight="1" x14ac:dyDescent="0.25">
      <c r="D110" s="78">
        <v>446145</v>
      </c>
      <c r="E110" s="78">
        <v>280037801</v>
      </c>
      <c r="F110" s="83" t="s">
        <v>94</v>
      </c>
      <c r="G110" s="1" t="s">
        <v>527</v>
      </c>
      <c r="H110" s="1" t="s">
        <v>16</v>
      </c>
      <c r="I110" s="1" t="s">
        <v>536</v>
      </c>
      <c r="J110" s="1">
        <v>1875000</v>
      </c>
      <c r="K110" s="1">
        <v>75000000</v>
      </c>
      <c r="L110" s="1">
        <v>0</v>
      </c>
      <c r="M110" s="1">
        <v>0</v>
      </c>
      <c r="N110" s="1" t="s">
        <v>122</v>
      </c>
      <c r="O110" s="1">
        <v>0.19903773</v>
      </c>
      <c r="P110" s="1">
        <v>2.5000000000000001E-2</v>
      </c>
      <c r="Q110" s="83">
        <v>76.492500000000007</v>
      </c>
      <c r="R110" s="83">
        <v>76.492500000000007</v>
      </c>
      <c r="S110" s="1">
        <v>76.492500000000007</v>
      </c>
      <c r="T110" s="83">
        <v>0</v>
      </c>
      <c r="U110" s="1" t="s">
        <v>122</v>
      </c>
      <c r="V110" s="1" t="s">
        <v>852</v>
      </c>
      <c r="W110" s="1">
        <v>3949.1976460300002</v>
      </c>
      <c r="X110" s="1"/>
      <c r="Y110" s="83" t="str">
        <f>VLOOKUP(LossTable[[#This Row],[Department]],$A$15:$B$40,2,FALSE)</f>
        <v>TP</v>
      </c>
    </row>
    <row r="111" spans="4:25" ht="14.45" customHeight="1" x14ac:dyDescent="0.25">
      <c r="D111" s="78">
        <v>435697</v>
      </c>
      <c r="E111" s="78">
        <v>280066590</v>
      </c>
      <c r="F111" s="83" t="s">
        <v>94</v>
      </c>
      <c r="G111" s="1" t="s">
        <v>318</v>
      </c>
      <c r="H111" s="1" t="s">
        <v>16</v>
      </c>
      <c r="I111" s="1" t="s">
        <v>328</v>
      </c>
      <c r="J111" s="1">
        <v>6500000</v>
      </c>
      <c r="K111" s="1">
        <v>130000000</v>
      </c>
      <c r="L111" s="1">
        <v>0</v>
      </c>
      <c r="M111" s="1">
        <v>0</v>
      </c>
      <c r="N111" s="1" t="s">
        <v>329</v>
      </c>
      <c r="O111" s="1">
        <v>0.12692307999999999</v>
      </c>
      <c r="P111" s="1">
        <v>0.05</v>
      </c>
      <c r="Q111" s="83">
        <v>1782.175</v>
      </c>
      <c r="R111" s="83">
        <v>1782.175</v>
      </c>
      <c r="S111" s="1">
        <v>1782.175</v>
      </c>
      <c r="T111" s="83">
        <v>0</v>
      </c>
      <c r="U111" s="1" t="s">
        <v>122</v>
      </c>
      <c r="V111" s="1" t="s">
        <v>837</v>
      </c>
      <c r="W111" s="1">
        <v>3280.0940773799998</v>
      </c>
      <c r="X111" s="1"/>
      <c r="Y111" s="83" t="str">
        <f>VLOOKUP(LossTable[[#This Row],[Department]],$A$15:$B$40,2,FALSE)</f>
        <v>TP</v>
      </c>
    </row>
    <row r="112" spans="4:25" ht="14.45" customHeight="1" x14ac:dyDescent="0.25">
      <c r="D112" s="78">
        <v>435689</v>
      </c>
      <c r="E112" s="78">
        <v>280014790</v>
      </c>
      <c r="F112" s="83" t="s">
        <v>94</v>
      </c>
      <c r="G112" s="1" t="s">
        <v>167</v>
      </c>
      <c r="H112" s="1" t="s">
        <v>16</v>
      </c>
      <c r="I112" s="1" t="s">
        <v>404</v>
      </c>
      <c r="J112" s="1">
        <v>5250000</v>
      </c>
      <c r="K112" s="1">
        <v>30000000</v>
      </c>
      <c r="L112" s="1">
        <v>0</v>
      </c>
      <c r="M112" s="1">
        <v>0</v>
      </c>
      <c r="N112" s="1" t="s">
        <v>122</v>
      </c>
      <c r="O112" s="1">
        <v>0.49996528000000001</v>
      </c>
      <c r="P112" s="1">
        <v>0.17499999999999999</v>
      </c>
      <c r="Q112" s="83">
        <v>30310.439249999999</v>
      </c>
      <c r="R112" s="83">
        <v>30310.439249999999</v>
      </c>
      <c r="S112" s="1">
        <v>30310.439249999999</v>
      </c>
      <c r="T112" s="83">
        <v>0</v>
      </c>
      <c r="U112" s="1" t="s">
        <v>122</v>
      </c>
      <c r="V112" s="1" t="s">
        <v>836</v>
      </c>
      <c r="W112" s="1">
        <v>4781.60363426</v>
      </c>
      <c r="X112" s="1"/>
      <c r="Y112" s="83" t="str">
        <f>VLOOKUP(LossTable[[#This Row],[Department]],$A$15:$B$40,2,FALSE)</f>
        <v>TP</v>
      </c>
    </row>
    <row r="113" spans="4:25" ht="14.45" customHeight="1" x14ac:dyDescent="0.25">
      <c r="D113" s="78">
        <v>467040</v>
      </c>
      <c r="E113" s="78">
        <v>280066590</v>
      </c>
      <c r="F113" s="83" t="s">
        <v>94</v>
      </c>
      <c r="G113" s="1" t="s">
        <v>565</v>
      </c>
      <c r="H113" s="1" t="s">
        <v>16</v>
      </c>
      <c r="I113" s="1" t="s">
        <v>566</v>
      </c>
      <c r="J113" s="1">
        <v>4000000</v>
      </c>
      <c r="K113" s="1">
        <v>80000000</v>
      </c>
      <c r="L113" s="1">
        <v>0</v>
      </c>
      <c r="M113" s="1">
        <v>0</v>
      </c>
      <c r="N113" s="1" t="s">
        <v>122</v>
      </c>
      <c r="O113" s="1">
        <v>0.20624999999999999</v>
      </c>
      <c r="P113" s="1">
        <v>0.05</v>
      </c>
      <c r="Q113" s="83">
        <v>2.3264999999999998</v>
      </c>
      <c r="R113" s="83">
        <v>2.3264999999999998</v>
      </c>
      <c r="S113" s="1">
        <v>2.3264999999999998</v>
      </c>
      <c r="T113" s="83">
        <v>0</v>
      </c>
      <c r="U113" s="1" t="s">
        <v>122</v>
      </c>
      <c r="V113" s="1" t="s">
        <v>837</v>
      </c>
      <c r="W113" s="1">
        <v>3280.0940773799998</v>
      </c>
      <c r="X113" s="1"/>
      <c r="Y113" s="83" t="str">
        <f>VLOOKUP(LossTable[[#This Row],[Department]],$A$15:$B$40,2,FALSE)</f>
        <v>TP</v>
      </c>
    </row>
    <row r="114" spans="4:25" ht="14.45" customHeight="1" x14ac:dyDescent="0.25">
      <c r="D114" s="78">
        <v>442098</v>
      </c>
      <c r="E114" s="78">
        <v>280037801</v>
      </c>
      <c r="F114" s="83" t="s">
        <v>45</v>
      </c>
      <c r="G114" s="1" t="s">
        <v>454</v>
      </c>
      <c r="H114" s="1" t="s">
        <v>16</v>
      </c>
      <c r="I114" s="1" t="s">
        <v>455</v>
      </c>
      <c r="J114" s="1">
        <v>13000000</v>
      </c>
      <c r="K114" s="1">
        <v>160000000</v>
      </c>
      <c r="L114" s="1">
        <v>0</v>
      </c>
      <c r="M114" s="1">
        <v>0</v>
      </c>
      <c r="N114" s="1" t="s">
        <v>456</v>
      </c>
      <c r="O114" s="1">
        <v>7.2696759999999999E-2</v>
      </c>
      <c r="P114" s="1">
        <v>8.1250000000000003E-2</v>
      </c>
      <c r="Q114" s="83">
        <v>163.7285</v>
      </c>
      <c r="R114" s="83">
        <v>163.7285</v>
      </c>
      <c r="S114" s="1">
        <v>163.7285</v>
      </c>
      <c r="T114" s="83">
        <v>0</v>
      </c>
      <c r="U114" s="1" t="s">
        <v>122</v>
      </c>
      <c r="V114" s="1" t="s">
        <v>852</v>
      </c>
      <c r="W114" s="1">
        <v>3949.1976460300002</v>
      </c>
      <c r="X114" s="1"/>
      <c r="Y114" s="83" t="str">
        <f>VLOOKUP(LossTable[[#This Row],[Department]],$A$15:$B$40,2,FALSE)</f>
        <v>FP</v>
      </c>
    </row>
    <row r="115" spans="4:25" ht="14.45" customHeight="1" x14ac:dyDescent="0.25">
      <c r="D115" s="78">
        <v>449414</v>
      </c>
      <c r="E115" s="78">
        <v>280066590</v>
      </c>
      <c r="F115" s="83" t="s">
        <v>92</v>
      </c>
      <c r="G115" s="1" t="s">
        <v>575</v>
      </c>
      <c r="H115" s="1" t="s">
        <v>14</v>
      </c>
      <c r="I115" s="1" t="s">
        <v>576</v>
      </c>
      <c r="J115" s="1">
        <v>8810414.67189789</v>
      </c>
      <c r="K115" s="1">
        <v>352416586.875916</v>
      </c>
      <c r="L115" s="1">
        <v>0</v>
      </c>
      <c r="M115" s="1">
        <v>0</v>
      </c>
      <c r="N115" s="1" t="s">
        <v>153</v>
      </c>
      <c r="O115" s="1">
        <v>7.1478E-2</v>
      </c>
      <c r="P115" s="1">
        <v>2.5000000000000001E-2</v>
      </c>
      <c r="Q115" s="83">
        <v>2.46456666</v>
      </c>
      <c r="R115" s="83">
        <v>2.46456666</v>
      </c>
      <c r="S115" s="1">
        <v>2.46456666</v>
      </c>
      <c r="T115" s="83">
        <v>0</v>
      </c>
      <c r="U115" s="1" t="s">
        <v>122</v>
      </c>
      <c r="V115" s="1" t="s">
        <v>837</v>
      </c>
      <c r="W115" s="1">
        <v>3280.0940773799998</v>
      </c>
      <c r="X115" s="1"/>
      <c r="Y115" s="83" t="str">
        <f>VLOOKUP(LossTable[[#This Row],[Department]],$A$15:$B$40,2,FALSE)</f>
        <v>FP</v>
      </c>
    </row>
    <row r="116" spans="4:25" ht="14.45" customHeight="1" x14ac:dyDescent="0.25">
      <c r="D116" s="78">
        <v>448037</v>
      </c>
      <c r="E116" s="78">
        <v>280066590</v>
      </c>
      <c r="F116" s="83" t="s">
        <v>12</v>
      </c>
      <c r="G116" s="1" t="s">
        <v>508</v>
      </c>
      <c r="H116" s="1" t="s">
        <v>16</v>
      </c>
      <c r="I116" s="1" t="s">
        <v>537</v>
      </c>
      <c r="J116" s="1">
        <v>6250000</v>
      </c>
      <c r="K116" s="1">
        <v>125000000</v>
      </c>
      <c r="L116" s="1">
        <v>0</v>
      </c>
      <c r="M116" s="1">
        <v>0</v>
      </c>
      <c r="N116" s="1" t="s">
        <v>538</v>
      </c>
      <c r="O116" s="1">
        <v>0.29200186</v>
      </c>
      <c r="P116" s="1">
        <v>0.05</v>
      </c>
      <c r="Q116" s="83">
        <v>22068.784</v>
      </c>
      <c r="R116" s="83">
        <v>22068.784</v>
      </c>
      <c r="S116" s="1">
        <v>22068.784</v>
      </c>
      <c r="T116" s="83">
        <v>0</v>
      </c>
      <c r="U116" s="1" t="s">
        <v>122</v>
      </c>
      <c r="V116" s="1" t="s">
        <v>837</v>
      </c>
      <c r="W116" s="1">
        <v>3280.0940773799998</v>
      </c>
      <c r="X116" s="1"/>
      <c r="Y116" s="83" t="str">
        <f>VLOOKUP(LossTable[[#This Row],[Department]],$A$15:$B$40,2,FALSE)</f>
        <v>Bermuda</v>
      </c>
    </row>
    <row r="117" spans="4:25" ht="14.45" customHeight="1" x14ac:dyDescent="0.25">
      <c r="D117" s="78">
        <v>477259</v>
      </c>
      <c r="E117" s="78">
        <v>280014790</v>
      </c>
      <c r="F117" s="83" t="s">
        <v>92</v>
      </c>
      <c r="G117" s="1" t="s">
        <v>636</v>
      </c>
      <c r="H117" s="1" t="s">
        <v>14</v>
      </c>
      <c r="I117" s="1" t="s">
        <v>637</v>
      </c>
      <c r="J117" s="1">
        <v>41724794.761047699</v>
      </c>
      <c r="K117" s="1">
        <v>278165298.40698397</v>
      </c>
      <c r="L117" s="1">
        <v>0</v>
      </c>
      <c r="M117" s="1">
        <v>0</v>
      </c>
      <c r="N117" s="1" t="s">
        <v>14</v>
      </c>
      <c r="O117" s="1">
        <v>0.1689243</v>
      </c>
      <c r="P117" s="1">
        <v>0.15</v>
      </c>
      <c r="Q117" s="83">
        <v>2710.4007280000001</v>
      </c>
      <c r="R117" s="83">
        <v>2710.4007280000001</v>
      </c>
      <c r="S117" s="1">
        <v>2710.4007280000001</v>
      </c>
      <c r="T117" s="83">
        <v>0</v>
      </c>
      <c r="U117" s="1" t="s">
        <v>122</v>
      </c>
      <c r="V117" s="1" t="s">
        <v>836</v>
      </c>
      <c r="W117" s="1">
        <v>4781.60363426</v>
      </c>
      <c r="X117" s="1"/>
      <c r="Y117" s="83" t="str">
        <f>VLOOKUP(LossTable[[#This Row],[Department]],$A$15:$B$40,2,FALSE)</f>
        <v>FP</v>
      </c>
    </row>
    <row r="118" spans="4:25" ht="14.45" customHeight="1" x14ac:dyDescent="0.25">
      <c r="D118" s="78">
        <v>434724</v>
      </c>
      <c r="E118" s="78">
        <v>280014790</v>
      </c>
      <c r="F118" s="83" t="s">
        <v>94</v>
      </c>
      <c r="G118" s="1" t="s">
        <v>330</v>
      </c>
      <c r="H118" s="1" t="s">
        <v>14</v>
      </c>
      <c r="I118" s="1" t="s">
        <v>331</v>
      </c>
      <c r="J118" s="1">
        <v>3813046.875</v>
      </c>
      <c r="K118" s="1">
        <v>46218750</v>
      </c>
      <c r="L118" s="1">
        <v>0</v>
      </c>
      <c r="M118" s="1">
        <v>0</v>
      </c>
      <c r="N118" s="1" t="s">
        <v>332</v>
      </c>
      <c r="O118" s="1">
        <v>0.8</v>
      </c>
      <c r="P118" s="1">
        <v>8.2500000000000004E-2</v>
      </c>
      <c r="Q118" s="83">
        <v>6561.1449750000002</v>
      </c>
      <c r="R118" s="83">
        <v>6561.1449750000002</v>
      </c>
      <c r="S118" s="1">
        <v>6561.1449750000002</v>
      </c>
      <c r="T118" s="83">
        <v>0</v>
      </c>
      <c r="U118" s="1" t="s">
        <v>122</v>
      </c>
      <c r="V118" s="1" t="s">
        <v>836</v>
      </c>
      <c r="W118" s="1">
        <v>4781.60363426</v>
      </c>
      <c r="X118" s="1"/>
      <c r="Y118" s="83" t="str">
        <f>VLOOKUP(LossTable[[#This Row],[Department]],$A$15:$B$40,2,FALSE)</f>
        <v>TP</v>
      </c>
    </row>
    <row r="119" spans="4:25" ht="14.45" customHeight="1" x14ac:dyDescent="0.25">
      <c r="D119" s="78">
        <v>475611</v>
      </c>
      <c r="E119" s="78">
        <v>280037801</v>
      </c>
      <c r="F119" s="83" t="s">
        <v>21</v>
      </c>
      <c r="G119" s="1" t="s">
        <v>673</v>
      </c>
      <c r="H119" s="1" t="s">
        <v>14</v>
      </c>
      <c r="I119" s="1" t="s">
        <v>674</v>
      </c>
      <c r="J119" s="1">
        <v>14875000</v>
      </c>
      <c r="K119" s="1">
        <v>350000000</v>
      </c>
      <c r="L119" s="1">
        <v>0</v>
      </c>
      <c r="M119" s="1">
        <v>0</v>
      </c>
      <c r="N119" s="1" t="s">
        <v>160</v>
      </c>
      <c r="O119" s="1">
        <v>3.34565891</v>
      </c>
      <c r="P119" s="1">
        <v>4.2500000000000003E-2</v>
      </c>
      <c r="Q119" s="83">
        <v>132217.24797500001</v>
      </c>
      <c r="R119" s="83">
        <v>132217.24797500001</v>
      </c>
      <c r="S119" s="1">
        <v>132217.24797500001</v>
      </c>
      <c r="T119" s="83">
        <v>0</v>
      </c>
      <c r="U119" s="1" t="s">
        <v>122</v>
      </c>
      <c r="V119" s="1" t="s">
        <v>852</v>
      </c>
      <c r="W119" s="1">
        <v>3949.1976460300002</v>
      </c>
      <c r="X119" s="1"/>
      <c r="Y119" s="83" t="str">
        <f>VLOOKUP(LossTable[[#This Row],[Department]],$A$15:$B$40,2,FALSE)</f>
        <v>London</v>
      </c>
    </row>
    <row r="120" spans="4:25" ht="14.45" customHeight="1" x14ac:dyDescent="0.25">
      <c r="D120" s="78">
        <v>427752</v>
      </c>
      <c r="E120" s="78">
        <v>280066590</v>
      </c>
      <c r="F120" s="83" t="s">
        <v>94</v>
      </c>
      <c r="G120" s="1" t="s">
        <v>244</v>
      </c>
      <c r="H120" s="1" t="s">
        <v>14</v>
      </c>
      <c r="I120" s="1" t="s">
        <v>245</v>
      </c>
      <c r="J120" s="1">
        <v>1000000</v>
      </c>
      <c r="K120" s="1">
        <v>10000000</v>
      </c>
      <c r="L120" s="1">
        <v>0</v>
      </c>
      <c r="M120" s="1">
        <v>0</v>
      </c>
      <c r="N120" s="1" t="s">
        <v>176</v>
      </c>
      <c r="O120" s="1">
        <v>1.01</v>
      </c>
      <c r="P120" s="1">
        <v>0.1</v>
      </c>
      <c r="Q120" s="83">
        <v>7419.2520000000004</v>
      </c>
      <c r="R120" s="83">
        <v>7419.2520000000004</v>
      </c>
      <c r="S120" s="1">
        <v>7419.2520000000004</v>
      </c>
      <c r="T120" s="83">
        <v>0</v>
      </c>
      <c r="U120" s="1" t="s">
        <v>122</v>
      </c>
      <c r="V120" s="1" t="s">
        <v>837</v>
      </c>
      <c r="W120" s="1">
        <v>3280.0940773799998</v>
      </c>
      <c r="X120" s="1"/>
      <c r="Y120" s="83" t="str">
        <f>VLOOKUP(LossTable[[#This Row],[Department]],$A$15:$B$40,2,FALSE)</f>
        <v>TP</v>
      </c>
    </row>
    <row r="121" spans="4:25" ht="14.45" customHeight="1" x14ac:dyDescent="0.25">
      <c r="D121" s="78">
        <v>471410</v>
      </c>
      <c r="E121" s="78">
        <v>280014790</v>
      </c>
      <c r="F121" s="83" t="s">
        <v>45</v>
      </c>
      <c r="G121" s="1" t="s">
        <v>675</v>
      </c>
      <c r="H121" s="1" t="s">
        <v>14</v>
      </c>
      <c r="I121" s="1" t="s">
        <v>676</v>
      </c>
      <c r="J121" s="1">
        <v>71136509.881500006</v>
      </c>
      <c r="K121" s="1">
        <v>2371216996.0500002</v>
      </c>
      <c r="L121" s="1">
        <v>0</v>
      </c>
      <c r="M121" s="1">
        <v>0</v>
      </c>
      <c r="N121" s="1" t="s">
        <v>14</v>
      </c>
      <c r="O121" s="1">
        <v>0.12172348</v>
      </c>
      <c r="P121" s="1">
        <v>0.03</v>
      </c>
      <c r="Q121" s="83">
        <v>120224.1813</v>
      </c>
      <c r="R121" s="83">
        <v>120224.1813</v>
      </c>
      <c r="S121" s="1">
        <v>120224.1813</v>
      </c>
      <c r="T121" s="83">
        <v>0</v>
      </c>
      <c r="U121" s="1" t="s">
        <v>122</v>
      </c>
      <c r="V121" s="1" t="s">
        <v>836</v>
      </c>
      <c r="W121" s="1">
        <v>4781.60363426</v>
      </c>
      <c r="X121" s="1"/>
      <c r="Y121" s="83" t="str">
        <f>VLOOKUP(LossTable[[#This Row],[Department]],$A$15:$B$40,2,FALSE)</f>
        <v>FP</v>
      </c>
    </row>
    <row r="122" spans="4:25" ht="14.45" customHeight="1" x14ac:dyDescent="0.25">
      <c r="D122" s="78">
        <v>469888</v>
      </c>
      <c r="E122" s="78">
        <v>280037801</v>
      </c>
      <c r="F122" s="83" t="s">
        <v>94</v>
      </c>
      <c r="G122" s="1" t="s">
        <v>667</v>
      </c>
      <c r="H122" s="1" t="s">
        <v>14</v>
      </c>
      <c r="I122" s="1" t="s">
        <v>668</v>
      </c>
      <c r="J122" s="1">
        <v>13500000</v>
      </c>
      <c r="K122" s="1">
        <v>90000000</v>
      </c>
      <c r="L122" s="1">
        <v>0</v>
      </c>
      <c r="M122" s="1">
        <v>0</v>
      </c>
      <c r="N122" s="1" t="s">
        <v>122</v>
      </c>
      <c r="O122" s="1">
        <v>0.2555907</v>
      </c>
      <c r="P122" s="1">
        <v>0.15</v>
      </c>
      <c r="Q122" s="83">
        <v>1105657.4685</v>
      </c>
      <c r="R122" s="83">
        <v>1105657.4685</v>
      </c>
      <c r="S122" s="1">
        <v>1105657.4685</v>
      </c>
      <c r="T122" s="83">
        <v>0</v>
      </c>
      <c r="U122" s="1" t="s">
        <v>122</v>
      </c>
      <c r="V122" s="1" t="s">
        <v>852</v>
      </c>
      <c r="W122" s="1">
        <v>3949.1976460300002</v>
      </c>
      <c r="X122" s="1"/>
      <c r="Y122" s="83" t="str">
        <f>VLOOKUP(LossTable[[#This Row],[Department]],$A$15:$B$40,2,FALSE)</f>
        <v>TP</v>
      </c>
    </row>
    <row r="123" spans="4:25" ht="14.45" customHeight="1" x14ac:dyDescent="0.25">
      <c r="D123" s="78">
        <v>477139</v>
      </c>
      <c r="E123" s="78">
        <v>280037801</v>
      </c>
      <c r="F123" s="83" t="s">
        <v>95</v>
      </c>
      <c r="G123" s="1" t="s">
        <v>697</v>
      </c>
      <c r="H123" s="1" t="s">
        <v>14</v>
      </c>
      <c r="I123" s="1" t="s">
        <v>698</v>
      </c>
      <c r="J123" s="1">
        <v>7216882.2856000001</v>
      </c>
      <c r="K123" s="1">
        <v>180422057.13999999</v>
      </c>
      <c r="L123" s="1">
        <v>0</v>
      </c>
      <c r="M123" s="1">
        <v>0</v>
      </c>
      <c r="N123" s="1" t="s">
        <v>122</v>
      </c>
      <c r="O123" s="1">
        <v>0.79228986999999995</v>
      </c>
      <c r="P123" s="1">
        <v>0.04</v>
      </c>
      <c r="Q123" s="83">
        <v>2132.7600000000002</v>
      </c>
      <c r="R123" s="83">
        <v>2132.7600000000002</v>
      </c>
      <c r="S123" s="1">
        <v>2132.7600000000002</v>
      </c>
      <c r="T123" s="83">
        <v>0</v>
      </c>
      <c r="U123" s="1" t="s">
        <v>122</v>
      </c>
      <c r="V123" s="1" t="s">
        <v>852</v>
      </c>
      <c r="W123" s="1">
        <v>3949.1976460300002</v>
      </c>
      <c r="X123" s="1"/>
      <c r="Y123" s="83" t="str">
        <f>VLOOKUP(LossTable[[#This Row],[Department]],$A$15:$B$40,2,FALSE)</f>
        <v>Dublin</v>
      </c>
    </row>
    <row r="124" spans="4:25" ht="14.45" customHeight="1" x14ac:dyDescent="0.25">
      <c r="D124" s="78">
        <v>431320</v>
      </c>
      <c r="E124" s="78">
        <v>280037801</v>
      </c>
      <c r="F124" s="83" t="s">
        <v>94</v>
      </c>
      <c r="G124" s="1" t="s">
        <v>269</v>
      </c>
      <c r="H124" s="1" t="s">
        <v>16</v>
      </c>
      <c r="I124" s="1" t="s">
        <v>342</v>
      </c>
      <c r="J124" s="1">
        <v>542972.55599999998</v>
      </c>
      <c r="K124" s="1">
        <v>6033028.4000000004</v>
      </c>
      <c r="L124" s="1">
        <v>0</v>
      </c>
      <c r="M124" s="1">
        <v>0</v>
      </c>
      <c r="N124" s="1" t="s">
        <v>343</v>
      </c>
      <c r="O124" s="1">
        <v>0.24025046</v>
      </c>
      <c r="P124" s="1">
        <v>0.09</v>
      </c>
      <c r="Q124" s="83">
        <v>31.477499999999999</v>
      </c>
      <c r="R124" s="83">
        <v>31.477499999999999</v>
      </c>
      <c r="S124" s="1">
        <v>31.477499999999999</v>
      </c>
      <c r="T124" s="83">
        <v>0</v>
      </c>
      <c r="U124" s="1" t="s">
        <v>122</v>
      </c>
      <c r="V124" s="1" t="s">
        <v>852</v>
      </c>
      <c r="W124" s="1">
        <v>3949.1976460300002</v>
      </c>
      <c r="X124" s="1"/>
      <c r="Y124" s="83" t="str">
        <f>VLOOKUP(LossTable[[#This Row],[Department]],$A$15:$B$40,2,FALSE)</f>
        <v>TP</v>
      </c>
    </row>
    <row r="125" spans="4:25" ht="14.45" customHeight="1" x14ac:dyDescent="0.25">
      <c r="D125" s="78">
        <v>431739</v>
      </c>
      <c r="E125" s="78">
        <v>280066590</v>
      </c>
      <c r="F125" s="83" t="s">
        <v>45</v>
      </c>
      <c r="G125" s="1" t="s">
        <v>361</v>
      </c>
      <c r="H125" s="1" t="s">
        <v>16</v>
      </c>
      <c r="I125" s="1" t="s">
        <v>362</v>
      </c>
      <c r="J125" s="1">
        <v>1500000</v>
      </c>
      <c r="K125" s="1">
        <v>10000000</v>
      </c>
      <c r="L125" s="1">
        <v>0</v>
      </c>
      <c r="M125" s="1">
        <v>0</v>
      </c>
      <c r="N125" s="1" t="s">
        <v>357</v>
      </c>
      <c r="O125" s="1">
        <v>0.38922430000000002</v>
      </c>
      <c r="P125" s="1">
        <v>0.15</v>
      </c>
      <c r="Q125" s="83">
        <v>4208.82</v>
      </c>
      <c r="R125" s="83">
        <v>4208.82</v>
      </c>
      <c r="S125" s="1">
        <v>4208.82</v>
      </c>
      <c r="T125" s="83">
        <v>0</v>
      </c>
      <c r="U125" s="1" t="s">
        <v>122</v>
      </c>
      <c r="V125" s="1" t="s">
        <v>837</v>
      </c>
      <c r="W125" s="1">
        <v>3280.0940773799998</v>
      </c>
      <c r="X125" s="1"/>
      <c r="Y125" s="83" t="str">
        <f>VLOOKUP(LossTable[[#This Row],[Department]],$A$15:$B$40,2,FALSE)</f>
        <v>FP</v>
      </c>
    </row>
    <row r="126" spans="4:25" ht="14.45" customHeight="1" x14ac:dyDescent="0.25">
      <c r="D126" s="78">
        <v>427852</v>
      </c>
      <c r="E126" s="78">
        <v>280066590</v>
      </c>
      <c r="F126" s="83" t="s">
        <v>12</v>
      </c>
      <c r="G126" s="1" t="s">
        <v>249</v>
      </c>
      <c r="H126" s="1" t="s">
        <v>14</v>
      </c>
      <c r="I126" s="1" t="s">
        <v>250</v>
      </c>
      <c r="J126" s="1">
        <v>5683187.5</v>
      </c>
      <c r="K126" s="1">
        <v>227327500</v>
      </c>
      <c r="L126" s="1">
        <v>0</v>
      </c>
      <c r="M126" s="1">
        <v>0</v>
      </c>
      <c r="N126" s="1" t="s">
        <v>251</v>
      </c>
      <c r="O126" s="1">
        <v>0.8</v>
      </c>
      <c r="P126" s="1">
        <v>2.5000000000000001E-2</v>
      </c>
      <c r="Q126" s="83">
        <v>26232.953000000001</v>
      </c>
      <c r="R126" s="83">
        <v>26232.953000000001</v>
      </c>
      <c r="S126" s="1">
        <v>26232.953000000001</v>
      </c>
      <c r="T126" s="83">
        <v>0</v>
      </c>
      <c r="U126" s="1" t="s">
        <v>122</v>
      </c>
      <c r="V126" s="1" t="s">
        <v>837</v>
      </c>
      <c r="W126" s="1">
        <v>3280.0940773799998</v>
      </c>
      <c r="X126" s="1"/>
      <c r="Y126" s="83" t="str">
        <f>VLOOKUP(LossTable[[#This Row],[Department]],$A$15:$B$40,2,FALSE)</f>
        <v>Bermuda</v>
      </c>
    </row>
    <row r="127" spans="4:25" ht="14.45" customHeight="1" x14ac:dyDescent="0.25">
      <c r="D127" s="78">
        <v>448492</v>
      </c>
      <c r="E127" s="78">
        <v>280066590</v>
      </c>
      <c r="F127" s="83" t="s">
        <v>94</v>
      </c>
      <c r="G127" s="1" t="s">
        <v>533</v>
      </c>
      <c r="H127" s="1" t="s">
        <v>16</v>
      </c>
      <c r="I127" s="1" t="s">
        <v>534</v>
      </c>
      <c r="J127" s="1">
        <v>7500000</v>
      </c>
      <c r="K127" s="1">
        <v>300000000</v>
      </c>
      <c r="L127" s="1">
        <v>0</v>
      </c>
      <c r="M127" s="1">
        <v>0</v>
      </c>
      <c r="N127" s="1" t="s">
        <v>535</v>
      </c>
      <c r="O127" s="1">
        <v>0.315</v>
      </c>
      <c r="P127" s="1">
        <v>2.5000000000000001E-2</v>
      </c>
      <c r="Q127" s="83">
        <v>12129.25625</v>
      </c>
      <c r="R127" s="83">
        <v>12129.25625</v>
      </c>
      <c r="S127" s="1">
        <v>12129.25625</v>
      </c>
      <c r="T127" s="83">
        <v>0</v>
      </c>
      <c r="U127" s="1" t="s">
        <v>122</v>
      </c>
      <c r="V127" s="1" t="s">
        <v>837</v>
      </c>
      <c r="W127" s="1">
        <v>3280.0940773799998</v>
      </c>
      <c r="X127" s="1"/>
      <c r="Y127" s="83" t="str">
        <f>VLOOKUP(LossTable[[#This Row],[Department]],$A$15:$B$40,2,FALSE)</f>
        <v>TP</v>
      </c>
    </row>
    <row r="128" spans="4:25" ht="14.45" customHeight="1" x14ac:dyDescent="0.25">
      <c r="D128" s="78">
        <v>144</v>
      </c>
      <c r="E128" s="78">
        <v>280014790</v>
      </c>
      <c r="F128" s="83" t="s">
        <v>45</v>
      </c>
      <c r="G128" s="1" t="s">
        <v>46</v>
      </c>
      <c r="H128" s="1" t="s">
        <v>16</v>
      </c>
      <c r="I128" s="1" t="s">
        <v>46</v>
      </c>
      <c r="J128" s="1">
        <v>1313664008</v>
      </c>
      <c r="K128" s="1">
        <v>0</v>
      </c>
      <c r="L128" s="1">
        <v>0</v>
      </c>
      <c r="M128" s="1">
        <v>0</v>
      </c>
      <c r="N128" s="1" t="s">
        <v>44</v>
      </c>
      <c r="O128" s="1">
        <v>0</v>
      </c>
      <c r="P128" s="1">
        <v>1</v>
      </c>
      <c r="Q128" s="83">
        <v>261430.44341400001</v>
      </c>
      <c r="R128" s="83">
        <v>261430.44341400001</v>
      </c>
      <c r="S128" s="1">
        <v>261430.44341400001</v>
      </c>
      <c r="T128" s="83">
        <v>0</v>
      </c>
      <c r="U128" s="1" t="s">
        <v>122</v>
      </c>
      <c r="V128" s="1" t="s">
        <v>836</v>
      </c>
      <c r="W128" s="1">
        <v>4781.60363426</v>
      </c>
      <c r="X128" s="1"/>
      <c r="Y128" s="83" t="str">
        <f>VLOOKUP(LossTable[[#This Row],[Department]],$A$15:$B$40,2,FALSE)</f>
        <v>FP</v>
      </c>
    </row>
    <row r="129" spans="4:25" ht="14.45" customHeight="1" x14ac:dyDescent="0.25">
      <c r="D129" s="78">
        <v>476959</v>
      </c>
      <c r="E129" s="78">
        <v>280014790</v>
      </c>
      <c r="F129" s="83" t="s">
        <v>94</v>
      </c>
      <c r="G129" s="1" t="s">
        <v>629</v>
      </c>
      <c r="H129" s="1" t="s">
        <v>14</v>
      </c>
      <c r="I129" s="1" t="s">
        <v>630</v>
      </c>
      <c r="J129" s="1">
        <v>7000000</v>
      </c>
      <c r="K129" s="1">
        <v>35000000</v>
      </c>
      <c r="L129" s="1">
        <v>0</v>
      </c>
      <c r="M129" s="1">
        <v>0</v>
      </c>
      <c r="N129" s="1" t="s">
        <v>122</v>
      </c>
      <c r="O129" s="1">
        <v>1.71428571</v>
      </c>
      <c r="P129" s="1">
        <v>0.2</v>
      </c>
      <c r="Q129" s="83">
        <v>37259.415999999997</v>
      </c>
      <c r="R129" s="83">
        <v>37259.415999999997</v>
      </c>
      <c r="S129" s="1">
        <v>37259.415999999997</v>
      </c>
      <c r="T129" s="83">
        <v>0</v>
      </c>
      <c r="U129" s="1" t="s">
        <v>122</v>
      </c>
      <c r="V129" s="1" t="s">
        <v>836</v>
      </c>
      <c r="W129" s="1">
        <v>4781.60363426</v>
      </c>
      <c r="X129" s="1"/>
      <c r="Y129" s="83" t="str">
        <f>VLOOKUP(LossTable[[#This Row],[Department]],$A$15:$B$40,2,FALSE)</f>
        <v>TP</v>
      </c>
    </row>
    <row r="130" spans="4:25" ht="14.45" customHeight="1" x14ac:dyDescent="0.25">
      <c r="D130" s="78">
        <v>464186</v>
      </c>
      <c r="E130" s="78">
        <v>280066590</v>
      </c>
      <c r="F130" s="83" t="s">
        <v>45</v>
      </c>
      <c r="G130" s="1" t="s">
        <v>606</v>
      </c>
      <c r="H130" s="1" t="s">
        <v>16</v>
      </c>
      <c r="I130" s="1" t="s">
        <v>607</v>
      </c>
      <c r="J130" s="1">
        <v>4000000</v>
      </c>
      <c r="K130" s="1">
        <v>20000000</v>
      </c>
      <c r="L130" s="1">
        <v>0</v>
      </c>
      <c r="M130" s="1">
        <v>0</v>
      </c>
      <c r="N130" s="1" t="s">
        <v>608</v>
      </c>
      <c r="O130" s="1">
        <v>0.21</v>
      </c>
      <c r="P130" s="1">
        <v>0.2</v>
      </c>
      <c r="Q130" s="83">
        <v>22.564</v>
      </c>
      <c r="R130" s="83">
        <v>22.564</v>
      </c>
      <c r="S130" s="1">
        <v>22.564</v>
      </c>
      <c r="T130" s="83">
        <v>0</v>
      </c>
      <c r="U130" s="1" t="s">
        <v>122</v>
      </c>
      <c r="V130" s="1" t="s">
        <v>837</v>
      </c>
      <c r="W130" s="1">
        <v>3280.0940773799998</v>
      </c>
      <c r="X130" s="1"/>
      <c r="Y130" s="83" t="str">
        <f>VLOOKUP(LossTable[[#This Row],[Department]],$A$15:$B$40,2,FALSE)</f>
        <v>FP</v>
      </c>
    </row>
    <row r="131" spans="4:25" ht="14.45" customHeight="1" x14ac:dyDescent="0.25">
      <c r="D131" s="78">
        <v>435399</v>
      </c>
      <c r="E131" s="78">
        <v>280037801</v>
      </c>
      <c r="F131" s="83" t="s">
        <v>94</v>
      </c>
      <c r="G131" s="1" t="s">
        <v>411</v>
      </c>
      <c r="H131" s="1" t="s">
        <v>16</v>
      </c>
      <c r="I131" s="1" t="s">
        <v>412</v>
      </c>
      <c r="J131" s="1">
        <v>1125000</v>
      </c>
      <c r="K131" s="1">
        <v>7500000</v>
      </c>
      <c r="L131" s="1">
        <v>0</v>
      </c>
      <c r="M131" s="1">
        <v>0</v>
      </c>
      <c r="N131" s="1" t="s">
        <v>413</v>
      </c>
      <c r="O131" s="1">
        <v>0.42335519999999999</v>
      </c>
      <c r="P131" s="1">
        <v>0.15</v>
      </c>
      <c r="Q131" s="83">
        <v>17731.534500000002</v>
      </c>
      <c r="R131" s="83">
        <v>17731.534500000002</v>
      </c>
      <c r="S131" s="1">
        <v>17731.534500000002</v>
      </c>
      <c r="T131" s="83">
        <v>0</v>
      </c>
      <c r="U131" s="1" t="s">
        <v>122</v>
      </c>
      <c r="V131" s="1" t="s">
        <v>852</v>
      </c>
      <c r="W131" s="1">
        <v>3949.1976460300002</v>
      </c>
      <c r="X131" s="1"/>
      <c r="Y131" s="83" t="str">
        <f>VLOOKUP(LossTable[[#This Row],[Department]],$A$15:$B$40,2,FALSE)</f>
        <v>TP</v>
      </c>
    </row>
    <row r="132" spans="4:25" ht="14.45" customHeight="1" x14ac:dyDescent="0.25">
      <c r="D132" s="78">
        <v>447394</v>
      </c>
      <c r="E132" s="78">
        <v>280014790</v>
      </c>
      <c r="F132" s="83" t="s">
        <v>94</v>
      </c>
      <c r="G132" s="1" t="s">
        <v>482</v>
      </c>
      <c r="H132" s="1" t="s">
        <v>16</v>
      </c>
      <c r="I132" s="1" t="s">
        <v>522</v>
      </c>
      <c r="J132" s="1">
        <v>1700000</v>
      </c>
      <c r="K132" s="1">
        <v>10000000</v>
      </c>
      <c r="L132" s="1">
        <v>0</v>
      </c>
      <c r="M132" s="1">
        <v>0</v>
      </c>
      <c r="N132" s="1" t="s">
        <v>315</v>
      </c>
      <c r="O132" s="1">
        <v>0.71</v>
      </c>
      <c r="P132" s="1">
        <v>0.17</v>
      </c>
      <c r="Q132" s="83">
        <v>8444.4899000000005</v>
      </c>
      <c r="R132" s="83">
        <v>8444.4899000000005</v>
      </c>
      <c r="S132" s="1">
        <v>8444.4899000000005</v>
      </c>
      <c r="T132" s="83">
        <v>0</v>
      </c>
      <c r="U132" s="1" t="s">
        <v>122</v>
      </c>
      <c r="V132" s="1" t="s">
        <v>836</v>
      </c>
      <c r="W132" s="1">
        <v>4781.60363426</v>
      </c>
      <c r="X132" s="1"/>
      <c r="Y132" s="83" t="str">
        <f>VLOOKUP(LossTable[[#This Row],[Department]],$A$15:$B$40,2,FALSE)</f>
        <v>TP</v>
      </c>
    </row>
    <row r="133" spans="4:25" ht="14.45" customHeight="1" x14ac:dyDescent="0.25">
      <c r="D133" s="78">
        <v>477259</v>
      </c>
      <c r="E133" s="78">
        <v>280066590</v>
      </c>
      <c r="F133" s="83" t="s">
        <v>92</v>
      </c>
      <c r="G133" s="1" t="s">
        <v>636</v>
      </c>
      <c r="H133" s="1" t="s">
        <v>14</v>
      </c>
      <c r="I133" s="1" t="s">
        <v>637</v>
      </c>
      <c r="J133" s="1">
        <v>41724794.761047699</v>
      </c>
      <c r="K133" s="1">
        <v>278165298.40698397</v>
      </c>
      <c r="L133" s="1">
        <v>0</v>
      </c>
      <c r="M133" s="1">
        <v>0</v>
      </c>
      <c r="N133" s="1" t="s">
        <v>14</v>
      </c>
      <c r="O133" s="1">
        <v>0.1689243</v>
      </c>
      <c r="P133" s="1">
        <v>0.15</v>
      </c>
      <c r="Q133" s="83">
        <v>1542.7829027800001</v>
      </c>
      <c r="R133" s="83">
        <v>1542.7829027800001</v>
      </c>
      <c r="S133" s="1">
        <v>1542.7829027800001</v>
      </c>
      <c r="T133" s="83">
        <v>0</v>
      </c>
      <c r="U133" s="1" t="s">
        <v>122</v>
      </c>
      <c r="V133" s="1" t="s">
        <v>837</v>
      </c>
      <c r="W133" s="1">
        <v>3280.0940773799998</v>
      </c>
      <c r="X133" s="1"/>
      <c r="Y133" s="83" t="str">
        <f>VLOOKUP(LossTable[[#This Row],[Department]],$A$15:$B$40,2,FALSE)</f>
        <v>FP</v>
      </c>
    </row>
    <row r="134" spans="4:25" ht="14.45" customHeight="1" x14ac:dyDescent="0.25">
      <c r="D134" s="78">
        <v>468269</v>
      </c>
      <c r="E134" s="78">
        <v>280014790</v>
      </c>
      <c r="F134" s="83" t="s">
        <v>94</v>
      </c>
      <c r="G134" s="1" t="s">
        <v>600</v>
      </c>
      <c r="H134" s="1" t="s">
        <v>16</v>
      </c>
      <c r="I134" s="1" t="s">
        <v>839</v>
      </c>
      <c r="J134" s="1">
        <v>1875000</v>
      </c>
      <c r="K134" s="1">
        <v>75000000</v>
      </c>
      <c r="L134" s="1">
        <v>0</v>
      </c>
      <c r="M134" s="1">
        <v>0</v>
      </c>
      <c r="N134" s="1" t="s">
        <v>122</v>
      </c>
      <c r="O134" s="1">
        <v>0.16749992</v>
      </c>
      <c r="P134" s="1">
        <v>2.5000000000000001E-2</v>
      </c>
      <c r="Q134" s="83">
        <v>5.1905000000000001</v>
      </c>
      <c r="R134" s="83">
        <v>5.1905000000000001</v>
      </c>
      <c r="S134" s="1">
        <v>5.1905000000000001</v>
      </c>
      <c r="T134" s="83">
        <v>0</v>
      </c>
      <c r="U134" s="1" t="s">
        <v>122</v>
      </c>
      <c r="V134" s="1" t="s">
        <v>836</v>
      </c>
      <c r="W134" s="1">
        <v>4781.60363426</v>
      </c>
      <c r="X134" s="1"/>
      <c r="Y134" s="83" t="str">
        <f>VLOOKUP(LossTable[[#This Row],[Department]],$A$15:$B$40,2,FALSE)</f>
        <v>TP</v>
      </c>
    </row>
    <row r="135" spans="4:25" ht="14.45" customHeight="1" x14ac:dyDescent="0.25">
      <c r="D135" s="78">
        <v>464876</v>
      </c>
      <c r="E135" s="78">
        <v>280014790</v>
      </c>
      <c r="F135" s="83" t="s">
        <v>92</v>
      </c>
      <c r="G135" s="1" t="s">
        <v>621</v>
      </c>
      <c r="H135" s="1" t="s">
        <v>14</v>
      </c>
      <c r="I135" s="1" t="s">
        <v>622</v>
      </c>
      <c r="J135" s="1">
        <v>2500000</v>
      </c>
      <c r="K135" s="1">
        <v>50000000</v>
      </c>
      <c r="L135" s="1">
        <v>0</v>
      </c>
      <c r="M135" s="1">
        <v>0</v>
      </c>
      <c r="N135" s="1" t="s">
        <v>166</v>
      </c>
      <c r="O135" s="1">
        <v>0.19800000000000001</v>
      </c>
      <c r="P135" s="1">
        <v>0.05</v>
      </c>
      <c r="Q135" s="83">
        <v>189.0215</v>
      </c>
      <c r="R135" s="83">
        <v>189.0215</v>
      </c>
      <c r="S135" s="1">
        <v>189.0215</v>
      </c>
      <c r="T135" s="83">
        <v>0</v>
      </c>
      <c r="U135" s="1" t="s">
        <v>122</v>
      </c>
      <c r="V135" s="1" t="s">
        <v>836</v>
      </c>
      <c r="W135" s="1">
        <v>4781.60363426</v>
      </c>
      <c r="X135" s="1"/>
      <c r="Y135" s="83" t="str">
        <f>VLOOKUP(LossTable[[#This Row],[Department]],$A$15:$B$40,2,FALSE)</f>
        <v>FP</v>
      </c>
    </row>
    <row r="136" spans="4:25" ht="14.45" customHeight="1" x14ac:dyDescent="0.25">
      <c r="D136" s="78">
        <v>276751</v>
      </c>
      <c r="E136" s="78">
        <v>280037801</v>
      </c>
      <c r="F136" s="83" t="s">
        <v>87</v>
      </c>
      <c r="G136" s="1" t="s">
        <v>241</v>
      </c>
      <c r="H136" s="1" t="s">
        <v>14</v>
      </c>
      <c r="I136" s="1" t="s">
        <v>222</v>
      </c>
      <c r="J136" s="1">
        <v>118073386.87</v>
      </c>
      <c r="K136" s="1">
        <v>118073386.87</v>
      </c>
      <c r="L136" s="1">
        <v>0</v>
      </c>
      <c r="M136" s="1">
        <v>0</v>
      </c>
      <c r="N136" s="1" t="s">
        <v>14</v>
      </c>
      <c r="O136" s="1">
        <v>0.11010101999999999</v>
      </c>
      <c r="P136" s="1">
        <v>1</v>
      </c>
      <c r="Q136" s="83">
        <v>30915.66</v>
      </c>
      <c r="R136" s="83">
        <v>30915.66</v>
      </c>
      <c r="S136" s="1">
        <v>30915.66</v>
      </c>
      <c r="T136" s="83">
        <v>0</v>
      </c>
      <c r="U136" s="1" t="s">
        <v>122</v>
      </c>
      <c r="V136" s="1" t="s">
        <v>852</v>
      </c>
      <c r="W136" s="1">
        <v>3949.1976460300002</v>
      </c>
      <c r="X136" s="1"/>
      <c r="Y136" s="83" t="str">
        <f>VLOOKUP(LossTable[[#This Row],[Department]],$A$15:$B$40,2,FALSE)</f>
        <v>Insurance</v>
      </c>
    </row>
    <row r="137" spans="4:25" ht="14.45" customHeight="1" x14ac:dyDescent="0.25">
      <c r="D137" s="78">
        <v>484031</v>
      </c>
      <c r="E137" s="78">
        <v>280037801</v>
      </c>
      <c r="F137" s="83" t="s">
        <v>21</v>
      </c>
      <c r="G137" s="1" t="s">
        <v>729</v>
      </c>
      <c r="H137" s="1" t="s">
        <v>14</v>
      </c>
      <c r="I137" s="1" t="s">
        <v>730</v>
      </c>
      <c r="J137" s="1">
        <v>600000</v>
      </c>
      <c r="K137" s="1">
        <v>60000000</v>
      </c>
      <c r="L137" s="1">
        <v>0</v>
      </c>
      <c r="M137" s="1">
        <v>0</v>
      </c>
      <c r="N137" s="1" t="s">
        <v>620</v>
      </c>
      <c r="O137" s="1">
        <v>0.79666667000000002</v>
      </c>
      <c r="P137" s="1">
        <v>0.01</v>
      </c>
      <c r="Q137" s="83">
        <v>291.62349999999998</v>
      </c>
      <c r="R137" s="83">
        <v>291.62349999999998</v>
      </c>
      <c r="S137" s="1">
        <v>291.62349999999998</v>
      </c>
      <c r="T137" s="83">
        <v>0</v>
      </c>
      <c r="U137" s="1" t="s">
        <v>122</v>
      </c>
      <c r="V137" s="1" t="s">
        <v>852</v>
      </c>
      <c r="W137" s="1">
        <v>3949.1976460300002</v>
      </c>
      <c r="X137" s="1"/>
      <c r="Y137" s="83" t="str">
        <f>VLOOKUP(LossTable[[#This Row],[Department]],$A$15:$B$40,2,FALSE)</f>
        <v>London</v>
      </c>
    </row>
    <row r="138" spans="4:25" ht="14.45" customHeight="1" x14ac:dyDescent="0.25">
      <c r="D138" s="78">
        <v>441613</v>
      </c>
      <c r="E138" s="78">
        <v>280014790</v>
      </c>
      <c r="F138" s="83" t="s">
        <v>94</v>
      </c>
      <c r="G138" s="1" t="s">
        <v>811</v>
      </c>
      <c r="H138" s="1" t="s">
        <v>13</v>
      </c>
      <c r="I138" s="1" t="s">
        <v>812</v>
      </c>
      <c r="J138" s="1">
        <v>475000</v>
      </c>
      <c r="K138" s="1">
        <v>10000000</v>
      </c>
      <c r="L138" s="1">
        <v>10000000</v>
      </c>
      <c r="M138" s="1">
        <v>0</v>
      </c>
      <c r="N138" s="1" t="s">
        <v>813</v>
      </c>
      <c r="O138" s="1">
        <v>0.26</v>
      </c>
      <c r="P138" s="1">
        <v>4.7500000000000001E-2</v>
      </c>
      <c r="Q138" s="83">
        <v>270341.30239999999</v>
      </c>
      <c r="R138" s="83">
        <v>177941.27695327401</v>
      </c>
      <c r="S138" s="1">
        <v>177941.27695327401</v>
      </c>
      <c r="T138" s="83">
        <v>46174.291275835203</v>
      </c>
      <c r="U138" s="1" t="s">
        <v>122</v>
      </c>
      <c r="V138" s="1" t="s">
        <v>836</v>
      </c>
      <c r="W138" s="1">
        <v>4781.60363426</v>
      </c>
      <c r="X138" s="1"/>
      <c r="Y138" s="83" t="str">
        <f>VLOOKUP(LossTable[[#This Row],[Department]],$A$15:$B$40,2,FALSE)</f>
        <v>TP</v>
      </c>
    </row>
    <row r="139" spans="4:25" ht="14.45" customHeight="1" x14ac:dyDescent="0.25">
      <c r="D139" s="78">
        <v>297486</v>
      </c>
      <c r="E139" s="78">
        <v>280014790</v>
      </c>
      <c r="F139" s="83" t="s">
        <v>130</v>
      </c>
      <c r="G139" s="1" t="s">
        <v>138</v>
      </c>
      <c r="H139" s="1" t="s">
        <v>14</v>
      </c>
      <c r="I139" s="1" t="s">
        <v>139</v>
      </c>
      <c r="J139" s="1">
        <v>465335789.79000002</v>
      </c>
      <c r="K139" s="1">
        <v>465335789.79000002</v>
      </c>
      <c r="L139" s="1">
        <v>0</v>
      </c>
      <c r="M139" s="1">
        <v>0</v>
      </c>
      <c r="N139" s="1" t="s">
        <v>14</v>
      </c>
      <c r="O139" s="1">
        <v>1.074493E-2</v>
      </c>
      <c r="P139" s="1">
        <v>1</v>
      </c>
      <c r="Q139" s="83">
        <v>384427.02</v>
      </c>
      <c r="R139" s="83">
        <v>384427.02</v>
      </c>
      <c r="S139" s="1">
        <v>384427.02</v>
      </c>
      <c r="T139" s="83">
        <v>0</v>
      </c>
      <c r="U139" s="1" t="s">
        <v>122</v>
      </c>
      <c r="V139" s="1" t="s">
        <v>836</v>
      </c>
      <c r="W139" s="1">
        <v>4781.60363426</v>
      </c>
      <c r="X139" s="1"/>
      <c r="Y139" s="83" t="str">
        <f>VLOOKUP(LossTable[[#This Row],[Department]],$A$15:$B$40,2,FALSE)</f>
        <v>Insurance</v>
      </c>
    </row>
    <row r="140" spans="4:25" ht="14.45" customHeight="1" x14ac:dyDescent="0.25">
      <c r="D140" s="78">
        <v>473719</v>
      </c>
      <c r="E140" s="78">
        <v>280066590</v>
      </c>
      <c r="F140" s="83" t="s">
        <v>15</v>
      </c>
      <c r="G140" s="1" t="s">
        <v>790</v>
      </c>
      <c r="H140" s="1" t="s">
        <v>16</v>
      </c>
      <c r="I140" s="1" t="s">
        <v>797</v>
      </c>
      <c r="J140" s="1">
        <v>8744441.9860839806</v>
      </c>
      <c r="K140" s="1">
        <v>43722209.9304199</v>
      </c>
      <c r="L140" s="1">
        <v>0</v>
      </c>
      <c r="M140" s="1">
        <v>0</v>
      </c>
      <c r="N140" s="1" t="s">
        <v>122</v>
      </c>
      <c r="O140" s="1">
        <v>1.32476142</v>
      </c>
      <c r="P140" s="1">
        <v>0.2</v>
      </c>
      <c r="Q140" s="83">
        <v>1777.9199446099999</v>
      </c>
      <c r="R140" s="83">
        <v>1777.9199446099999</v>
      </c>
      <c r="S140" s="1">
        <v>1777.9199446099999</v>
      </c>
      <c r="T140" s="83">
        <v>0</v>
      </c>
      <c r="U140" s="1" t="s">
        <v>122</v>
      </c>
      <c r="V140" s="1" t="s">
        <v>837</v>
      </c>
      <c r="W140" s="1">
        <v>3280.0940773799998</v>
      </c>
      <c r="X140" s="1"/>
      <c r="Y140" s="83" t="str">
        <f>VLOOKUP(LossTable[[#This Row],[Department]],$A$15:$B$40,2,FALSE)</f>
        <v>Canada</v>
      </c>
    </row>
    <row r="141" spans="4:25" ht="14.45" customHeight="1" x14ac:dyDescent="0.25">
      <c r="D141" s="78">
        <v>443180</v>
      </c>
      <c r="E141" s="78">
        <v>280014790</v>
      </c>
      <c r="F141" s="83" t="s">
        <v>94</v>
      </c>
      <c r="G141" s="1" t="s">
        <v>425</v>
      </c>
      <c r="H141" s="1" t="s">
        <v>14</v>
      </c>
      <c r="I141" s="1" t="s">
        <v>426</v>
      </c>
      <c r="J141" s="1">
        <v>67500000</v>
      </c>
      <c r="K141" s="1">
        <v>750000000</v>
      </c>
      <c r="L141" s="1">
        <v>0</v>
      </c>
      <c r="M141" s="1">
        <v>0</v>
      </c>
      <c r="N141" s="1" t="s">
        <v>122</v>
      </c>
      <c r="O141" s="1">
        <v>1.93333333</v>
      </c>
      <c r="P141" s="1">
        <v>0.09</v>
      </c>
      <c r="Q141" s="83">
        <v>307393.86959999998</v>
      </c>
      <c r="R141" s="83">
        <v>307393.86959999998</v>
      </c>
      <c r="S141" s="1">
        <v>307393.86959999998</v>
      </c>
      <c r="T141" s="83">
        <v>0</v>
      </c>
      <c r="U141" s="1" t="s">
        <v>122</v>
      </c>
      <c r="V141" s="1" t="s">
        <v>836</v>
      </c>
      <c r="W141" s="1">
        <v>4781.60363426</v>
      </c>
      <c r="X141" s="1"/>
      <c r="Y141" s="83" t="str">
        <f>VLOOKUP(LossTable[[#This Row],[Department]],$A$15:$B$40,2,FALSE)</f>
        <v>TP</v>
      </c>
    </row>
    <row r="142" spans="4:25" ht="14.45" customHeight="1" x14ac:dyDescent="0.25">
      <c r="D142" s="78">
        <v>481420</v>
      </c>
      <c r="E142" s="78">
        <v>280037801</v>
      </c>
      <c r="F142" s="83" t="s">
        <v>94</v>
      </c>
      <c r="G142" s="1" t="s">
        <v>731</v>
      </c>
      <c r="H142" s="1" t="s">
        <v>14</v>
      </c>
      <c r="I142" s="1" t="s">
        <v>732</v>
      </c>
      <c r="J142" s="1">
        <v>2063250</v>
      </c>
      <c r="K142" s="1">
        <v>91700000</v>
      </c>
      <c r="L142" s="1">
        <v>0</v>
      </c>
      <c r="M142" s="1">
        <v>0</v>
      </c>
      <c r="N142" s="1" t="s">
        <v>733</v>
      </c>
      <c r="O142" s="1">
        <v>0.63980720000000002</v>
      </c>
      <c r="P142" s="1">
        <v>2.2499999999999999E-2</v>
      </c>
      <c r="Q142" s="83">
        <v>2960.043525</v>
      </c>
      <c r="R142" s="83">
        <v>2960.043525</v>
      </c>
      <c r="S142" s="1">
        <v>2960.043525</v>
      </c>
      <c r="T142" s="83">
        <v>0</v>
      </c>
      <c r="U142" s="1" t="s">
        <v>122</v>
      </c>
      <c r="V142" s="1" t="s">
        <v>852</v>
      </c>
      <c r="W142" s="1">
        <v>3949.1976460300002</v>
      </c>
      <c r="X142" s="1"/>
      <c r="Y142" s="83" t="str">
        <f>VLOOKUP(LossTable[[#This Row],[Department]],$A$15:$B$40,2,FALSE)</f>
        <v>TP</v>
      </c>
    </row>
    <row r="143" spans="4:25" ht="14.45" customHeight="1" x14ac:dyDescent="0.25">
      <c r="D143" s="78">
        <v>427032</v>
      </c>
      <c r="E143" s="78">
        <v>280014790</v>
      </c>
      <c r="F143" s="83" t="s">
        <v>45</v>
      </c>
      <c r="G143" s="1" t="s">
        <v>246</v>
      </c>
      <c r="H143" s="1" t="s">
        <v>16</v>
      </c>
      <c r="I143" s="1" t="s">
        <v>247</v>
      </c>
      <c r="J143" s="1">
        <v>1000000</v>
      </c>
      <c r="K143" s="1">
        <v>20000000</v>
      </c>
      <c r="L143" s="1">
        <v>0</v>
      </c>
      <c r="M143" s="1">
        <v>0</v>
      </c>
      <c r="N143" s="1" t="s">
        <v>248</v>
      </c>
      <c r="O143" s="1">
        <v>0.64666889999999999</v>
      </c>
      <c r="P143" s="1">
        <v>0.05</v>
      </c>
      <c r="Q143" s="83">
        <v>14807.611500000001</v>
      </c>
      <c r="R143" s="83">
        <v>14807.611500000001</v>
      </c>
      <c r="S143" s="1">
        <v>14807.611500000001</v>
      </c>
      <c r="T143" s="83">
        <v>0</v>
      </c>
      <c r="U143" s="1" t="s">
        <v>122</v>
      </c>
      <c r="V143" s="1" t="s">
        <v>836</v>
      </c>
      <c r="W143" s="1">
        <v>4781.60363426</v>
      </c>
      <c r="X143" s="1"/>
      <c r="Y143" s="83" t="str">
        <f>VLOOKUP(LossTable[[#This Row],[Department]],$A$15:$B$40,2,FALSE)</f>
        <v>FP</v>
      </c>
    </row>
    <row r="144" spans="4:25" ht="14.45" customHeight="1" x14ac:dyDescent="0.25">
      <c r="D144" s="78">
        <v>435275</v>
      </c>
      <c r="E144" s="78">
        <v>280014790</v>
      </c>
      <c r="F144" s="83" t="s">
        <v>94</v>
      </c>
      <c r="G144" s="1" t="s">
        <v>756</v>
      </c>
      <c r="H144" s="1" t="s">
        <v>16</v>
      </c>
      <c r="I144" s="1" t="s">
        <v>757</v>
      </c>
      <c r="J144" s="1">
        <v>2500000</v>
      </c>
      <c r="K144" s="1">
        <v>25000000</v>
      </c>
      <c r="L144" s="1">
        <v>0</v>
      </c>
      <c r="M144" s="1">
        <v>0</v>
      </c>
      <c r="N144" s="1" t="s">
        <v>407</v>
      </c>
      <c r="O144" s="1">
        <v>0.23199997</v>
      </c>
      <c r="P144" s="1">
        <v>0.1</v>
      </c>
      <c r="Q144" s="83">
        <v>66.215000000000003</v>
      </c>
      <c r="R144" s="83">
        <v>66.215000000000003</v>
      </c>
      <c r="S144" s="1">
        <v>66.215000000000003</v>
      </c>
      <c r="T144" s="83">
        <v>0</v>
      </c>
      <c r="U144" s="1" t="s">
        <v>122</v>
      </c>
      <c r="V144" s="1" t="s">
        <v>836</v>
      </c>
      <c r="W144" s="1">
        <v>4781.60363426</v>
      </c>
      <c r="X144" s="1"/>
      <c r="Y144" s="83" t="str">
        <f>VLOOKUP(LossTable[[#This Row],[Department]],$A$15:$B$40,2,FALSE)</f>
        <v>TP</v>
      </c>
    </row>
    <row r="145" spans="4:25" ht="14.45" customHeight="1" x14ac:dyDescent="0.25">
      <c r="D145" s="78">
        <v>484304</v>
      </c>
      <c r="E145" s="78">
        <v>280014790</v>
      </c>
      <c r="F145" s="83" t="s">
        <v>95</v>
      </c>
      <c r="G145" s="1" t="s">
        <v>695</v>
      </c>
      <c r="H145" s="1" t="s">
        <v>14</v>
      </c>
      <c r="I145" s="1" t="s">
        <v>696</v>
      </c>
      <c r="J145" s="1">
        <v>9985136.6281509399</v>
      </c>
      <c r="K145" s="1">
        <v>58736097.812652603</v>
      </c>
      <c r="L145" s="1">
        <v>0</v>
      </c>
      <c r="M145" s="1">
        <v>0</v>
      </c>
      <c r="N145" s="1" t="s">
        <v>166</v>
      </c>
      <c r="O145" s="1">
        <v>1.36933715</v>
      </c>
      <c r="P145" s="1">
        <v>0.17</v>
      </c>
      <c r="Q145" s="83">
        <v>26668.41474</v>
      </c>
      <c r="R145" s="83">
        <v>26668.41474</v>
      </c>
      <c r="S145" s="1">
        <v>26668.41474</v>
      </c>
      <c r="T145" s="83">
        <v>0</v>
      </c>
      <c r="U145" s="1" t="s">
        <v>122</v>
      </c>
      <c r="V145" s="1" t="s">
        <v>836</v>
      </c>
      <c r="W145" s="1">
        <v>4781.60363426</v>
      </c>
      <c r="X145" s="1"/>
      <c r="Y145" s="83" t="str">
        <f>VLOOKUP(LossTable[[#This Row],[Department]],$A$15:$B$40,2,FALSE)</f>
        <v>Dublin</v>
      </c>
    </row>
    <row r="146" spans="4:25" ht="14.45" customHeight="1" x14ac:dyDescent="0.25">
      <c r="D146" s="78">
        <v>2</v>
      </c>
      <c r="E146" s="78">
        <v>280066590</v>
      </c>
      <c r="F146" s="83" t="s">
        <v>121</v>
      </c>
      <c r="G146" s="1" t="s">
        <v>26</v>
      </c>
      <c r="H146" s="1" t="s">
        <v>14</v>
      </c>
      <c r="I146" s="1" t="s">
        <v>122</v>
      </c>
      <c r="J146" s="1">
        <v>0</v>
      </c>
      <c r="K146" s="1">
        <v>0</v>
      </c>
      <c r="L146" s="1">
        <v>0</v>
      </c>
      <c r="M146" s="1">
        <v>0</v>
      </c>
      <c r="N146" s="1" t="s">
        <v>122</v>
      </c>
      <c r="O146" s="1">
        <v>0</v>
      </c>
      <c r="P146" s="1">
        <v>1</v>
      </c>
      <c r="Q146" s="83">
        <v>0</v>
      </c>
      <c r="R146" s="83">
        <v>0</v>
      </c>
      <c r="S146" s="1">
        <v>-252122.92531424999</v>
      </c>
      <c r="T146" s="83">
        <v>-6433.875</v>
      </c>
      <c r="U146" s="1" t="s">
        <v>122</v>
      </c>
      <c r="V146" s="1" t="s">
        <v>837</v>
      </c>
      <c r="W146" s="1">
        <v>3280.0940773799998</v>
      </c>
      <c r="X146" s="1"/>
      <c r="Y146" s="83" t="str">
        <f>VLOOKUP(LossTable[[#This Row],[Department]],$A$15:$B$40,2,FALSE)</f>
        <v>AF</v>
      </c>
    </row>
    <row r="147" spans="4:25" ht="14.45" customHeight="1" x14ac:dyDescent="0.25">
      <c r="D147" s="78">
        <v>388342</v>
      </c>
      <c r="E147" s="78">
        <v>280014790</v>
      </c>
      <c r="F147" s="83" t="s">
        <v>100</v>
      </c>
      <c r="G147" s="1" t="s">
        <v>145</v>
      </c>
      <c r="H147" s="1" t="s">
        <v>14</v>
      </c>
      <c r="I147" s="1" t="s">
        <v>146</v>
      </c>
      <c r="J147" s="1">
        <v>-337886333.38</v>
      </c>
      <c r="K147" s="1">
        <v>-337886333.38</v>
      </c>
      <c r="L147" s="1">
        <v>0</v>
      </c>
      <c r="M147" s="1">
        <v>0</v>
      </c>
      <c r="N147" s="1" t="s">
        <v>14</v>
      </c>
      <c r="O147" s="1">
        <v>0</v>
      </c>
      <c r="P147" s="1">
        <v>1</v>
      </c>
      <c r="Q147" s="83">
        <v>0</v>
      </c>
      <c r="R147" s="83">
        <v>0</v>
      </c>
      <c r="S147" s="1">
        <v>-1268678.82</v>
      </c>
      <c r="T147" s="83">
        <v>0</v>
      </c>
      <c r="U147" s="1" t="s">
        <v>122</v>
      </c>
      <c r="V147" s="1" t="s">
        <v>836</v>
      </c>
      <c r="W147" s="1">
        <v>4781.60363426</v>
      </c>
      <c r="X147" s="1"/>
      <c r="Y147" s="83" t="str">
        <f>VLOOKUP(LossTable[[#This Row],[Department]],$A$15:$B$40,2,FALSE)</f>
        <v>EI Recovery^</v>
      </c>
    </row>
    <row r="148" spans="4:25" ht="14.45" customHeight="1" x14ac:dyDescent="0.25">
      <c r="D148" s="78">
        <v>139885</v>
      </c>
      <c r="E148" s="78">
        <v>280037801</v>
      </c>
      <c r="F148" s="83" t="s">
        <v>87</v>
      </c>
      <c r="G148" s="1" t="s">
        <v>123</v>
      </c>
      <c r="H148" s="1" t="s">
        <v>14</v>
      </c>
      <c r="I148" s="1" t="s">
        <v>124</v>
      </c>
      <c r="J148" s="1">
        <v>1127187540.1500001</v>
      </c>
      <c r="K148" s="1">
        <v>1127187540.1500001</v>
      </c>
      <c r="L148" s="1">
        <v>0</v>
      </c>
      <c r="M148" s="1">
        <v>0</v>
      </c>
      <c r="N148" s="1" t="s">
        <v>14</v>
      </c>
      <c r="O148" s="1">
        <v>0.10623199</v>
      </c>
      <c r="P148" s="1">
        <v>1</v>
      </c>
      <c r="Q148" s="83">
        <v>903607</v>
      </c>
      <c r="R148" s="83">
        <v>903607</v>
      </c>
      <c r="S148" s="1">
        <v>903607</v>
      </c>
      <c r="T148" s="83">
        <v>0</v>
      </c>
      <c r="U148" s="1" t="s">
        <v>122</v>
      </c>
      <c r="V148" s="1" t="s">
        <v>852</v>
      </c>
      <c r="W148" s="1">
        <v>3949.1976460300002</v>
      </c>
      <c r="X148" s="1"/>
      <c r="Y148" s="83" t="str">
        <f>VLOOKUP(LossTable[[#This Row],[Department]],$A$15:$B$40,2,FALSE)</f>
        <v>Insurance</v>
      </c>
    </row>
    <row r="149" spans="4:25" ht="14.45" customHeight="1" x14ac:dyDescent="0.25">
      <c r="D149" s="78">
        <v>445338</v>
      </c>
      <c r="E149" s="78">
        <v>280014790</v>
      </c>
      <c r="F149" s="83" t="s">
        <v>94</v>
      </c>
      <c r="G149" s="1" t="s">
        <v>416</v>
      </c>
      <c r="H149" s="1" t="s">
        <v>16</v>
      </c>
      <c r="I149" s="1" t="s">
        <v>480</v>
      </c>
      <c r="J149" s="1">
        <v>2000000</v>
      </c>
      <c r="K149" s="1">
        <v>80000000</v>
      </c>
      <c r="L149" s="1">
        <v>0</v>
      </c>
      <c r="M149" s="1">
        <v>0</v>
      </c>
      <c r="N149" s="1" t="s">
        <v>481</v>
      </c>
      <c r="O149" s="1">
        <v>3.0000000099999999</v>
      </c>
      <c r="P149" s="1">
        <v>2.5000000000000001E-2</v>
      </c>
      <c r="Q149" s="83">
        <v>22004.557000000001</v>
      </c>
      <c r="R149" s="83">
        <v>22004.557000000001</v>
      </c>
      <c r="S149" s="1">
        <v>22004.557000000001</v>
      </c>
      <c r="T149" s="83">
        <v>0</v>
      </c>
      <c r="U149" s="1" t="s">
        <v>122</v>
      </c>
      <c r="V149" s="1" t="s">
        <v>836</v>
      </c>
      <c r="W149" s="1">
        <v>4781.60363426</v>
      </c>
      <c r="X149" s="1"/>
      <c r="Y149" s="83" t="str">
        <f>VLOOKUP(LossTable[[#This Row],[Department]],$A$15:$B$40,2,FALSE)</f>
        <v>TP</v>
      </c>
    </row>
    <row r="150" spans="4:25" ht="14.45" customHeight="1" x14ac:dyDescent="0.25">
      <c r="D150" s="78">
        <v>127</v>
      </c>
      <c r="E150" s="78">
        <v>280037801</v>
      </c>
      <c r="F150" s="83" t="s">
        <v>92</v>
      </c>
      <c r="G150" s="1" t="s">
        <v>220</v>
      </c>
      <c r="H150" s="1" t="s">
        <v>16</v>
      </c>
      <c r="I150" s="1" t="s">
        <v>220</v>
      </c>
      <c r="J150" s="1">
        <v>84868955.288334802</v>
      </c>
      <c r="K150" s="1">
        <v>0</v>
      </c>
      <c r="L150" s="1">
        <v>0</v>
      </c>
      <c r="M150" s="1">
        <v>0</v>
      </c>
      <c r="N150" s="1" t="s">
        <v>44</v>
      </c>
      <c r="O150" s="1">
        <v>0</v>
      </c>
      <c r="P150" s="1">
        <v>1</v>
      </c>
      <c r="Q150" s="83">
        <v>523.79168000000004</v>
      </c>
      <c r="R150" s="83">
        <v>523.79168000000004</v>
      </c>
      <c r="S150" s="1">
        <v>523.79168000000004</v>
      </c>
      <c r="T150" s="83">
        <v>0</v>
      </c>
      <c r="U150" s="1" t="s">
        <v>122</v>
      </c>
      <c r="V150" s="1" t="s">
        <v>852</v>
      </c>
      <c r="W150" s="1">
        <v>3949.1976460300002</v>
      </c>
      <c r="X150" s="1"/>
      <c r="Y150" s="83" t="str">
        <f>VLOOKUP(LossTable[[#This Row],[Department]],$A$15:$B$40,2,FALSE)</f>
        <v>FP</v>
      </c>
    </row>
    <row r="151" spans="4:25" ht="14.45" customHeight="1" x14ac:dyDescent="0.25">
      <c r="D151" s="78">
        <v>447395</v>
      </c>
      <c r="E151" s="78">
        <v>280066590</v>
      </c>
      <c r="F151" s="83" t="s">
        <v>94</v>
      </c>
      <c r="G151" s="1" t="s">
        <v>482</v>
      </c>
      <c r="H151" s="1" t="s">
        <v>16</v>
      </c>
      <c r="I151" s="1" t="s">
        <v>483</v>
      </c>
      <c r="J151" s="1">
        <v>1800000</v>
      </c>
      <c r="K151" s="1">
        <v>10000000</v>
      </c>
      <c r="L151" s="1">
        <v>0</v>
      </c>
      <c r="M151" s="1">
        <v>0</v>
      </c>
      <c r="N151" s="1" t="s">
        <v>257</v>
      </c>
      <c r="O151" s="1">
        <v>0.54</v>
      </c>
      <c r="P151" s="1">
        <v>0.18</v>
      </c>
      <c r="Q151" s="83">
        <v>8740.2654000000002</v>
      </c>
      <c r="R151" s="83">
        <v>8740.2654000000002</v>
      </c>
      <c r="S151" s="1">
        <v>8740.2654000000002</v>
      </c>
      <c r="T151" s="83">
        <v>0</v>
      </c>
      <c r="U151" s="1" t="s">
        <v>122</v>
      </c>
      <c r="V151" s="1" t="s">
        <v>837</v>
      </c>
      <c r="W151" s="1">
        <v>3280.0940773799998</v>
      </c>
      <c r="X151" s="1"/>
      <c r="Y151" s="83" t="str">
        <f>VLOOKUP(LossTable[[#This Row],[Department]],$A$15:$B$40,2,FALSE)</f>
        <v>TP</v>
      </c>
    </row>
    <row r="152" spans="4:25" ht="14.45" customHeight="1" x14ac:dyDescent="0.25">
      <c r="D152" s="78">
        <v>471373</v>
      </c>
      <c r="E152" s="78">
        <v>280066590</v>
      </c>
      <c r="F152" s="83" t="s">
        <v>94</v>
      </c>
      <c r="G152" s="1" t="s">
        <v>655</v>
      </c>
      <c r="H152" s="1" t="s">
        <v>14</v>
      </c>
      <c r="I152" s="1" t="s">
        <v>656</v>
      </c>
      <c r="J152" s="1">
        <v>19175000</v>
      </c>
      <c r="K152" s="1">
        <v>295000000</v>
      </c>
      <c r="L152" s="1">
        <v>0</v>
      </c>
      <c r="M152" s="1">
        <v>0</v>
      </c>
      <c r="N152" s="1" t="s">
        <v>122</v>
      </c>
      <c r="O152" s="1">
        <v>0.89590168999999997</v>
      </c>
      <c r="P152" s="1">
        <v>6.5000000000000002E-2</v>
      </c>
      <c r="Q152" s="83">
        <v>592485.88165</v>
      </c>
      <c r="R152" s="83">
        <v>592485.88165</v>
      </c>
      <c r="S152" s="1">
        <v>592485.88165</v>
      </c>
      <c r="T152" s="83">
        <v>0</v>
      </c>
      <c r="U152" s="1" t="s">
        <v>122</v>
      </c>
      <c r="V152" s="1" t="s">
        <v>837</v>
      </c>
      <c r="W152" s="1">
        <v>3280.0940773799998</v>
      </c>
      <c r="X152" s="1"/>
      <c r="Y152" s="83" t="str">
        <f>VLOOKUP(LossTable[[#This Row],[Department]],$A$15:$B$40,2,FALSE)</f>
        <v>TP</v>
      </c>
    </row>
    <row r="153" spans="4:25" ht="14.45" customHeight="1" x14ac:dyDescent="0.25">
      <c r="D153" s="78">
        <v>444583</v>
      </c>
      <c r="E153" s="78">
        <v>280014790</v>
      </c>
      <c r="F153" s="83" t="s">
        <v>94</v>
      </c>
      <c r="G153" s="1" t="s">
        <v>395</v>
      </c>
      <c r="H153" s="1" t="s">
        <v>16</v>
      </c>
      <c r="I153" s="1" t="s">
        <v>451</v>
      </c>
      <c r="J153" s="1">
        <v>280000</v>
      </c>
      <c r="K153" s="1">
        <v>8000000</v>
      </c>
      <c r="L153" s="1">
        <v>0</v>
      </c>
      <c r="M153" s="1">
        <v>0</v>
      </c>
      <c r="N153" s="1" t="s">
        <v>452</v>
      </c>
      <c r="O153" s="1">
        <v>28.749999970000001</v>
      </c>
      <c r="P153" s="1">
        <v>3.5000000000000003E-2</v>
      </c>
      <c r="Q153" s="83">
        <v>28935.009600000001</v>
      </c>
      <c r="R153" s="83">
        <v>28935.009600000001</v>
      </c>
      <c r="S153" s="1">
        <v>28935.009600000001</v>
      </c>
      <c r="T153" s="83">
        <v>0</v>
      </c>
      <c r="U153" s="1" t="s">
        <v>122</v>
      </c>
      <c r="V153" s="1" t="s">
        <v>836</v>
      </c>
      <c r="W153" s="1">
        <v>4781.60363426</v>
      </c>
      <c r="X153" s="1"/>
      <c r="Y153" s="83" t="str">
        <f>VLOOKUP(LossTable[[#This Row],[Department]],$A$15:$B$40,2,FALSE)</f>
        <v>TP</v>
      </c>
    </row>
    <row r="154" spans="4:25" ht="14.45" customHeight="1" x14ac:dyDescent="0.25">
      <c r="D154" s="78">
        <v>443278</v>
      </c>
      <c r="E154" s="78">
        <v>280037801</v>
      </c>
      <c r="F154" s="83" t="s">
        <v>45</v>
      </c>
      <c r="G154" s="1" t="s">
        <v>433</v>
      </c>
      <c r="H154" s="1" t="s">
        <v>16</v>
      </c>
      <c r="I154" s="1" t="s">
        <v>434</v>
      </c>
      <c r="J154" s="1">
        <v>500000</v>
      </c>
      <c r="K154" s="1">
        <v>1000000</v>
      </c>
      <c r="L154" s="1">
        <v>0</v>
      </c>
      <c r="M154" s="1">
        <v>0</v>
      </c>
      <c r="N154" s="1" t="s">
        <v>435</v>
      </c>
      <c r="O154" s="1">
        <v>0.82499999999999996</v>
      </c>
      <c r="P154" s="1">
        <v>0.5</v>
      </c>
      <c r="Q154" s="83">
        <v>213832.16</v>
      </c>
      <c r="R154" s="83">
        <v>213832.16</v>
      </c>
      <c r="S154" s="1">
        <v>213832.16</v>
      </c>
      <c r="T154" s="83">
        <v>176411.39999999001</v>
      </c>
      <c r="U154" s="1" t="s">
        <v>122</v>
      </c>
      <c r="V154" s="1" t="s">
        <v>852</v>
      </c>
      <c r="W154" s="1">
        <v>3949.1976460300002</v>
      </c>
      <c r="X154" s="1"/>
      <c r="Y154" s="83" t="str">
        <f>VLOOKUP(LossTable[[#This Row],[Department]],$A$15:$B$40,2,FALSE)</f>
        <v>FP</v>
      </c>
    </row>
    <row r="155" spans="4:25" ht="14.45" customHeight="1" x14ac:dyDescent="0.25">
      <c r="D155" s="78">
        <v>128</v>
      </c>
      <c r="E155" s="78">
        <v>280066590</v>
      </c>
      <c r="F155" s="83" t="s">
        <v>92</v>
      </c>
      <c r="G155" s="1" t="s">
        <v>220</v>
      </c>
      <c r="H155" s="1" t="s">
        <v>16</v>
      </c>
      <c r="I155" s="1" t="s">
        <v>220</v>
      </c>
      <c r="J155" s="1">
        <v>53671848.623498403</v>
      </c>
      <c r="K155" s="1">
        <v>0</v>
      </c>
      <c r="L155" s="1">
        <v>0</v>
      </c>
      <c r="M155" s="1">
        <v>0</v>
      </c>
      <c r="N155" s="1" t="s">
        <v>44</v>
      </c>
      <c r="O155" s="1">
        <v>0</v>
      </c>
      <c r="P155" s="1">
        <v>1</v>
      </c>
      <c r="Q155" s="83">
        <v>17579.482237</v>
      </c>
      <c r="R155" s="83">
        <v>17579.482237</v>
      </c>
      <c r="S155" s="1">
        <v>17579.482237</v>
      </c>
      <c r="T155" s="83">
        <v>0</v>
      </c>
      <c r="U155" s="1" t="s">
        <v>122</v>
      </c>
      <c r="V155" s="1" t="s">
        <v>837</v>
      </c>
      <c r="W155" s="1">
        <v>3280.0940773799998</v>
      </c>
      <c r="X155" s="1"/>
      <c r="Y155" s="83" t="str">
        <f>VLOOKUP(LossTable[[#This Row],[Department]],$A$15:$B$40,2,FALSE)</f>
        <v>FP</v>
      </c>
    </row>
    <row r="156" spans="4:25" ht="14.45" customHeight="1" x14ac:dyDescent="0.25">
      <c r="D156" s="78">
        <v>106</v>
      </c>
      <c r="E156" s="78">
        <v>280014790</v>
      </c>
      <c r="F156" s="83" t="s">
        <v>86</v>
      </c>
      <c r="G156" s="1" t="s">
        <v>217</v>
      </c>
      <c r="H156" s="1" t="s">
        <v>16</v>
      </c>
      <c r="I156" s="1" t="s">
        <v>217</v>
      </c>
      <c r="J156" s="1">
        <v>23293518.515325401</v>
      </c>
      <c r="K156" s="1">
        <v>0</v>
      </c>
      <c r="L156" s="1">
        <v>0</v>
      </c>
      <c r="M156" s="1">
        <v>0</v>
      </c>
      <c r="N156" s="1" t="s">
        <v>44</v>
      </c>
      <c r="O156" s="1">
        <v>0</v>
      </c>
      <c r="P156" s="1">
        <v>1</v>
      </c>
      <c r="Q156" s="83">
        <v>111393.776</v>
      </c>
      <c r="R156" s="83">
        <v>111393.776</v>
      </c>
      <c r="S156" s="1">
        <v>111393.776</v>
      </c>
      <c r="T156" s="83">
        <v>0</v>
      </c>
      <c r="U156" s="1" t="s">
        <v>122</v>
      </c>
      <c r="V156" s="1" t="s">
        <v>836</v>
      </c>
      <c r="W156" s="1">
        <v>4781.60363426</v>
      </c>
      <c r="X156" s="1"/>
      <c r="Y156" s="83" t="str">
        <f>VLOOKUP(LossTable[[#This Row],[Department]],$A$15:$B$40,2,FALSE)</f>
        <v>FP</v>
      </c>
    </row>
    <row r="157" spans="4:25" ht="14.45" customHeight="1" x14ac:dyDescent="0.25">
      <c r="D157" s="78">
        <v>441843</v>
      </c>
      <c r="E157" s="78">
        <v>280037801</v>
      </c>
      <c r="F157" s="83" t="s">
        <v>94</v>
      </c>
      <c r="G157" s="1" t="s">
        <v>388</v>
      </c>
      <c r="H157" s="1" t="s">
        <v>14</v>
      </c>
      <c r="I157" s="1" t="s">
        <v>389</v>
      </c>
      <c r="J157" s="1">
        <v>3750000</v>
      </c>
      <c r="K157" s="1">
        <v>50000000</v>
      </c>
      <c r="L157" s="1">
        <v>0</v>
      </c>
      <c r="M157" s="1">
        <v>0</v>
      </c>
      <c r="N157" s="1" t="s">
        <v>166</v>
      </c>
      <c r="O157" s="1">
        <v>1.63716916</v>
      </c>
      <c r="P157" s="1">
        <v>7.4999999999999997E-2</v>
      </c>
      <c r="Q157" s="83">
        <v>207492.55124999999</v>
      </c>
      <c r="R157" s="83">
        <v>207492.55124999999</v>
      </c>
      <c r="S157" s="1">
        <v>207492.55124999999</v>
      </c>
      <c r="T157" s="83">
        <v>0</v>
      </c>
      <c r="U157" s="1" t="s">
        <v>122</v>
      </c>
      <c r="V157" s="1" t="s">
        <v>852</v>
      </c>
      <c r="W157" s="1">
        <v>3949.1976460300002</v>
      </c>
      <c r="X157" s="1"/>
      <c r="Y157" s="83" t="str">
        <f>VLOOKUP(LossTable[[#This Row],[Department]],$A$15:$B$40,2,FALSE)</f>
        <v>TP</v>
      </c>
    </row>
    <row r="158" spans="4:25" ht="14.45" customHeight="1" x14ac:dyDescent="0.25">
      <c r="D158" s="78">
        <v>435696</v>
      </c>
      <c r="E158" s="78">
        <v>280014790</v>
      </c>
      <c r="F158" s="83" t="s">
        <v>94</v>
      </c>
      <c r="G158" s="1" t="s">
        <v>318</v>
      </c>
      <c r="H158" s="1" t="s">
        <v>16</v>
      </c>
      <c r="I158" s="1" t="s">
        <v>414</v>
      </c>
      <c r="J158" s="1">
        <v>4500000</v>
      </c>
      <c r="K158" s="1">
        <v>90000000</v>
      </c>
      <c r="L158" s="1">
        <v>0</v>
      </c>
      <c r="M158" s="1">
        <v>0</v>
      </c>
      <c r="N158" s="1" t="s">
        <v>415</v>
      </c>
      <c r="O158" s="1">
        <v>0.45</v>
      </c>
      <c r="P158" s="1">
        <v>0.05</v>
      </c>
      <c r="Q158" s="83">
        <v>4561.049</v>
      </c>
      <c r="R158" s="83">
        <v>4561.049</v>
      </c>
      <c r="S158" s="1">
        <v>4561.049</v>
      </c>
      <c r="T158" s="83">
        <v>0</v>
      </c>
      <c r="U158" s="1" t="s">
        <v>122</v>
      </c>
      <c r="V158" s="1" t="s">
        <v>836</v>
      </c>
      <c r="W158" s="1">
        <v>4781.60363426</v>
      </c>
      <c r="X158" s="1"/>
      <c r="Y158" s="83" t="str">
        <f>VLOOKUP(LossTable[[#This Row],[Department]],$A$15:$B$40,2,FALSE)</f>
        <v>TP</v>
      </c>
    </row>
    <row r="159" spans="4:25" ht="14.45" customHeight="1" x14ac:dyDescent="0.25">
      <c r="D159" s="78">
        <v>288755</v>
      </c>
      <c r="E159" s="78">
        <v>280037801</v>
      </c>
      <c r="F159" s="83" t="s">
        <v>87</v>
      </c>
      <c r="G159" s="1" t="s">
        <v>221</v>
      </c>
      <c r="H159" s="1" t="s">
        <v>14</v>
      </c>
      <c r="I159" s="1" t="s">
        <v>222</v>
      </c>
      <c r="J159" s="1">
        <v>11326690.76</v>
      </c>
      <c r="K159" s="1">
        <v>11326690.76</v>
      </c>
      <c r="L159" s="1">
        <v>0</v>
      </c>
      <c r="M159" s="1">
        <v>0</v>
      </c>
      <c r="N159" s="1" t="s">
        <v>14</v>
      </c>
      <c r="O159" s="1">
        <v>8.8287039999999997E-2</v>
      </c>
      <c r="P159" s="1">
        <v>1</v>
      </c>
      <c r="Q159" s="83">
        <v>783.58</v>
      </c>
      <c r="R159" s="83">
        <v>783.58</v>
      </c>
      <c r="S159" s="1">
        <v>783.58</v>
      </c>
      <c r="T159" s="83">
        <v>0</v>
      </c>
      <c r="U159" s="1" t="s">
        <v>122</v>
      </c>
      <c r="V159" s="1" t="s">
        <v>852</v>
      </c>
      <c r="W159" s="1">
        <v>3949.1976460300002</v>
      </c>
      <c r="X159" s="1"/>
      <c r="Y159" s="83" t="str">
        <f>VLOOKUP(LossTable[[#This Row],[Department]],$A$15:$B$40,2,FALSE)</f>
        <v>Insurance</v>
      </c>
    </row>
    <row r="160" spans="4:25" ht="14.45" customHeight="1" x14ac:dyDescent="0.25">
      <c r="D160" s="78">
        <v>140</v>
      </c>
      <c r="E160" s="78">
        <v>280066590</v>
      </c>
      <c r="F160" s="83" t="s">
        <v>45</v>
      </c>
      <c r="G160" s="1" t="s">
        <v>46</v>
      </c>
      <c r="H160" s="1" t="s">
        <v>16</v>
      </c>
      <c r="I160" s="1" t="s">
        <v>46</v>
      </c>
      <c r="J160" s="1">
        <v>58298719</v>
      </c>
      <c r="K160" s="1">
        <v>0</v>
      </c>
      <c r="L160" s="1">
        <v>0</v>
      </c>
      <c r="M160" s="1">
        <v>0</v>
      </c>
      <c r="N160" s="1" t="s">
        <v>44</v>
      </c>
      <c r="O160" s="1">
        <v>0</v>
      </c>
      <c r="P160" s="1">
        <v>1</v>
      </c>
      <c r="Q160" s="83">
        <v>21434.290216000001</v>
      </c>
      <c r="R160" s="83">
        <v>21434.290216000001</v>
      </c>
      <c r="S160" s="1">
        <v>21434.290216000001</v>
      </c>
      <c r="T160" s="83">
        <v>0</v>
      </c>
      <c r="U160" s="1" t="s">
        <v>122</v>
      </c>
      <c r="V160" s="1" t="s">
        <v>837</v>
      </c>
      <c r="W160" s="1">
        <v>3280.0940773799998</v>
      </c>
      <c r="X160" s="1"/>
      <c r="Y160" s="83" t="str">
        <f>VLOOKUP(LossTable[[#This Row],[Department]],$A$15:$B$40,2,FALSE)</f>
        <v>FP</v>
      </c>
    </row>
    <row r="161" spans="4:25" ht="14.45" customHeight="1" x14ac:dyDescent="0.25">
      <c r="D161" s="78">
        <v>434244</v>
      </c>
      <c r="E161" s="78">
        <v>280066590</v>
      </c>
      <c r="F161" s="83" t="s">
        <v>21</v>
      </c>
      <c r="G161" s="1" t="s">
        <v>188</v>
      </c>
      <c r="H161" s="1" t="s">
        <v>14</v>
      </c>
      <c r="I161" s="1" t="s">
        <v>189</v>
      </c>
      <c r="J161" s="1">
        <v>4500000</v>
      </c>
      <c r="K161" s="1">
        <v>150000000</v>
      </c>
      <c r="L161" s="1">
        <v>0</v>
      </c>
      <c r="M161" s="1">
        <v>0</v>
      </c>
      <c r="N161" s="1" t="s">
        <v>161</v>
      </c>
      <c r="O161" s="1">
        <v>1.36166667</v>
      </c>
      <c r="P161" s="1">
        <v>0.03</v>
      </c>
      <c r="Q161" s="83">
        <v>1561.6965</v>
      </c>
      <c r="R161" s="83">
        <v>1561.6965</v>
      </c>
      <c r="S161" s="1">
        <v>1561.6965</v>
      </c>
      <c r="T161" s="83">
        <v>0</v>
      </c>
      <c r="U161" s="1" t="s">
        <v>122</v>
      </c>
      <c r="V161" s="1" t="s">
        <v>837</v>
      </c>
      <c r="W161" s="1">
        <v>3280.0940773799998</v>
      </c>
      <c r="X161" s="1"/>
      <c r="Y161" s="83" t="str">
        <f>VLOOKUP(LossTable[[#This Row],[Department]],$A$15:$B$40,2,FALSE)</f>
        <v>London</v>
      </c>
    </row>
    <row r="162" spans="4:25" ht="14.45" customHeight="1" x14ac:dyDescent="0.25">
      <c r="D162" s="78">
        <v>438659</v>
      </c>
      <c r="E162" s="78">
        <v>280014790</v>
      </c>
      <c r="F162" s="83" t="s">
        <v>94</v>
      </c>
      <c r="G162" s="1" t="s">
        <v>485</v>
      </c>
      <c r="H162" s="1" t="s">
        <v>14</v>
      </c>
      <c r="I162" s="1" t="s">
        <v>486</v>
      </c>
      <c r="J162" s="1">
        <v>9375000</v>
      </c>
      <c r="K162" s="1">
        <v>62500000</v>
      </c>
      <c r="L162" s="1">
        <v>0</v>
      </c>
      <c r="M162" s="1">
        <v>0</v>
      </c>
      <c r="N162" s="1" t="s">
        <v>122</v>
      </c>
      <c r="O162" s="1">
        <v>0.8</v>
      </c>
      <c r="P162" s="1">
        <v>0.15</v>
      </c>
      <c r="Q162" s="83">
        <v>75663.076499999996</v>
      </c>
      <c r="R162" s="83">
        <v>75663.076499999996</v>
      </c>
      <c r="S162" s="1">
        <v>75663.076499999996</v>
      </c>
      <c r="T162" s="83">
        <v>0</v>
      </c>
      <c r="U162" s="1" t="s">
        <v>122</v>
      </c>
      <c r="V162" s="1" t="s">
        <v>836</v>
      </c>
      <c r="W162" s="1">
        <v>4781.60363426</v>
      </c>
      <c r="X162" s="1"/>
      <c r="Y162" s="83" t="str">
        <f>VLOOKUP(LossTable[[#This Row],[Department]],$A$15:$B$40,2,FALSE)</f>
        <v>TP</v>
      </c>
    </row>
    <row r="163" spans="4:25" ht="14.45" customHeight="1" x14ac:dyDescent="0.25">
      <c r="D163" s="78">
        <v>431800</v>
      </c>
      <c r="E163" s="78">
        <v>280014790</v>
      </c>
      <c r="F163" s="83" t="s">
        <v>94</v>
      </c>
      <c r="G163" s="1" t="s">
        <v>272</v>
      </c>
      <c r="H163" s="1" t="s">
        <v>16</v>
      </c>
      <c r="I163" s="1" t="s">
        <v>273</v>
      </c>
      <c r="J163" s="1">
        <v>1500000</v>
      </c>
      <c r="K163" s="1">
        <v>15000000</v>
      </c>
      <c r="L163" s="1">
        <v>0</v>
      </c>
      <c r="M163" s="1">
        <v>0</v>
      </c>
      <c r="N163" s="1" t="s">
        <v>274</v>
      </c>
      <c r="O163" s="1">
        <v>0.27500000000000002</v>
      </c>
      <c r="P163" s="1">
        <v>0.1</v>
      </c>
      <c r="Q163" s="83">
        <v>679.74400000000003</v>
      </c>
      <c r="R163" s="83">
        <v>679.74400000000003</v>
      </c>
      <c r="S163" s="1">
        <v>679.74400000000003</v>
      </c>
      <c r="T163" s="83">
        <v>0</v>
      </c>
      <c r="U163" s="1" t="s">
        <v>122</v>
      </c>
      <c r="V163" s="1" t="s">
        <v>836</v>
      </c>
      <c r="W163" s="1">
        <v>4781.60363426</v>
      </c>
      <c r="X163" s="1"/>
      <c r="Y163" s="83" t="str">
        <f>VLOOKUP(LossTable[[#This Row],[Department]],$A$15:$B$40,2,FALSE)</f>
        <v>TP</v>
      </c>
    </row>
    <row r="164" spans="4:25" ht="14.45" customHeight="1" x14ac:dyDescent="0.25">
      <c r="D164" s="78">
        <v>427032</v>
      </c>
      <c r="E164" s="78">
        <v>280037801</v>
      </c>
      <c r="F164" s="83" t="s">
        <v>45</v>
      </c>
      <c r="G164" s="1" t="s">
        <v>246</v>
      </c>
      <c r="H164" s="1" t="s">
        <v>16</v>
      </c>
      <c r="I164" s="1" t="s">
        <v>247</v>
      </c>
      <c r="J164" s="1">
        <v>1000000</v>
      </c>
      <c r="K164" s="1">
        <v>20000000</v>
      </c>
      <c r="L164" s="1">
        <v>0</v>
      </c>
      <c r="M164" s="1">
        <v>0</v>
      </c>
      <c r="N164" s="1" t="s">
        <v>248</v>
      </c>
      <c r="O164" s="1">
        <v>0.64666889999999999</v>
      </c>
      <c r="P164" s="1">
        <v>0.05</v>
      </c>
      <c r="Q164" s="83">
        <v>3929.826</v>
      </c>
      <c r="R164" s="83">
        <v>3929.826</v>
      </c>
      <c r="S164" s="1">
        <v>3929.826</v>
      </c>
      <c r="T164" s="83">
        <v>0</v>
      </c>
      <c r="U164" s="1" t="s">
        <v>122</v>
      </c>
      <c r="V164" s="1" t="s">
        <v>852</v>
      </c>
      <c r="W164" s="1">
        <v>3949.1976460300002</v>
      </c>
      <c r="X164" s="1"/>
      <c r="Y164" s="83" t="str">
        <f>VLOOKUP(LossTable[[#This Row],[Department]],$A$15:$B$40,2,FALSE)</f>
        <v>FP</v>
      </c>
    </row>
    <row r="165" spans="4:25" ht="14.45" customHeight="1" x14ac:dyDescent="0.25">
      <c r="D165" s="78">
        <v>435696</v>
      </c>
      <c r="E165" s="78">
        <v>280066590</v>
      </c>
      <c r="F165" s="83" t="s">
        <v>94</v>
      </c>
      <c r="G165" s="1" t="s">
        <v>318</v>
      </c>
      <c r="H165" s="1" t="s">
        <v>16</v>
      </c>
      <c r="I165" s="1" t="s">
        <v>414</v>
      </c>
      <c r="J165" s="1">
        <v>4500000</v>
      </c>
      <c r="K165" s="1">
        <v>90000000</v>
      </c>
      <c r="L165" s="1">
        <v>0</v>
      </c>
      <c r="M165" s="1">
        <v>0</v>
      </c>
      <c r="N165" s="1" t="s">
        <v>415</v>
      </c>
      <c r="O165" s="1">
        <v>0.45</v>
      </c>
      <c r="P165" s="1">
        <v>0.05</v>
      </c>
      <c r="Q165" s="83">
        <v>4069.6015000000002</v>
      </c>
      <c r="R165" s="83">
        <v>4069.6015000000002</v>
      </c>
      <c r="S165" s="1">
        <v>4069.6015000000002</v>
      </c>
      <c r="T165" s="83">
        <v>0</v>
      </c>
      <c r="U165" s="1" t="s">
        <v>122</v>
      </c>
      <c r="V165" s="1" t="s">
        <v>837</v>
      </c>
      <c r="W165" s="1">
        <v>3280.0940773799998</v>
      </c>
      <c r="X165" s="1"/>
      <c r="Y165" s="83" t="str">
        <f>VLOOKUP(LossTable[[#This Row],[Department]],$A$15:$B$40,2,FALSE)</f>
        <v>TP</v>
      </c>
    </row>
    <row r="166" spans="4:25" ht="14.45" customHeight="1" x14ac:dyDescent="0.25">
      <c r="D166" s="78">
        <v>146</v>
      </c>
      <c r="E166" s="78">
        <v>280014790</v>
      </c>
      <c r="F166" s="83" t="s">
        <v>45</v>
      </c>
      <c r="G166" s="1" t="s">
        <v>46</v>
      </c>
      <c r="H166" s="1" t="s">
        <v>16</v>
      </c>
      <c r="I166" s="1" t="s">
        <v>46</v>
      </c>
      <c r="J166" s="1">
        <v>1299970306</v>
      </c>
      <c r="K166" s="1">
        <v>0</v>
      </c>
      <c r="L166" s="1">
        <v>0</v>
      </c>
      <c r="M166" s="1">
        <v>0</v>
      </c>
      <c r="N166" s="1" t="s">
        <v>44</v>
      </c>
      <c r="O166" s="1">
        <v>0</v>
      </c>
      <c r="P166" s="1">
        <v>1</v>
      </c>
      <c r="Q166" s="83">
        <v>135998.40811300001</v>
      </c>
      <c r="R166" s="83">
        <v>135998.40811300001</v>
      </c>
      <c r="S166" s="1">
        <v>135998.40811300001</v>
      </c>
      <c r="T166" s="83">
        <v>0</v>
      </c>
      <c r="U166" s="1" t="s">
        <v>122</v>
      </c>
      <c r="V166" s="1" t="s">
        <v>836</v>
      </c>
      <c r="W166" s="1">
        <v>4781.60363426</v>
      </c>
      <c r="X166" s="1"/>
      <c r="Y166" s="83" t="str">
        <f>VLOOKUP(LossTable[[#This Row],[Department]],$A$15:$B$40,2,FALSE)</f>
        <v>FP</v>
      </c>
    </row>
    <row r="167" spans="4:25" ht="14.45" customHeight="1" x14ac:dyDescent="0.25">
      <c r="D167" s="78">
        <v>477692</v>
      </c>
      <c r="E167" s="78">
        <v>280066590</v>
      </c>
      <c r="F167" s="83" t="s">
        <v>45</v>
      </c>
      <c r="G167" s="1" t="s">
        <v>781</v>
      </c>
      <c r="H167" s="1" t="s">
        <v>16</v>
      </c>
      <c r="I167" s="1" t="s">
        <v>782</v>
      </c>
      <c r="J167" s="1">
        <v>2000000</v>
      </c>
      <c r="K167" s="1">
        <v>20000000</v>
      </c>
      <c r="L167" s="1">
        <v>0</v>
      </c>
      <c r="M167" s="1">
        <v>0</v>
      </c>
      <c r="N167" s="1" t="s">
        <v>248</v>
      </c>
      <c r="O167" s="1">
        <v>0.53041799999999995</v>
      </c>
      <c r="P167" s="1">
        <v>0.1</v>
      </c>
      <c r="Q167" s="83">
        <v>1005.831</v>
      </c>
      <c r="R167" s="83">
        <v>1005.831</v>
      </c>
      <c r="S167" s="1">
        <v>1005.831</v>
      </c>
      <c r="T167" s="83">
        <v>0</v>
      </c>
      <c r="U167" s="1" t="s">
        <v>122</v>
      </c>
      <c r="V167" s="1" t="s">
        <v>837</v>
      </c>
      <c r="W167" s="1">
        <v>3280.0940773799998</v>
      </c>
      <c r="X167" s="1"/>
      <c r="Y167" s="83" t="str">
        <f>VLOOKUP(LossTable[[#This Row],[Department]],$A$15:$B$40,2,FALSE)</f>
        <v>FP</v>
      </c>
    </row>
    <row r="168" spans="4:25" ht="14.45" customHeight="1" x14ac:dyDescent="0.25">
      <c r="D168" s="78">
        <v>115</v>
      </c>
      <c r="E168" s="78">
        <v>280037801</v>
      </c>
      <c r="F168" s="83" t="s">
        <v>42</v>
      </c>
      <c r="G168" s="1" t="s">
        <v>43</v>
      </c>
      <c r="H168" s="1" t="s">
        <v>16</v>
      </c>
      <c r="I168" s="1" t="s">
        <v>43</v>
      </c>
      <c r="J168" s="1">
        <v>45686581.967204303</v>
      </c>
      <c r="K168" s="1">
        <v>0</v>
      </c>
      <c r="L168" s="1">
        <v>0</v>
      </c>
      <c r="M168" s="1">
        <v>0</v>
      </c>
      <c r="N168" s="1" t="s">
        <v>44</v>
      </c>
      <c r="O168" s="1">
        <v>0</v>
      </c>
      <c r="P168" s="1">
        <v>1</v>
      </c>
      <c r="Q168" s="83">
        <v>62.994</v>
      </c>
      <c r="R168" s="83">
        <v>62.994</v>
      </c>
      <c r="S168" s="1">
        <v>62.994</v>
      </c>
      <c r="T168" s="83">
        <v>0</v>
      </c>
      <c r="U168" s="1" t="s">
        <v>122</v>
      </c>
      <c r="V168" s="1" t="s">
        <v>852</v>
      </c>
      <c r="W168" s="1">
        <v>3949.1976460300002</v>
      </c>
      <c r="X168" s="1"/>
      <c r="Y168" s="83" t="str">
        <f>VLOOKUP(LossTable[[#This Row],[Department]],$A$15:$B$40,2,FALSE)</f>
        <v>FP</v>
      </c>
    </row>
    <row r="169" spans="4:25" ht="14.45" customHeight="1" x14ac:dyDescent="0.25">
      <c r="D169" s="78">
        <v>437854</v>
      </c>
      <c r="E169" s="78">
        <v>280037801</v>
      </c>
      <c r="F169" s="83" t="s">
        <v>94</v>
      </c>
      <c r="G169" s="1" t="s">
        <v>427</v>
      </c>
      <c r="H169" s="1" t="s">
        <v>16</v>
      </c>
      <c r="I169" s="1" t="s">
        <v>428</v>
      </c>
      <c r="J169" s="1">
        <v>500000</v>
      </c>
      <c r="K169" s="1">
        <v>20000000</v>
      </c>
      <c r="L169" s="1">
        <v>0</v>
      </c>
      <c r="M169" s="1">
        <v>0</v>
      </c>
      <c r="N169" s="1" t="s">
        <v>429</v>
      </c>
      <c r="O169" s="1">
        <v>0.6</v>
      </c>
      <c r="P169" s="1">
        <v>2.5000000000000001E-2</v>
      </c>
      <c r="Q169" s="83">
        <v>21.045500000000001</v>
      </c>
      <c r="R169" s="83">
        <v>21.045500000000001</v>
      </c>
      <c r="S169" s="1">
        <v>21.045500000000001</v>
      </c>
      <c r="T169" s="83">
        <v>0</v>
      </c>
      <c r="U169" s="1" t="s">
        <v>122</v>
      </c>
      <c r="V169" s="1" t="s">
        <v>852</v>
      </c>
      <c r="W169" s="1">
        <v>3949.1976460300002</v>
      </c>
      <c r="X169" s="1"/>
      <c r="Y169" s="83" t="str">
        <f>VLOOKUP(LossTable[[#This Row],[Department]],$A$15:$B$40,2,FALSE)</f>
        <v>TP</v>
      </c>
    </row>
    <row r="170" spans="4:25" ht="14.45" customHeight="1" x14ac:dyDescent="0.25">
      <c r="D170" s="78">
        <v>447865</v>
      </c>
      <c r="E170" s="78">
        <v>280066590</v>
      </c>
      <c r="F170" s="83" t="s">
        <v>94</v>
      </c>
      <c r="G170" s="1" t="s">
        <v>489</v>
      </c>
      <c r="H170" s="1" t="s">
        <v>16</v>
      </c>
      <c r="I170" s="1" t="s">
        <v>497</v>
      </c>
      <c r="J170" s="1">
        <v>350000</v>
      </c>
      <c r="K170" s="1">
        <v>10000000</v>
      </c>
      <c r="L170" s="1">
        <v>0</v>
      </c>
      <c r="M170" s="1">
        <v>0</v>
      </c>
      <c r="N170" s="1" t="s">
        <v>498</v>
      </c>
      <c r="O170" s="1">
        <v>0.1</v>
      </c>
      <c r="P170" s="1">
        <v>3.5000000000000003E-2</v>
      </c>
      <c r="Q170" s="83">
        <v>3.1818499999999998</v>
      </c>
      <c r="R170" s="83">
        <v>3.1818499999999998</v>
      </c>
      <c r="S170" s="1">
        <v>3.1818499999999998</v>
      </c>
      <c r="T170" s="83">
        <v>0</v>
      </c>
      <c r="U170" s="1" t="s">
        <v>122</v>
      </c>
      <c r="V170" s="1" t="s">
        <v>837</v>
      </c>
      <c r="W170" s="1">
        <v>3280.0940773799998</v>
      </c>
      <c r="X170" s="1"/>
      <c r="Y170" s="83" t="str">
        <f>VLOOKUP(LossTable[[#This Row],[Department]],$A$15:$B$40,2,FALSE)</f>
        <v>TP</v>
      </c>
    </row>
    <row r="171" spans="4:25" ht="14.45" customHeight="1" x14ac:dyDescent="0.25">
      <c r="D171" s="78">
        <v>448237</v>
      </c>
      <c r="E171" s="78">
        <v>280014790</v>
      </c>
      <c r="F171" s="83" t="s">
        <v>45</v>
      </c>
      <c r="G171" s="1" t="s">
        <v>553</v>
      </c>
      <c r="H171" s="1" t="s">
        <v>16</v>
      </c>
      <c r="I171" s="1" t="s">
        <v>554</v>
      </c>
      <c r="J171" s="1">
        <v>750000</v>
      </c>
      <c r="K171" s="1">
        <v>10000000</v>
      </c>
      <c r="L171" s="1">
        <v>0</v>
      </c>
      <c r="M171" s="1">
        <v>0</v>
      </c>
      <c r="N171" s="1" t="s">
        <v>315</v>
      </c>
      <c r="O171" s="1">
        <v>0.27500000000000002</v>
      </c>
      <c r="P171" s="1">
        <v>7.4999999999999997E-2</v>
      </c>
      <c r="Q171" s="83">
        <v>172.536</v>
      </c>
      <c r="R171" s="83">
        <v>172.536</v>
      </c>
      <c r="S171" s="1">
        <v>172.536</v>
      </c>
      <c r="T171" s="83">
        <v>0</v>
      </c>
      <c r="U171" s="1" t="s">
        <v>122</v>
      </c>
      <c r="V171" s="1" t="s">
        <v>836</v>
      </c>
      <c r="W171" s="1">
        <v>4781.60363426</v>
      </c>
      <c r="X171" s="1"/>
      <c r="Y171" s="83" t="str">
        <f>VLOOKUP(LossTable[[#This Row],[Department]],$A$15:$B$40,2,FALSE)</f>
        <v>FP</v>
      </c>
    </row>
    <row r="172" spans="4:25" ht="14.45" customHeight="1" x14ac:dyDescent="0.25">
      <c r="D172" s="78">
        <v>288755</v>
      </c>
      <c r="E172" s="78">
        <v>280014790</v>
      </c>
      <c r="F172" s="83" t="s">
        <v>87</v>
      </c>
      <c r="G172" s="1" t="s">
        <v>221</v>
      </c>
      <c r="H172" s="1" t="s">
        <v>14</v>
      </c>
      <c r="I172" s="1" t="s">
        <v>222</v>
      </c>
      <c r="J172" s="1">
        <v>11326690.76</v>
      </c>
      <c r="K172" s="1">
        <v>11326690.76</v>
      </c>
      <c r="L172" s="1">
        <v>0</v>
      </c>
      <c r="M172" s="1">
        <v>0</v>
      </c>
      <c r="N172" s="1" t="s">
        <v>14</v>
      </c>
      <c r="O172" s="1">
        <v>8.8287039999999997E-2</v>
      </c>
      <c r="P172" s="1">
        <v>1</v>
      </c>
      <c r="Q172" s="83">
        <v>713.54</v>
      </c>
      <c r="R172" s="83">
        <v>713.54</v>
      </c>
      <c r="S172" s="1">
        <v>713.54</v>
      </c>
      <c r="T172" s="83">
        <v>0</v>
      </c>
      <c r="U172" s="1" t="s">
        <v>122</v>
      </c>
      <c r="V172" s="1" t="s">
        <v>836</v>
      </c>
      <c r="W172" s="1">
        <v>4781.60363426</v>
      </c>
      <c r="X172" s="1"/>
      <c r="Y172" s="83" t="str">
        <f>VLOOKUP(LossTable[[#This Row],[Department]],$A$15:$B$40,2,FALSE)</f>
        <v>Insurance</v>
      </c>
    </row>
    <row r="173" spans="4:25" ht="14.45" customHeight="1" x14ac:dyDescent="0.25">
      <c r="D173" s="78">
        <v>475589</v>
      </c>
      <c r="E173" s="78">
        <v>280014790</v>
      </c>
      <c r="F173" s="83" t="s">
        <v>94</v>
      </c>
      <c r="G173" s="1" t="s">
        <v>623</v>
      </c>
      <c r="H173" s="1" t="s">
        <v>14</v>
      </c>
      <c r="I173" s="1" t="s">
        <v>624</v>
      </c>
      <c r="J173" s="1">
        <v>10500000</v>
      </c>
      <c r="K173" s="1">
        <v>105000000</v>
      </c>
      <c r="L173" s="1">
        <v>0</v>
      </c>
      <c r="M173" s="1">
        <v>0</v>
      </c>
      <c r="N173" s="1" t="s">
        <v>122</v>
      </c>
      <c r="O173" s="1">
        <v>0.45362531</v>
      </c>
      <c r="P173" s="1">
        <v>0.1</v>
      </c>
      <c r="Q173" s="83">
        <v>52861.853000000003</v>
      </c>
      <c r="R173" s="83">
        <v>52861.853000000003</v>
      </c>
      <c r="S173" s="1">
        <v>52861.853000000003</v>
      </c>
      <c r="T173" s="83">
        <v>0</v>
      </c>
      <c r="U173" s="1" t="s">
        <v>122</v>
      </c>
      <c r="V173" s="1" t="s">
        <v>836</v>
      </c>
      <c r="W173" s="1">
        <v>4781.60363426</v>
      </c>
      <c r="X173" s="1"/>
      <c r="Y173" s="83" t="str">
        <f>VLOOKUP(LossTable[[#This Row],[Department]],$A$15:$B$40,2,FALSE)</f>
        <v>TP</v>
      </c>
    </row>
    <row r="174" spans="4:25" ht="14.45" customHeight="1" x14ac:dyDescent="0.25">
      <c r="D174" s="78">
        <v>456760</v>
      </c>
      <c r="E174" s="78">
        <v>280014790</v>
      </c>
      <c r="F174" s="83" t="s">
        <v>45</v>
      </c>
      <c r="G174" s="1" t="s">
        <v>577</v>
      </c>
      <c r="H174" s="1" t="s">
        <v>16</v>
      </c>
      <c r="I174" s="1" t="s">
        <v>578</v>
      </c>
      <c r="J174" s="1">
        <v>5094000</v>
      </c>
      <c r="K174" s="1">
        <v>25470000</v>
      </c>
      <c r="L174" s="1">
        <v>0</v>
      </c>
      <c r="M174" s="1">
        <v>0</v>
      </c>
      <c r="N174" s="1" t="s">
        <v>579</v>
      </c>
      <c r="O174" s="1">
        <v>0.42</v>
      </c>
      <c r="P174" s="1">
        <v>0.2</v>
      </c>
      <c r="Q174" s="83">
        <v>210.20599999999999</v>
      </c>
      <c r="R174" s="83">
        <v>210.20599999999999</v>
      </c>
      <c r="S174" s="1">
        <v>210.20599999999999</v>
      </c>
      <c r="T174" s="83">
        <v>0</v>
      </c>
      <c r="U174" s="1" t="s">
        <v>122</v>
      </c>
      <c r="V174" s="1" t="s">
        <v>836</v>
      </c>
      <c r="W174" s="1">
        <v>4781.60363426</v>
      </c>
      <c r="X174" s="1"/>
      <c r="Y174" s="83" t="str">
        <f>VLOOKUP(LossTable[[#This Row],[Department]],$A$15:$B$40,2,FALSE)</f>
        <v>FP</v>
      </c>
    </row>
    <row r="175" spans="4:25" ht="14.45" customHeight="1" x14ac:dyDescent="0.25">
      <c r="D175" s="78">
        <v>458895</v>
      </c>
      <c r="E175" s="78">
        <v>280014790</v>
      </c>
      <c r="F175" s="83" t="s">
        <v>15</v>
      </c>
      <c r="G175" s="1" t="s">
        <v>530</v>
      </c>
      <c r="H175" s="1" t="s">
        <v>14</v>
      </c>
      <c r="I175" s="1" t="s">
        <v>531</v>
      </c>
      <c r="J175" s="1">
        <v>17215620.1601028</v>
      </c>
      <c r="K175" s="1">
        <v>127523112.297058</v>
      </c>
      <c r="L175" s="1">
        <v>0</v>
      </c>
      <c r="M175" s="1">
        <v>0</v>
      </c>
      <c r="N175" s="1" t="s">
        <v>532</v>
      </c>
      <c r="O175" s="1">
        <v>0.66285713999999996</v>
      </c>
      <c r="P175" s="1">
        <v>0.13500000000000001</v>
      </c>
      <c r="Q175" s="83">
        <v>8705.3390276299997</v>
      </c>
      <c r="R175" s="83">
        <v>8705.3390276299997</v>
      </c>
      <c r="S175" s="1">
        <v>8705.3390276299997</v>
      </c>
      <c r="T175" s="83">
        <v>0</v>
      </c>
      <c r="U175" s="1" t="s">
        <v>122</v>
      </c>
      <c r="V175" s="1" t="s">
        <v>836</v>
      </c>
      <c r="W175" s="1">
        <v>4781.60363426</v>
      </c>
      <c r="X175" s="1"/>
      <c r="Y175" s="83" t="str">
        <f>VLOOKUP(LossTable[[#This Row],[Department]],$A$15:$B$40,2,FALSE)</f>
        <v>Canada</v>
      </c>
    </row>
    <row r="176" spans="4:25" ht="14.45" customHeight="1" x14ac:dyDescent="0.25">
      <c r="D176" s="78">
        <v>442600</v>
      </c>
      <c r="E176" s="78">
        <v>280066590</v>
      </c>
      <c r="F176" s="83" t="s">
        <v>45</v>
      </c>
      <c r="G176" s="1" t="s">
        <v>465</v>
      </c>
      <c r="H176" s="1" t="s">
        <v>16</v>
      </c>
      <c r="I176" s="1" t="s">
        <v>466</v>
      </c>
      <c r="J176" s="1">
        <v>24995559</v>
      </c>
      <c r="K176" s="1">
        <v>510000000</v>
      </c>
      <c r="L176" s="1">
        <v>0</v>
      </c>
      <c r="M176" s="1">
        <v>0</v>
      </c>
      <c r="N176" s="1" t="s">
        <v>467</v>
      </c>
      <c r="O176" s="1">
        <v>8.0872099999999992E-3</v>
      </c>
      <c r="P176" s="1">
        <v>4.9010900000000003E-2</v>
      </c>
      <c r="Q176" s="83">
        <v>2966.6425198400002</v>
      </c>
      <c r="R176" s="83">
        <v>2966.6425198400002</v>
      </c>
      <c r="S176" s="1">
        <v>2966.6425198400002</v>
      </c>
      <c r="T176" s="83">
        <v>0</v>
      </c>
      <c r="U176" s="1" t="s">
        <v>122</v>
      </c>
      <c r="V176" s="1" t="s">
        <v>837</v>
      </c>
      <c r="W176" s="1">
        <v>3280.0940773799998</v>
      </c>
      <c r="X176" s="1"/>
      <c r="Y176" s="83" t="str">
        <f>VLOOKUP(LossTable[[#This Row],[Department]],$A$15:$B$40,2,FALSE)</f>
        <v>FP</v>
      </c>
    </row>
    <row r="177" spans="4:25" ht="14.45" customHeight="1" x14ac:dyDescent="0.25">
      <c r="D177" s="78">
        <v>448241</v>
      </c>
      <c r="E177" s="78">
        <v>280066590</v>
      </c>
      <c r="F177" s="83" t="s">
        <v>45</v>
      </c>
      <c r="G177" s="1" t="s">
        <v>553</v>
      </c>
      <c r="H177" s="1" t="s">
        <v>16</v>
      </c>
      <c r="I177" s="1" t="s">
        <v>763</v>
      </c>
      <c r="J177" s="1">
        <v>6000000</v>
      </c>
      <c r="K177" s="1">
        <v>30000000</v>
      </c>
      <c r="L177" s="1">
        <v>0</v>
      </c>
      <c r="M177" s="1">
        <v>0</v>
      </c>
      <c r="N177" s="1" t="s">
        <v>376</v>
      </c>
      <c r="O177" s="1">
        <v>0.03</v>
      </c>
      <c r="P177" s="1">
        <v>0.2</v>
      </c>
      <c r="Q177" s="83">
        <v>128.21199999999999</v>
      </c>
      <c r="R177" s="83">
        <v>128.21199999999999</v>
      </c>
      <c r="S177" s="1">
        <v>128.21199999999999</v>
      </c>
      <c r="T177" s="83">
        <v>0</v>
      </c>
      <c r="U177" s="1" t="s">
        <v>122</v>
      </c>
      <c r="V177" s="1" t="s">
        <v>837</v>
      </c>
      <c r="W177" s="1">
        <v>3280.0940773799998</v>
      </c>
      <c r="X177" s="1"/>
      <c r="Y177" s="83" t="str">
        <f>VLOOKUP(LossTable[[#This Row],[Department]],$A$15:$B$40,2,FALSE)</f>
        <v>FP</v>
      </c>
    </row>
    <row r="178" spans="4:25" ht="14.45" customHeight="1" x14ac:dyDescent="0.25">
      <c r="D178" s="78">
        <v>445706</v>
      </c>
      <c r="E178" s="78">
        <v>280014790</v>
      </c>
      <c r="F178" s="83" t="s">
        <v>94</v>
      </c>
      <c r="G178" s="1" t="s">
        <v>430</v>
      </c>
      <c r="H178" s="1" t="s">
        <v>16</v>
      </c>
      <c r="I178" s="1" t="s">
        <v>496</v>
      </c>
      <c r="J178" s="1">
        <v>750000</v>
      </c>
      <c r="K178" s="1">
        <v>25000000</v>
      </c>
      <c r="L178" s="1">
        <v>0</v>
      </c>
      <c r="M178" s="1">
        <v>0</v>
      </c>
      <c r="N178" s="1" t="s">
        <v>407</v>
      </c>
      <c r="O178" s="1">
        <v>0.27</v>
      </c>
      <c r="P178" s="1">
        <v>0.03</v>
      </c>
      <c r="Q178" s="83">
        <v>1088.0613000000001</v>
      </c>
      <c r="R178" s="83">
        <v>1088.0613000000001</v>
      </c>
      <c r="S178" s="1">
        <v>1088.0613000000001</v>
      </c>
      <c r="T178" s="83">
        <v>0</v>
      </c>
      <c r="U178" s="1" t="s">
        <v>122</v>
      </c>
      <c r="V178" s="1" t="s">
        <v>836</v>
      </c>
      <c r="W178" s="1">
        <v>4781.60363426</v>
      </c>
      <c r="X178" s="1"/>
      <c r="Y178" s="83" t="str">
        <f>VLOOKUP(LossTable[[#This Row],[Department]],$A$15:$B$40,2,FALSE)</f>
        <v>TP</v>
      </c>
    </row>
    <row r="179" spans="4:25" ht="14.45" customHeight="1" x14ac:dyDescent="0.25">
      <c r="D179" s="78">
        <v>446936</v>
      </c>
      <c r="E179" s="78">
        <v>280014790</v>
      </c>
      <c r="F179" s="83" t="s">
        <v>12</v>
      </c>
      <c r="G179" s="1" t="s">
        <v>473</v>
      </c>
      <c r="H179" s="1" t="s">
        <v>16</v>
      </c>
      <c r="I179" s="1" t="s">
        <v>759</v>
      </c>
      <c r="J179" s="1">
        <v>1125000</v>
      </c>
      <c r="K179" s="1">
        <v>15000000</v>
      </c>
      <c r="L179" s="1">
        <v>0</v>
      </c>
      <c r="M179" s="1">
        <v>0</v>
      </c>
      <c r="N179" s="1" t="s">
        <v>760</v>
      </c>
      <c r="O179" s="1">
        <v>0.18668399999999999</v>
      </c>
      <c r="P179" s="1">
        <v>7.4999999999999997E-2</v>
      </c>
      <c r="Q179" s="83">
        <v>657.24749999999995</v>
      </c>
      <c r="R179" s="83">
        <v>657.24749999999995</v>
      </c>
      <c r="S179" s="1">
        <v>657.24749999999995</v>
      </c>
      <c r="T179" s="83">
        <v>0</v>
      </c>
      <c r="U179" s="1" t="s">
        <v>122</v>
      </c>
      <c r="V179" s="1" t="s">
        <v>836</v>
      </c>
      <c r="W179" s="1">
        <v>4781.60363426</v>
      </c>
      <c r="X179" s="1"/>
      <c r="Y179" s="83" t="str">
        <f>VLOOKUP(LossTable[[#This Row],[Department]],$A$15:$B$40,2,FALSE)</f>
        <v>Bermuda</v>
      </c>
    </row>
    <row r="180" spans="4:25" ht="14.45" customHeight="1" x14ac:dyDescent="0.25">
      <c r="D180" s="78">
        <v>484260</v>
      </c>
      <c r="E180" s="78">
        <v>280066590</v>
      </c>
      <c r="F180" s="83" t="s">
        <v>94</v>
      </c>
      <c r="G180" s="1" t="s">
        <v>686</v>
      </c>
      <c r="H180" s="1" t="s">
        <v>16</v>
      </c>
      <c r="I180" s="1" t="s">
        <v>740</v>
      </c>
      <c r="J180" s="1">
        <v>4000000</v>
      </c>
      <c r="K180" s="1">
        <v>100000000</v>
      </c>
      <c r="L180" s="1">
        <v>0</v>
      </c>
      <c r="M180" s="1">
        <v>0</v>
      </c>
      <c r="N180" s="1" t="s">
        <v>122</v>
      </c>
      <c r="O180" s="1">
        <v>0.75</v>
      </c>
      <c r="P180" s="1">
        <v>0.04</v>
      </c>
      <c r="Q180" s="83">
        <v>15262.3284</v>
      </c>
      <c r="R180" s="83">
        <v>15262.3284</v>
      </c>
      <c r="S180" s="1">
        <v>15262.3284</v>
      </c>
      <c r="T180" s="83">
        <v>0</v>
      </c>
      <c r="U180" s="1" t="s">
        <v>122</v>
      </c>
      <c r="V180" s="1" t="s">
        <v>837</v>
      </c>
      <c r="W180" s="1">
        <v>3280.0940773799998</v>
      </c>
      <c r="X180" s="1"/>
      <c r="Y180" s="83" t="str">
        <f>VLOOKUP(LossTable[[#This Row],[Department]],$A$15:$B$40,2,FALSE)</f>
        <v>TP</v>
      </c>
    </row>
    <row r="181" spans="4:25" ht="14.45" customHeight="1" x14ac:dyDescent="0.25">
      <c r="D181" s="78">
        <v>418693</v>
      </c>
      <c r="E181" s="78">
        <v>280014790</v>
      </c>
      <c r="F181" s="83" t="s">
        <v>94</v>
      </c>
      <c r="G181" s="1" t="s">
        <v>275</v>
      </c>
      <c r="H181" s="1" t="s">
        <v>16</v>
      </c>
      <c r="I181" s="1" t="s">
        <v>292</v>
      </c>
      <c r="J181" s="1">
        <v>150000</v>
      </c>
      <c r="K181" s="1">
        <v>7500000</v>
      </c>
      <c r="L181" s="1">
        <v>0</v>
      </c>
      <c r="M181" s="1">
        <v>0</v>
      </c>
      <c r="N181" s="1" t="s">
        <v>293</v>
      </c>
      <c r="O181" s="1">
        <v>0.48</v>
      </c>
      <c r="P181" s="1">
        <v>0.02</v>
      </c>
      <c r="Q181" s="83">
        <v>2676.8742000000002</v>
      </c>
      <c r="R181" s="83">
        <v>2676.8742000000002</v>
      </c>
      <c r="S181" s="1">
        <v>2676.8742000000002</v>
      </c>
      <c r="T181" s="83">
        <v>0</v>
      </c>
      <c r="U181" s="1" t="s">
        <v>122</v>
      </c>
      <c r="V181" s="1" t="s">
        <v>836</v>
      </c>
      <c r="W181" s="1">
        <v>4781.60363426</v>
      </c>
      <c r="X181" s="1"/>
      <c r="Y181" s="83" t="str">
        <f>VLOOKUP(LossTable[[#This Row],[Department]],$A$15:$B$40,2,FALSE)</f>
        <v>TP</v>
      </c>
    </row>
    <row r="182" spans="4:25" ht="14.45" customHeight="1" x14ac:dyDescent="0.25">
      <c r="D182" s="78">
        <v>475297</v>
      </c>
      <c r="E182" s="78">
        <v>280014790</v>
      </c>
      <c r="F182" s="83" t="s">
        <v>94</v>
      </c>
      <c r="G182" s="1" t="s">
        <v>792</v>
      </c>
      <c r="H182" s="1" t="s">
        <v>16</v>
      </c>
      <c r="I182" s="1" t="s">
        <v>793</v>
      </c>
      <c r="J182" s="1">
        <v>562500</v>
      </c>
      <c r="K182" s="1">
        <v>7500000</v>
      </c>
      <c r="L182" s="1">
        <v>0</v>
      </c>
      <c r="M182" s="1">
        <v>0</v>
      </c>
      <c r="N182" s="1" t="s">
        <v>122</v>
      </c>
      <c r="O182" s="1">
        <v>0.43333333000000002</v>
      </c>
      <c r="P182" s="1">
        <v>7.4999999999999997E-2</v>
      </c>
      <c r="Q182" s="83">
        <v>39.257249999999999</v>
      </c>
      <c r="R182" s="83">
        <v>39.257249999999999</v>
      </c>
      <c r="S182" s="1">
        <v>39.257249999999999</v>
      </c>
      <c r="T182" s="83">
        <v>0</v>
      </c>
      <c r="U182" s="1" t="s">
        <v>122</v>
      </c>
      <c r="V182" s="1" t="s">
        <v>836</v>
      </c>
      <c r="W182" s="1">
        <v>4781.60363426</v>
      </c>
      <c r="X182" s="1"/>
      <c r="Y182" s="83" t="str">
        <f>VLOOKUP(LossTable[[#This Row],[Department]],$A$15:$B$40,2,FALSE)</f>
        <v>TP</v>
      </c>
    </row>
    <row r="183" spans="4:25" ht="14.45" customHeight="1" x14ac:dyDescent="0.25">
      <c r="D183" s="78">
        <v>108</v>
      </c>
      <c r="E183" s="78">
        <v>280037801</v>
      </c>
      <c r="F183" s="83" t="s">
        <v>86</v>
      </c>
      <c r="G183" s="1" t="s">
        <v>217</v>
      </c>
      <c r="H183" s="1" t="s">
        <v>16</v>
      </c>
      <c r="I183" s="1" t="s">
        <v>217</v>
      </c>
      <c r="J183" s="1">
        <v>27010805.971677601</v>
      </c>
      <c r="K183" s="1">
        <v>0</v>
      </c>
      <c r="L183" s="1">
        <v>0</v>
      </c>
      <c r="M183" s="1">
        <v>0</v>
      </c>
      <c r="N183" s="1" t="s">
        <v>44</v>
      </c>
      <c r="O183" s="1">
        <v>0</v>
      </c>
      <c r="P183" s="1">
        <v>1</v>
      </c>
      <c r="Q183" s="83">
        <v>152.61330000000001</v>
      </c>
      <c r="R183" s="83">
        <v>152.61330000000001</v>
      </c>
      <c r="S183" s="1">
        <v>152.61330000000001</v>
      </c>
      <c r="T183" s="83">
        <v>0</v>
      </c>
      <c r="U183" s="1" t="s">
        <v>122</v>
      </c>
      <c r="V183" s="1" t="s">
        <v>852</v>
      </c>
      <c r="W183" s="1">
        <v>3949.1976460300002</v>
      </c>
      <c r="X183" s="1"/>
      <c r="Y183" s="83" t="str">
        <f>VLOOKUP(LossTable[[#This Row],[Department]],$A$15:$B$40,2,FALSE)</f>
        <v>FP</v>
      </c>
    </row>
    <row r="184" spans="4:25" ht="14.45" customHeight="1" x14ac:dyDescent="0.25">
      <c r="D184" s="78">
        <v>2</v>
      </c>
      <c r="E184" s="78">
        <v>280037801</v>
      </c>
      <c r="F184" s="83" t="s">
        <v>121</v>
      </c>
      <c r="G184" s="1" t="s">
        <v>26</v>
      </c>
      <c r="H184" s="1" t="s">
        <v>14</v>
      </c>
      <c r="I184" s="1" t="s">
        <v>122</v>
      </c>
      <c r="J184" s="1">
        <v>0</v>
      </c>
      <c r="K184" s="1">
        <v>0</v>
      </c>
      <c r="L184" s="1">
        <v>0</v>
      </c>
      <c r="M184" s="1">
        <v>0</v>
      </c>
      <c r="N184" s="1" t="s">
        <v>122</v>
      </c>
      <c r="O184" s="1">
        <v>0</v>
      </c>
      <c r="P184" s="1">
        <v>1</v>
      </c>
      <c r="Q184" s="83">
        <v>0</v>
      </c>
      <c r="R184" s="83">
        <v>0</v>
      </c>
      <c r="S184" s="1">
        <v>-95762.304050999999</v>
      </c>
      <c r="T184" s="83">
        <v>-14334.384606899999</v>
      </c>
      <c r="U184" s="1" t="s">
        <v>122</v>
      </c>
      <c r="V184" s="1" t="s">
        <v>852</v>
      </c>
      <c r="W184" s="1">
        <v>3949.1976460300002</v>
      </c>
      <c r="X184" s="1"/>
      <c r="Y184" s="83" t="str">
        <f>VLOOKUP(LossTable[[#This Row],[Department]],$A$15:$B$40,2,FALSE)</f>
        <v>AF</v>
      </c>
    </row>
    <row r="185" spans="4:25" ht="14.45" customHeight="1" x14ac:dyDescent="0.25">
      <c r="D185" s="78">
        <v>104</v>
      </c>
      <c r="E185" s="78">
        <v>280037801</v>
      </c>
      <c r="F185" s="83" t="s">
        <v>86</v>
      </c>
      <c r="G185" s="1" t="s">
        <v>217</v>
      </c>
      <c r="H185" s="1" t="s">
        <v>16</v>
      </c>
      <c r="I185" s="1" t="s">
        <v>217</v>
      </c>
      <c r="J185" s="1">
        <v>124695899.280228</v>
      </c>
      <c r="K185" s="1">
        <v>0</v>
      </c>
      <c r="L185" s="1">
        <v>0</v>
      </c>
      <c r="M185" s="1">
        <v>0</v>
      </c>
      <c r="N185" s="1" t="s">
        <v>44</v>
      </c>
      <c r="O185" s="1">
        <v>0</v>
      </c>
      <c r="P185" s="1">
        <v>1</v>
      </c>
      <c r="Q185" s="83">
        <v>4114.5262890000004</v>
      </c>
      <c r="R185" s="83">
        <v>4114.5262890000004</v>
      </c>
      <c r="S185" s="1">
        <v>4114.5262890000004</v>
      </c>
      <c r="T185" s="83">
        <v>0</v>
      </c>
      <c r="U185" s="1" t="s">
        <v>122</v>
      </c>
      <c r="V185" s="1" t="s">
        <v>852</v>
      </c>
      <c r="W185" s="1">
        <v>3949.1976460300002</v>
      </c>
      <c r="X185" s="1"/>
      <c r="Y185" s="83" t="str">
        <f>VLOOKUP(LossTable[[#This Row],[Department]],$A$15:$B$40,2,FALSE)</f>
        <v>FP</v>
      </c>
    </row>
    <row r="186" spans="4:25" ht="14.45" customHeight="1" x14ac:dyDescent="0.25">
      <c r="D186" s="78">
        <v>111</v>
      </c>
      <c r="E186" s="78">
        <v>280037801</v>
      </c>
      <c r="F186" s="83" t="s">
        <v>42</v>
      </c>
      <c r="G186" s="1" t="s">
        <v>43</v>
      </c>
      <c r="H186" s="1" t="s">
        <v>16</v>
      </c>
      <c r="I186" s="1" t="s">
        <v>43</v>
      </c>
      <c r="J186" s="1">
        <v>494435487.81273699</v>
      </c>
      <c r="K186" s="1">
        <v>0</v>
      </c>
      <c r="L186" s="1">
        <v>0</v>
      </c>
      <c r="M186" s="1">
        <v>0</v>
      </c>
      <c r="N186" s="1" t="s">
        <v>44</v>
      </c>
      <c r="O186" s="1">
        <v>0</v>
      </c>
      <c r="P186" s="1">
        <v>1</v>
      </c>
      <c r="Q186" s="83">
        <v>1831.5142000000001</v>
      </c>
      <c r="R186" s="83">
        <v>1831.5142000000001</v>
      </c>
      <c r="S186" s="1">
        <v>1831.5142000000001</v>
      </c>
      <c r="T186" s="83">
        <v>0</v>
      </c>
      <c r="U186" s="1" t="s">
        <v>122</v>
      </c>
      <c r="V186" s="1" t="s">
        <v>852</v>
      </c>
      <c r="W186" s="1">
        <v>3949.1976460300002</v>
      </c>
      <c r="X186" s="1"/>
      <c r="Y186" s="83" t="str">
        <f>VLOOKUP(LossTable[[#This Row],[Department]],$A$15:$B$40,2,FALSE)</f>
        <v>FP</v>
      </c>
    </row>
    <row r="187" spans="4:25" ht="14.45" customHeight="1" x14ac:dyDescent="0.25">
      <c r="D187" s="78">
        <v>123</v>
      </c>
      <c r="E187" s="78">
        <v>280037801</v>
      </c>
      <c r="F187" s="83" t="s">
        <v>92</v>
      </c>
      <c r="G187" s="1" t="s">
        <v>220</v>
      </c>
      <c r="H187" s="1" t="s">
        <v>16</v>
      </c>
      <c r="I187" s="1" t="s">
        <v>220</v>
      </c>
      <c r="J187" s="1">
        <v>60795147.652807899</v>
      </c>
      <c r="K187" s="1">
        <v>0</v>
      </c>
      <c r="L187" s="1">
        <v>0</v>
      </c>
      <c r="M187" s="1">
        <v>0</v>
      </c>
      <c r="N187" s="1" t="s">
        <v>44</v>
      </c>
      <c r="O187" s="1">
        <v>0</v>
      </c>
      <c r="P187" s="1">
        <v>1</v>
      </c>
      <c r="Q187" s="83">
        <v>248.99534199999999</v>
      </c>
      <c r="R187" s="83">
        <v>248.99534199999999</v>
      </c>
      <c r="S187" s="1">
        <v>248.99534199999999</v>
      </c>
      <c r="T187" s="83">
        <v>0</v>
      </c>
      <c r="U187" s="1" t="s">
        <v>122</v>
      </c>
      <c r="V187" s="1" t="s">
        <v>852</v>
      </c>
      <c r="W187" s="1">
        <v>3949.1976460300002</v>
      </c>
      <c r="X187" s="1"/>
      <c r="Y187" s="83" t="str">
        <f>VLOOKUP(LossTable[[#This Row],[Department]],$A$15:$B$40,2,FALSE)</f>
        <v>FP</v>
      </c>
    </row>
    <row r="188" spans="4:25" ht="14.45" customHeight="1" x14ac:dyDescent="0.25">
      <c r="D188" s="78">
        <v>142</v>
      </c>
      <c r="E188" s="78">
        <v>280037801</v>
      </c>
      <c r="F188" s="83" t="s">
        <v>45</v>
      </c>
      <c r="G188" s="1" t="s">
        <v>46</v>
      </c>
      <c r="H188" s="1" t="s">
        <v>16</v>
      </c>
      <c r="I188" s="1" t="s">
        <v>46</v>
      </c>
      <c r="J188" s="1">
        <v>103566650</v>
      </c>
      <c r="K188" s="1">
        <v>0</v>
      </c>
      <c r="L188" s="1">
        <v>0</v>
      </c>
      <c r="M188" s="1">
        <v>0</v>
      </c>
      <c r="N188" s="1" t="s">
        <v>44</v>
      </c>
      <c r="O188" s="1">
        <v>0</v>
      </c>
      <c r="P188" s="1">
        <v>1</v>
      </c>
      <c r="Q188" s="83">
        <v>5230.9289520000002</v>
      </c>
      <c r="R188" s="83">
        <v>5230.9289520000002</v>
      </c>
      <c r="S188" s="1">
        <v>5230.9289520000002</v>
      </c>
      <c r="T188" s="83">
        <v>0</v>
      </c>
      <c r="U188" s="1" t="s">
        <v>122</v>
      </c>
      <c r="V188" s="1" t="s">
        <v>852</v>
      </c>
      <c r="W188" s="1">
        <v>3949.1976460300002</v>
      </c>
      <c r="X188" s="1"/>
      <c r="Y188" s="83" t="str">
        <f>VLOOKUP(LossTable[[#This Row],[Department]],$A$15:$B$40,2,FALSE)</f>
        <v>FP</v>
      </c>
    </row>
    <row r="189" spans="4:25" ht="14.45" customHeight="1" x14ac:dyDescent="0.25">
      <c r="D189" s="78">
        <v>288829</v>
      </c>
      <c r="E189" s="78">
        <v>280037801</v>
      </c>
      <c r="F189" s="83" t="s">
        <v>87</v>
      </c>
      <c r="G189" s="1" t="s">
        <v>843</v>
      </c>
      <c r="H189" s="1" t="s">
        <v>14</v>
      </c>
      <c r="I189" s="1" t="s">
        <v>222</v>
      </c>
      <c r="J189" s="1">
        <v>13173969.359999999</v>
      </c>
      <c r="K189" s="1">
        <v>13173969.359999999</v>
      </c>
      <c r="L189" s="1">
        <v>0</v>
      </c>
      <c r="M189" s="1">
        <v>0</v>
      </c>
      <c r="N189" s="1" t="s">
        <v>14</v>
      </c>
      <c r="O189" s="1">
        <v>2.2772199999999999E-3</v>
      </c>
      <c r="P189" s="1">
        <v>1</v>
      </c>
      <c r="Q189" s="83">
        <v>364.34</v>
      </c>
      <c r="R189" s="83">
        <v>364.34</v>
      </c>
      <c r="S189" s="1">
        <v>364.34</v>
      </c>
      <c r="T189" s="83">
        <v>0</v>
      </c>
      <c r="U189" s="1" t="s">
        <v>122</v>
      </c>
      <c r="V189" s="1" t="s">
        <v>852</v>
      </c>
      <c r="W189" s="1">
        <v>3949.1976460300002</v>
      </c>
      <c r="X189" s="1"/>
      <c r="Y189" s="83" t="str">
        <f>VLOOKUP(LossTable[[#This Row],[Department]],$A$15:$B$40,2,FALSE)</f>
        <v>Insurance</v>
      </c>
    </row>
    <row r="190" spans="4:25" ht="14.45" customHeight="1" x14ac:dyDescent="0.25">
      <c r="D190" s="78">
        <v>329411</v>
      </c>
      <c r="E190" s="78">
        <v>280037801</v>
      </c>
      <c r="F190" s="83" t="s">
        <v>100</v>
      </c>
      <c r="G190" s="1" t="s">
        <v>118</v>
      </c>
      <c r="H190" s="1" t="s">
        <v>14</v>
      </c>
      <c r="I190" s="1" t="s">
        <v>119</v>
      </c>
      <c r="J190" s="1">
        <v>-53237924.369999997</v>
      </c>
      <c r="K190" s="1">
        <v>-53237924.369999997</v>
      </c>
      <c r="L190" s="1">
        <v>0</v>
      </c>
      <c r="M190" s="1">
        <v>0</v>
      </c>
      <c r="N190" s="1" t="s">
        <v>14</v>
      </c>
      <c r="O190" s="1">
        <v>0</v>
      </c>
      <c r="P190" s="1">
        <v>1</v>
      </c>
      <c r="Q190" s="83">
        <v>0</v>
      </c>
      <c r="R190" s="83">
        <v>0</v>
      </c>
      <c r="S190" s="1">
        <v>-205387.21</v>
      </c>
      <c r="T190" s="83">
        <v>0</v>
      </c>
      <c r="U190" s="1" t="s">
        <v>122</v>
      </c>
      <c r="V190" s="1" t="s">
        <v>852</v>
      </c>
      <c r="W190" s="1">
        <v>3949.1976460300002</v>
      </c>
      <c r="X190" s="1"/>
      <c r="Y190" s="83" t="str">
        <f>VLOOKUP(LossTable[[#This Row],[Department]],$A$15:$B$40,2,FALSE)</f>
        <v>EI Recovery^</v>
      </c>
    </row>
    <row r="191" spans="4:25" ht="14.45" customHeight="1" x14ac:dyDescent="0.25">
      <c r="D191" s="78">
        <v>348580</v>
      </c>
      <c r="E191" s="78">
        <v>280037801</v>
      </c>
      <c r="F191" s="83" t="s">
        <v>130</v>
      </c>
      <c r="G191" s="1" t="s">
        <v>131</v>
      </c>
      <c r="H191" s="1" t="s">
        <v>14</v>
      </c>
      <c r="I191" s="1" t="s">
        <v>132</v>
      </c>
      <c r="J191" s="1">
        <v>94035376.159999996</v>
      </c>
      <c r="K191" s="1">
        <v>94035376.159999996</v>
      </c>
      <c r="L191" s="1">
        <v>0</v>
      </c>
      <c r="M191" s="1">
        <v>0</v>
      </c>
      <c r="N191" s="1" t="s">
        <v>14</v>
      </c>
      <c r="O191" s="1">
        <v>2.1268599999999999E-3</v>
      </c>
      <c r="P191" s="1">
        <v>1</v>
      </c>
      <c r="Q191" s="83">
        <v>7516.58</v>
      </c>
      <c r="R191" s="83">
        <v>7516.58</v>
      </c>
      <c r="S191" s="1">
        <v>7516.58</v>
      </c>
      <c r="T191" s="83">
        <v>0</v>
      </c>
      <c r="U191" s="1" t="s">
        <v>122</v>
      </c>
      <c r="V191" s="1" t="s">
        <v>852</v>
      </c>
      <c r="W191" s="1">
        <v>3949.1976460300002</v>
      </c>
      <c r="X191" s="1"/>
      <c r="Y191" s="83" t="str">
        <f>VLOOKUP(LossTable[[#This Row],[Department]],$A$15:$B$40,2,FALSE)</f>
        <v>Insurance</v>
      </c>
    </row>
    <row r="192" spans="4:25" ht="14.45" customHeight="1" x14ac:dyDescent="0.25">
      <c r="D192" s="78">
        <v>388129</v>
      </c>
      <c r="E192" s="78">
        <v>280037801</v>
      </c>
      <c r="F192" s="83" t="s">
        <v>87</v>
      </c>
      <c r="G192" s="1" t="s">
        <v>228</v>
      </c>
      <c r="H192" s="1" t="s">
        <v>14</v>
      </c>
      <c r="I192" s="1" t="s">
        <v>229</v>
      </c>
      <c r="J192" s="1">
        <v>281765820.48000002</v>
      </c>
      <c r="K192" s="1">
        <v>281765820.48000002</v>
      </c>
      <c r="L192" s="1">
        <v>0</v>
      </c>
      <c r="M192" s="1">
        <v>0</v>
      </c>
      <c r="N192" s="1" t="s">
        <v>14</v>
      </c>
      <c r="O192" s="1">
        <v>2.1294279999999999E-2</v>
      </c>
      <c r="P192" s="1">
        <v>1</v>
      </c>
      <c r="Q192" s="83">
        <v>354110.97</v>
      </c>
      <c r="R192" s="83">
        <v>354110.97</v>
      </c>
      <c r="S192" s="1">
        <v>354110.97</v>
      </c>
      <c r="T192" s="83">
        <v>0</v>
      </c>
      <c r="U192" s="1" t="s">
        <v>122</v>
      </c>
      <c r="V192" s="1" t="s">
        <v>852</v>
      </c>
      <c r="W192" s="1">
        <v>3949.1976460300002</v>
      </c>
      <c r="X192" s="1"/>
      <c r="Y192" s="83" t="str">
        <f>VLOOKUP(LossTable[[#This Row],[Department]],$A$15:$B$40,2,FALSE)</f>
        <v>Insurance</v>
      </c>
    </row>
    <row r="193" spans="4:25" ht="14.45" customHeight="1" x14ac:dyDescent="0.25">
      <c r="D193" s="78">
        <v>427334</v>
      </c>
      <c r="E193" s="78">
        <v>280037801</v>
      </c>
      <c r="F193" s="83" t="s">
        <v>94</v>
      </c>
      <c r="G193" s="1" t="s">
        <v>236</v>
      </c>
      <c r="H193" s="1" t="s">
        <v>14</v>
      </c>
      <c r="I193" s="1" t="s">
        <v>237</v>
      </c>
      <c r="J193" s="1">
        <v>3920000</v>
      </c>
      <c r="K193" s="1">
        <v>39200000</v>
      </c>
      <c r="L193" s="1">
        <v>0</v>
      </c>
      <c r="M193" s="1">
        <v>0</v>
      </c>
      <c r="N193" s="1" t="s">
        <v>238</v>
      </c>
      <c r="O193" s="1">
        <v>0.5000502</v>
      </c>
      <c r="P193" s="1">
        <v>0.1</v>
      </c>
      <c r="Q193" s="83">
        <v>301553.21100000001</v>
      </c>
      <c r="R193" s="83">
        <v>301553.21100000001</v>
      </c>
      <c r="S193" s="1">
        <v>301553.21100000001</v>
      </c>
      <c r="T193" s="83">
        <v>0</v>
      </c>
      <c r="U193" s="1" t="s">
        <v>122</v>
      </c>
      <c r="V193" s="1" t="s">
        <v>852</v>
      </c>
      <c r="W193" s="1">
        <v>3949.1976460300002</v>
      </c>
      <c r="X193" s="1"/>
      <c r="Y193" s="83" t="str">
        <f>VLOOKUP(LossTable[[#This Row],[Department]],$A$15:$B$40,2,FALSE)</f>
        <v>TP</v>
      </c>
    </row>
    <row r="194" spans="4:25" ht="14.45" customHeight="1" x14ac:dyDescent="0.25">
      <c r="D194" s="78">
        <v>427752</v>
      </c>
      <c r="E194" s="78">
        <v>280037801</v>
      </c>
      <c r="F194" s="83" t="s">
        <v>94</v>
      </c>
      <c r="G194" s="1" t="s">
        <v>244</v>
      </c>
      <c r="H194" s="1" t="s">
        <v>14</v>
      </c>
      <c r="I194" s="1" t="s">
        <v>245</v>
      </c>
      <c r="J194" s="1">
        <v>1000000</v>
      </c>
      <c r="K194" s="1">
        <v>10000000</v>
      </c>
      <c r="L194" s="1">
        <v>0</v>
      </c>
      <c r="M194" s="1">
        <v>0</v>
      </c>
      <c r="N194" s="1" t="s">
        <v>176</v>
      </c>
      <c r="O194" s="1">
        <v>1.01</v>
      </c>
      <c r="P194" s="1">
        <v>0.1</v>
      </c>
      <c r="Q194" s="83">
        <v>3893.2820000000002</v>
      </c>
      <c r="R194" s="83">
        <v>3893.2820000000002</v>
      </c>
      <c r="S194" s="1">
        <v>3893.2820000000002</v>
      </c>
      <c r="T194" s="83">
        <v>0</v>
      </c>
      <c r="U194" s="1" t="s">
        <v>122</v>
      </c>
      <c r="V194" s="1" t="s">
        <v>852</v>
      </c>
      <c r="W194" s="1">
        <v>3949.1976460300002</v>
      </c>
      <c r="X194" s="1"/>
      <c r="Y194" s="83" t="str">
        <f>VLOOKUP(LossTable[[#This Row],[Department]],$A$15:$B$40,2,FALSE)</f>
        <v>TP</v>
      </c>
    </row>
    <row r="195" spans="4:25" ht="14.45" customHeight="1" x14ac:dyDescent="0.25">
      <c r="D195" s="78">
        <v>427823</v>
      </c>
      <c r="E195" s="78">
        <v>280037801</v>
      </c>
      <c r="F195" s="83" t="s">
        <v>94</v>
      </c>
      <c r="G195" s="1" t="s">
        <v>180</v>
      </c>
      <c r="H195" s="1" t="s">
        <v>14</v>
      </c>
      <c r="I195" s="1" t="s">
        <v>181</v>
      </c>
      <c r="J195" s="1">
        <v>2750000</v>
      </c>
      <c r="K195" s="1">
        <v>110000000</v>
      </c>
      <c r="L195" s="1">
        <v>0</v>
      </c>
      <c r="M195" s="1">
        <v>0</v>
      </c>
      <c r="N195" s="1" t="s">
        <v>182</v>
      </c>
      <c r="O195" s="1">
        <v>0.9</v>
      </c>
      <c r="P195" s="1">
        <v>2.5000000000000001E-2</v>
      </c>
      <c r="Q195" s="83">
        <v>30554.838250000001</v>
      </c>
      <c r="R195" s="83">
        <v>30554.838250000001</v>
      </c>
      <c r="S195" s="1">
        <v>30554.838250000001</v>
      </c>
      <c r="T195" s="83">
        <v>0</v>
      </c>
      <c r="U195" s="1" t="s">
        <v>122</v>
      </c>
      <c r="V195" s="1" t="s">
        <v>852</v>
      </c>
      <c r="W195" s="1">
        <v>3949.1976460300002</v>
      </c>
      <c r="X195" s="1"/>
      <c r="Y195" s="83" t="str">
        <f>VLOOKUP(LossTable[[#This Row],[Department]],$A$15:$B$40,2,FALSE)</f>
        <v>TP</v>
      </c>
    </row>
    <row r="196" spans="4:25" ht="14.45" customHeight="1" x14ac:dyDescent="0.25">
      <c r="D196" s="78">
        <v>430352</v>
      </c>
      <c r="E196" s="78">
        <v>280037801</v>
      </c>
      <c r="F196" s="83" t="s">
        <v>94</v>
      </c>
      <c r="G196" s="1" t="s">
        <v>306</v>
      </c>
      <c r="H196" s="1" t="s">
        <v>16</v>
      </c>
      <c r="I196" s="1" t="s">
        <v>307</v>
      </c>
      <c r="J196" s="1">
        <v>1800000</v>
      </c>
      <c r="K196" s="1">
        <v>15000000</v>
      </c>
      <c r="L196" s="1">
        <v>0</v>
      </c>
      <c r="M196" s="1">
        <v>0</v>
      </c>
      <c r="N196" s="1" t="s">
        <v>308</v>
      </c>
      <c r="O196" s="1">
        <v>0.56666665999999999</v>
      </c>
      <c r="P196" s="1">
        <v>0.12</v>
      </c>
      <c r="Q196" s="83">
        <v>24271.3308</v>
      </c>
      <c r="R196" s="83">
        <v>24271.3308</v>
      </c>
      <c r="S196" s="1">
        <v>24271.3308</v>
      </c>
      <c r="T196" s="83">
        <v>0</v>
      </c>
      <c r="U196" s="1" t="s">
        <v>122</v>
      </c>
      <c r="V196" s="1" t="s">
        <v>852</v>
      </c>
      <c r="W196" s="1">
        <v>3949.1976460300002</v>
      </c>
      <c r="X196" s="1"/>
      <c r="Y196" s="83" t="str">
        <f>VLOOKUP(LossTable[[#This Row],[Department]],$A$15:$B$40,2,FALSE)</f>
        <v>TP</v>
      </c>
    </row>
    <row r="197" spans="4:25" ht="14.45" customHeight="1" x14ac:dyDescent="0.25">
      <c r="D197" s="78">
        <v>431335</v>
      </c>
      <c r="E197" s="78">
        <v>280037801</v>
      </c>
      <c r="F197" s="83" t="s">
        <v>94</v>
      </c>
      <c r="G197" s="1" t="s">
        <v>255</v>
      </c>
      <c r="H197" s="1" t="s">
        <v>16</v>
      </c>
      <c r="I197" s="1" t="s">
        <v>285</v>
      </c>
      <c r="J197" s="1">
        <v>3150000</v>
      </c>
      <c r="K197" s="1">
        <v>21000000</v>
      </c>
      <c r="L197" s="1">
        <v>0</v>
      </c>
      <c r="M197" s="1">
        <v>0</v>
      </c>
      <c r="N197" s="1" t="s">
        <v>286</v>
      </c>
      <c r="O197" s="1">
        <v>0.35020680999999998</v>
      </c>
      <c r="P197" s="1">
        <v>0.15</v>
      </c>
      <c r="Q197" s="83">
        <v>1233.3495</v>
      </c>
      <c r="R197" s="83">
        <v>1233.3495</v>
      </c>
      <c r="S197" s="1">
        <v>1233.3495</v>
      </c>
      <c r="T197" s="83">
        <v>0</v>
      </c>
      <c r="U197" s="1" t="s">
        <v>122</v>
      </c>
      <c r="V197" s="1" t="s">
        <v>852</v>
      </c>
      <c r="W197" s="1">
        <v>3949.1976460300002</v>
      </c>
      <c r="X197" s="1"/>
      <c r="Y197" s="83" t="str">
        <f>VLOOKUP(LossTable[[#This Row],[Department]],$A$15:$B$40,2,FALSE)</f>
        <v>TP</v>
      </c>
    </row>
    <row r="198" spans="4:25" ht="14.45" customHeight="1" x14ac:dyDescent="0.25">
      <c r="D198" s="78">
        <v>433118</v>
      </c>
      <c r="E198" s="78">
        <v>280037801</v>
      </c>
      <c r="F198" s="83" t="s">
        <v>45</v>
      </c>
      <c r="G198" s="1" t="s">
        <v>304</v>
      </c>
      <c r="H198" s="1" t="s">
        <v>14</v>
      </c>
      <c r="I198" s="1" t="s">
        <v>312</v>
      </c>
      <c r="J198" s="1">
        <v>2705205.46</v>
      </c>
      <c r="K198" s="1">
        <v>10820821.84</v>
      </c>
      <c r="L198" s="1">
        <v>0</v>
      </c>
      <c r="M198" s="1">
        <v>0</v>
      </c>
      <c r="N198" s="1" t="s">
        <v>14</v>
      </c>
      <c r="O198" s="1">
        <v>0.21948424999999999</v>
      </c>
      <c r="P198" s="1">
        <v>0.25</v>
      </c>
      <c r="Q198" s="83">
        <v>4203.625</v>
      </c>
      <c r="R198" s="83">
        <v>4203.625</v>
      </c>
      <c r="S198" s="1">
        <v>4203.625</v>
      </c>
      <c r="T198" s="83">
        <v>0</v>
      </c>
      <c r="U198" s="1" t="s">
        <v>122</v>
      </c>
      <c r="V198" s="1" t="s">
        <v>852</v>
      </c>
      <c r="W198" s="1">
        <v>3949.1976460300002</v>
      </c>
      <c r="X198" s="1"/>
      <c r="Y198" s="83" t="str">
        <f>VLOOKUP(LossTable[[#This Row],[Department]],$A$15:$B$40,2,FALSE)</f>
        <v>FP</v>
      </c>
    </row>
    <row r="199" spans="4:25" ht="14.45" customHeight="1" x14ac:dyDescent="0.25">
      <c r="D199" s="78">
        <v>434730</v>
      </c>
      <c r="E199" s="78">
        <v>280037801</v>
      </c>
      <c r="F199" s="83" t="s">
        <v>45</v>
      </c>
      <c r="G199" s="1" t="s">
        <v>401</v>
      </c>
      <c r="H199" s="1" t="s">
        <v>16</v>
      </c>
      <c r="I199" s="1" t="s">
        <v>402</v>
      </c>
      <c r="J199" s="1">
        <v>150000</v>
      </c>
      <c r="K199" s="1">
        <v>3000000</v>
      </c>
      <c r="L199" s="1">
        <v>0</v>
      </c>
      <c r="M199" s="1">
        <v>0</v>
      </c>
      <c r="N199" s="1" t="s">
        <v>403</v>
      </c>
      <c r="O199" s="1">
        <v>4.1666666699999997</v>
      </c>
      <c r="P199" s="1">
        <v>0.05</v>
      </c>
      <c r="Q199" s="83">
        <v>4190.7764999999999</v>
      </c>
      <c r="R199" s="83">
        <v>4190.7764999999999</v>
      </c>
      <c r="S199" s="1">
        <v>4190.7764999999999</v>
      </c>
      <c r="T199" s="83">
        <v>0</v>
      </c>
      <c r="U199" s="1" t="s">
        <v>122</v>
      </c>
      <c r="V199" s="1" t="s">
        <v>852</v>
      </c>
      <c r="W199" s="1">
        <v>3949.1976460300002</v>
      </c>
      <c r="X199" s="1"/>
      <c r="Y199" s="83" t="str">
        <f>VLOOKUP(LossTable[[#This Row],[Department]],$A$15:$B$40,2,FALSE)</f>
        <v>FP</v>
      </c>
    </row>
    <row r="200" spans="4:25" ht="14.45" customHeight="1" x14ac:dyDescent="0.25">
      <c r="D200" s="78">
        <v>434875</v>
      </c>
      <c r="E200" s="78">
        <v>280037801</v>
      </c>
      <c r="F200" s="83" t="s">
        <v>94</v>
      </c>
      <c r="G200" s="1" t="s">
        <v>339</v>
      </c>
      <c r="H200" s="1" t="s">
        <v>16</v>
      </c>
      <c r="I200" s="1" t="s">
        <v>340</v>
      </c>
      <c r="J200" s="1">
        <v>1575000</v>
      </c>
      <c r="K200" s="1">
        <v>45000000</v>
      </c>
      <c r="L200" s="1">
        <v>0</v>
      </c>
      <c r="M200" s="1">
        <v>0</v>
      </c>
      <c r="N200" s="1" t="s">
        <v>341</v>
      </c>
      <c r="O200" s="1">
        <v>0.29499999999999998</v>
      </c>
      <c r="P200" s="1">
        <v>3.5000000000000003E-2</v>
      </c>
      <c r="Q200" s="83">
        <v>159.13624999999999</v>
      </c>
      <c r="R200" s="83">
        <v>159.13624999999999</v>
      </c>
      <c r="S200" s="1">
        <v>159.13624999999999</v>
      </c>
      <c r="T200" s="83">
        <v>0</v>
      </c>
      <c r="U200" s="1" t="s">
        <v>122</v>
      </c>
      <c r="V200" s="1" t="s">
        <v>852</v>
      </c>
      <c r="W200" s="1">
        <v>3949.1976460300002</v>
      </c>
      <c r="X200" s="1"/>
      <c r="Y200" s="83" t="str">
        <f>VLOOKUP(LossTable[[#This Row],[Department]],$A$15:$B$40,2,FALSE)</f>
        <v>TP</v>
      </c>
    </row>
    <row r="201" spans="4:25" ht="14.45" customHeight="1" x14ac:dyDescent="0.25">
      <c r="D201" s="78">
        <v>435053</v>
      </c>
      <c r="E201" s="78">
        <v>280037801</v>
      </c>
      <c r="F201" s="83" t="s">
        <v>94</v>
      </c>
      <c r="G201" s="1" t="s">
        <v>392</v>
      </c>
      <c r="H201" s="1" t="s">
        <v>16</v>
      </c>
      <c r="I201" s="1" t="s">
        <v>393</v>
      </c>
      <c r="J201" s="1">
        <v>330000</v>
      </c>
      <c r="K201" s="1">
        <v>11000000</v>
      </c>
      <c r="L201" s="1">
        <v>0</v>
      </c>
      <c r="M201" s="1">
        <v>0</v>
      </c>
      <c r="N201" s="1" t="s">
        <v>394</v>
      </c>
      <c r="O201" s="1">
        <v>0.10909091</v>
      </c>
      <c r="P201" s="1">
        <v>0.03</v>
      </c>
      <c r="Q201" s="83">
        <v>74.5929</v>
      </c>
      <c r="R201" s="83">
        <v>74.5929</v>
      </c>
      <c r="S201" s="1">
        <v>74.5929</v>
      </c>
      <c r="T201" s="83">
        <v>0</v>
      </c>
      <c r="U201" s="1" t="s">
        <v>122</v>
      </c>
      <c r="V201" s="1" t="s">
        <v>852</v>
      </c>
      <c r="W201" s="1">
        <v>3949.1976460300002</v>
      </c>
      <c r="X201" s="1"/>
      <c r="Y201" s="83" t="str">
        <f>VLOOKUP(LossTable[[#This Row],[Department]],$A$15:$B$40,2,FALSE)</f>
        <v>TP</v>
      </c>
    </row>
    <row r="202" spans="4:25" ht="14.45" customHeight="1" x14ac:dyDescent="0.25">
      <c r="D202" s="78">
        <v>436537</v>
      </c>
      <c r="E202" s="78">
        <v>280037801</v>
      </c>
      <c r="F202" s="83" t="s">
        <v>94</v>
      </c>
      <c r="G202" s="1" t="s">
        <v>445</v>
      </c>
      <c r="H202" s="1" t="s">
        <v>16</v>
      </c>
      <c r="I202" s="1" t="s">
        <v>453</v>
      </c>
      <c r="J202" s="1">
        <v>20000000</v>
      </c>
      <c r="K202" s="1">
        <v>200000000</v>
      </c>
      <c r="L202" s="1">
        <v>0</v>
      </c>
      <c r="M202" s="1">
        <v>0</v>
      </c>
      <c r="N202" s="1" t="s">
        <v>122</v>
      </c>
      <c r="O202" s="1">
        <v>6.5000000000000002E-2</v>
      </c>
      <c r="P202" s="1">
        <v>0.1</v>
      </c>
      <c r="Q202" s="83">
        <v>1359.8</v>
      </c>
      <c r="R202" s="83">
        <v>1359.8</v>
      </c>
      <c r="S202" s="1">
        <v>1359.8</v>
      </c>
      <c r="T202" s="83">
        <v>0</v>
      </c>
      <c r="U202" s="1" t="s">
        <v>122</v>
      </c>
      <c r="V202" s="1" t="s">
        <v>852</v>
      </c>
      <c r="W202" s="1">
        <v>3949.1976460300002</v>
      </c>
      <c r="X202" s="1"/>
      <c r="Y202" s="83" t="str">
        <f>VLOOKUP(LossTable[[#This Row],[Department]],$A$15:$B$40,2,FALSE)</f>
        <v>TP</v>
      </c>
    </row>
    <row r="203" spans="4:25" ht="14.45" customHeight="1" x14ac:dyDescent="0.25">
      <c r="D203" s="78">
        <v>439158</v>
      </c>
      <c r="E203" s="78">
        <v>280037801</v>
      </c>
      <c r="F203" s="83" t="s">
        <v>94</v>
      </c>
      <c r="G203" s="1" t="s">
        <v>494</v>
      </c>
      <c r="H203" s="1" t="s">
        <v>14</v>
      </c>
      <c r="I203" s="1" t="s">
        <v>495</v>
      </c>
      <c r="J203" s="1">
        <v>500000</v>
      </c>
      <c r="K203" s="1">
        <v>10000000</v>
      </c>
      <c r="L203" s="1">
        <v>0</v>
      </c>
      <c r="M203" s="1">
        <v>0</v>
      </c>
      <c r="N203" s="1" t="s">
        <v>176</v>
      </c>
      <c r="O203" s="1">
        <v>3.8129113000000001</v>
      </c>
      <c r="P203" s="1">
        <v>0.05</v>
      </c>
      <c r="Q203" s="83">
        <v>107802.34149999999</v>
      </c>
      <c r="R203" s="83">
        <v>107802.34149999999</v>
      </c>
      <c r="S203" s="1">
        <v>107802.34149999999</v>
      </c>
      <c r="T203" s="83">
        <v>0</v>
      </c>
      <c r="U203" s="1" t="s">
        <v>122</v>
      </c>
      <c r="V203" s="1" t="s">
        <v>852</v>
      </c>
      <c r="W203" s="1">
        <v>3949.1976460300002</v>
      </c>
      <c r="X203" s="1"/>
      <c r="Y203" s="83" t="str">
        <f>VLOOKUP(LossTable[[#This Row],[Department]],$A$15:$B$40,2,FALSE)</f>
        <v>TP</v>
      </c>
    </row>
    <row r="204" spans="4:25" ht="14.45" customHeight="1" x14ac:dyDescent="0.25">
      <c r="D204" s="78">
        <v>439462</v>
      </c>
      <c r="E204" s="78">
        <v>280037801</v>
      </c>
      <c r="F204" s="83" t="s">
        <v>94</v>
      </c>
      <c r="G204" s="1" t="s">
        <v>500</v>
      </c>
      <c r="H204" s="1" t="s">
        <v>14</v>
      </c>
      <c r="I204" s="1" t="s">
        <v>501</v>
      </c>
      <c r="J204" s="1">
        <v>8000000</v>
      </c>
      <c r="K204" s="1">
        <v>40000000</v>
      </c>
      <c r="L204" s="1">
        <v>0</v>
      </c>
      <c r="M204" s="1">
        <v>0</v>
      </c>
      <c r="N204" s="1" t="s">
        <v>400</v>
      </c>
      <c r="O204" s="1">
        <v>2.62402522</v>
      </c>
      <c r="P204" s="1">
        <v>0.2</v>
      </c>
      <c r="Q204" s="83">
        <v>1084153.6359999999</v>
      </c>
      <c r="R204" s="83">
        <v>1084153.6359999999</v>
      </c>
      <c r="S204" s="1">
        <v>1084153.6359999999</v>
      </c>
      <c r="T204" s="83">
        <v>0</v>
      </c>
      <c r="U204" s="1" t="s">
        <v>122</v>
      </c>
      <c r="V204" s="1" t="s">
        <v>852</v>
      </c>
      <c r="W204" s="1">
        <v>3949.1976460300002</v>
      </c>
      <c r="X204" s="1"/>
      <c r="Y204" s="83" t="str">
        <f>VLOOKUP(LossTable[[#This Row],[Department]],$A$15:$B$40,2,FALSE)</f>
        <v>TP</v>
      </c>
    </row>
    <row r="205" spans="4:25" ht="14.45" customHeight="1" x14ac:dyDescent="0.25">
      <c r="D205" s="78">
        <v>441612</v>
      </c>
      <c r="E205" s="78">
        <v>280037801</v>
      </c>
      <c r="F205" s="83" t="s">
        <v>94</v>
      </c>
      <c r="G205" s="1" t="s">
        <v>811</v>
      </c>
      <c r="H205" s="1" t="s">
        <v>13</v>
      </c>
      <c r="I205" s="1" t="s">
        <v>817</v>
      </c>
      <c r="J205" s="1">
        <v>285000</v>
      </c>
      <c r="K205" s="1">
        <v>6000000</v>
      </c>
      <c r="L205" s="1">
        <v>4000000</v>
      </c>
      <c r="M205" s="1">
        <v>0</v>
      </c>
      <c r="N205" s="1" t="s">
        <v>611</v>
      </c>
      <c r="O205" s="1">
        <v>0.47</v>
      </c>
      <c r="P205" s="1">
        <v>4.7500000000000001E-2</v>
      </c>
      <c r="Q205" s="83">
        <v>279964.65324999997</v>
      </c>
      <c r="R205" s="83">
        <v>184275.46016396399</v>
      </c>
      <c r="S205" s="1">
        <v>184275.46016396399</v>
      </c>
      <c r="T205" s="83">
        <v>86609.455990890696</v>
      </c>
      <c r="U205" s="1" t="s">
        <v>122</v>
      </c>
      <c r="V205" s="1" t="s">
        <v>852</v>
      </c>
      <c r="W205" s="1">
        <v>3949.1976460300002</v>
      </c>
      <c r="X205" s="1"/>
      <c r="Y205" s="83" t="str">
        <f>VLOOKUP(LossTable[[#This Row],[Department]],$A$15:$B$40,2,FALSE)</f>
        <v>TP</v>
      </c>
    </row>
    <row r="206" spans="4:25" ht="14.45" customHeight="1" x14ac:dyDescent="0.25">
      <c r="D206" s="78">
        <v>441909</v>
      </c>
      <c r="E206" s="78">
        <v>280037801</v>
      </c>
      <c r="F206" s="83" t="s">
        <v>94</v>
      </c>
      <c r="G206" s="1" t="s">
        <v>398</v>
      </c>
      <c r="H206" s="1" t="s">
        <v>14</v>
      </c>
      <c r="I206" s="1" t="s">
        <v>399</v>
      </c>
      <c r="J206" s="1">
        <v>12000000</v>
      </c>
      <c r="K206" s="1">
        <v>40000000</v>
      </c>
      <c r="L206" s="1">
        <v>0</v>
      </c>
      <c r="M206" s="1">
        <v>0</v>
      </c>
      <c r="N206" s="1" t="s">
        <v>400</v>
      </c>
      <c r="O206" s="1">
        <v>8.8791679999999999</v>
      </c>
      <c r="P206" s="1">
        <v>0.3</v>
      </c>
      <c r="Q206" s="83">
        <v>358084.91399999999</v>
      </c>
      <c r="R206" s="83">
        <v>358084.91399999999</v>
      </c>
      <c r="S206" s="1">
        <v>358084.91399999999</v>
      </c>
      <c r="T206" s="83">
        <v>0</v>
      </c>
      <c r="U206" s="1" t="s">
        <v>122</v>
      </c>
      <c r="V206" s="1" t="s">
        <v>852</v>
      </c>
      <c r="W206" s="1">
        <v>3949.1976460300002</v>
      </c>
      <c r="X206" s="1"/>
      <c r="Y206" s="83" t="str">
        <f>VLOOKUP(LossTable[[#This Row],[Department]],$A$15:$B$40,2,FALSE)</f>
        <v>TP</v>
      </c>
    </row>
    <row r="207" spans="4:25" ht="14.45" customHeight="1" x14ac:dyDescent="0.25">
      <c r="D207" s="78">
        <v>444587</v>
      </c>
      <c r="E207" s="78">
        <v>280037801</v>
      </c>
      <c r="F207" s="83" t="s">
        <v>94</v>
      </c>
      <c r="G207" s="1" t="s">
        <v>395</v>
      </c>
      <c r="H207" s="1" t="s">
        <v>16</v>
      </c>
      <c r="I207" s="1" t="s">
        <v>396</v>
      </c>
      <c r="J207" s="1">
        <v>787500</v>
      </c>
      <c r="K207" s="1">
        <v>22500000</v>
      </c>
      <c r="L207" s="1">
        <v>0</v>
      </c>
      <c r="M207" s="1">
        <v>0</v>
      </c>
      <c r="N207" s="1" t="s">
        <v>397</v>
      </c>
      <c r="O207" s="1">
        <v>9.2666666699999993</v>
      </c>
      <c r="P207" s="1">
        <v>3.5000000000000003E-2</v>
      </c>
      <c r="Q207" s="83">
        <v>42507.554250000001</v>
      </c>
      <c r="R207" s="83">
        <v>42507.554250000001</v>
      </c>
      <c r="S207" s="1">
        <v>42507.554250000001</v>
      </c>
      <c r="T207" s="83">
        <v>0</v>
      </c>
      <c r="U207" s="1" t="s">
        <v>122</v>
      </c>
      <c r="V207" s="1" t="s">
        <v>852</v>
      </c>
      <c r="W207" s="1">
        <v>3949.1976460300002</v>
      </c>
      <c r="X207" s="1"/>
      <c r="Y207" s="83" t="str">
        <f>VLOOKUP(LossTable[[#This Row],[Department]],$A$15:$B$40,2,FALSE)</f>
        <v>TP</v>
      </c>
    </row>
    <row r="208" spans="4:25" ht="14.45" customHeight="1" x14ac:dyDescent="0.25">
      <c r="D208" s="78">
        <v>445843</v>
      </c>
      <c r="E208" s="78">
        <v>280037801</v>
      </c>
      <c r="F208" s="83" t="s">
        <v>45</v>
      </c>
      <c r="G208" s="1" t="s">
        <v>519</v>
      </c>
      <c r="H208" s="1" t="s">
        <v>16</v>
      </c>
      <c r="I208" s="1" t="s">
        <v>520</v>
      </c>
      <c r="J208" s="1">
        <v>50000000</v>
      </c>
      <c r="K208" s="1">
        <v>1000000000</v>
      </c>
      <c r="L208" s="1">
        <v>0</v>
      </c>
      <c r="M208" s="1">
        <v>0</v>
      </c>
      <c r="N208" s="1" t="s">
        <v>521</v>
      </c>
      <c r="O208" s="1">
        <v>1.334834E-2</v>
      </c>
      <c r="P208" s="1">
        <v>0.05</v>
      </c>
      <c r="Q208" s="83">
        <v>1193.2375</v>
      </c>
      <c r="R208" s="83">
        <v>1193.2375</v>
      </c>
      <c r="S208" s="1">
        <v>1193.2375</v>
      </c>
      <c r="T208" s="83">
        <v>0</v>
      </c>
      <c r="U208" s="1" t="s">
        <v>122</v>
      </c>
      <c r="V208" s="1" t="s">
        <v>852</v>
      </c>
      <c r="W208" s="1">
        <v>3949.1976460300002</v>
      </c>
      <c r="X208" s="1"/>
      <c r="Y208" s="83" t="str">
        <f>VLOOKUP(LossTable[[#This Row],[Department]],$A$15:$B$40,2,FALSE)</f>
        <v>FP</v>
      </c>
    </row>
    <row r="209" spans="4:25" ht="14.45" customHeight="1" x14ac:dyDescent="0.25">
      <c r="D209" s="78">
        <v>448039</v>
      </c>
      <c r="E209" s="78">
        <v>280037801</v>
      </c>
      <c r="F209" s="83" t="s">
        <v>12</v>
      </c>
      <c r="G209" s="1" t="s">
        <v>508</v>
      </c>
      <c r="H209" s="1" t="s">
        <v>16</v>
      </c>
      <c r="I209" s="1" t="s">
        <v>545</v>
      </c>
      <c r="J209" s="1">
        <v>10000000</v>
      </c>
      <c r="K209" s="1">
        <v>200000000</v>
      </c>
      <c r="L209" s="1">
        <v>0</v>
      </c>
      <c r="M209" s="1">
        <v>0</v>
      </c>
      <c r="N209" s="1" t="s">
        <v>546</v>
      </c>
      <c r="O209" s="1">
        <v>5.5E-2</v>
      </c>
      <c r="P209" s="1">
        <v>0.05</v>
      </c>
      <c r="Q209" s="83">
        <v>3414.2080000000001</v>
      </c>
      <c r="R209" s="83">
        <v>3414.2080000000001</v>
      </c>
      <c r="S209" s="1">
        <v>3414.2080000000001</v>
      </c>
      <c r="T209" s="83">
        <v>0</v>
      </c>
      <c r="U209" s="1" t="s">
        <v>122</v>
      </c>
      <c r="V209" s="1" t="s">
        <v>852</v>
      </c>
      <c r="W209" s="1">
        <v>3949.1976460300002</v>
      </c>
      <c r="X209" s="1"/>
      <c r="Y209" s="83" t="str">
        <f>VLOOKUP(LossTable[[#This Row],[Department]],$A$15:$B$40,2,FALSE)</f>
        <v>Bermuda</v>
      </c>
    </row>
    <row r="210" spans="4:25" ht="14.45" customHeight="1" x14ac:dyDescent="0.25">
      <c r="D210" s="78">
        <v>448241</v>
      </c>
      <c r="E210" s="78">
        <v>280037801</v>
      </c>
      <c r="F210" s="83" t="s">
        <v>45</v>
      </c>
      <c r="G210" s="1" t="s">
        <v>553</v>
      </c>
      <c r="H210" s="1" t="s">
        <v>16</v>
      </c>
      <c r="I210" s="1" t="s">
        <v>763</v>
      </c>
      <c r="J210" s="1">
        <v>6000000</v>
      </c>
      <c r="K210" s="1">
        <v>30000000</v>
      </c>
      <c r="L210" s="1">
        <v>0</v>
      </c>
      <c r="M210" s="1">
        <v>0</v>
      </c>
      <c r="N210" s="1" t="s">
        <v>376</v>
      </c>
      <c r="O210" s="1">
        <v>0.03</v>
      </c>
      <c r="P210" s="1">
        <v>0.2</v>
      </c>
      <c r="Q210" s="83">
        <v>181.09</v>
      </c>
      <c r="R210" s="83">
        <v>181.09</v>
      </c>
      <c r="S210" s="1">
        <v>181.09</v>
      </c>
      <c r="T210" s="83">
        <v>0</v>
      </c>
      <c r="U210" s="1" t="s">
        <v>122</v>
      </c>
      <c r="V210" s="1" t="s">
        <v>852</v>
      </c>
      <c r="W210" s="1">
        <v>3949.1976460300002</v>
      </c>
      <c r="X210" s="1"/>
      <c r="Y210" s="83" t="str">
        <f>VLOOKUP(LossTable[[#This Row],[Department]],$A$15:$B$40,2,FALSE)</f>
        <v>FP</v>
      </c>
    </row>
    <row r="211" spans="4:25" ht="14.45" customHeight="1" x14ac:dyDescent="0.25">
      <c r="D211" s="78">
        <v>448495</v>
      </c>
      <c r="E211" s="78">
        <v>280037801</v>
      </c>
      <c r="F211" s="83" t="s">
        <v>94</v>
      </c>
      <c r="G211" s="1" t="s">
        <v>533</v>
      </c>
      <c r="H211" s="1" t="s">
        <v>16</v>
      </c>
      <c r="I211" s="1" t="s">
        <v>557</v>
      </c>
      <c r="J211" s="1">
        <v>12000000</v>
      </c>
      <c r="K211" s="1">
        <v>200000000</v>
      </c>
      <c r="L211" s="1">
        <v>0</v>
      </c>
      <c r="M211" s="1">
        <v>0</v>
      </c>
      <c r="N211" s="1" t="s">
        <v>558</v>
      </c>
      <c r="O211" s="1">
        <v>0.22500000000000001</v>
      </c>
      <c r="P211" s="1">
        <v>0.06</v>
      </c>
      <c r="Q211" s="83">
        <v>18144.785400000001</v>
      </c>
      <c r="R211" s="83">
        <v>18144.785400000001</v>
      </c>
      <c r="S211" s="1">
        <v>18144.785400000001</v>
      </c>
      <c r="T211" s="83">
        <v>0</v>
      </c>
      <c r="U211" s="1" t="s">
        <v>122</v>
      </c>
      <c r="V211" s="1" t="s">
        <v>852</v>
      </c>
      <c r="W211" s="1">
        <v>3949.1976460300002</v>
      </c>
      <c r="X211" s="1"/>
      <c r="Y211" s="83" t="str">
        <f>VLOOKUP(LossTable[[#This Row],[Department]],$A$15:$B$40,2,FALSE)</f>
        <v>TP</v>
      </c>
    </row>
    <row r="212" spans="4:25" ht="14.45" customHeight="1" x14ac:dyDescent="0.25">
      <c r="D212" s="78">
        <v>454564</v>
      </c>
      <c r="E212" s="78">
        <v>280037801</v>
      </c>
      <c r="F212" s="83" t="s">
        <v>94</v>
      </c>
      <c r="G212" s="1" t="s">
        <v>569</v>
      </c>
      <c r="H212" s="1" t="s">
        <v>14</v>
      </c>
      <c r="I212" s="1" t="s">
        <v>570</v>
      </c>
      <c r="J212" s="1">
        <v>4950000</v>
      </c>
      <c r="K212" s="1">
        <v>99000000</v>
      </c>
      <c r="L212" s="1">
        <v>0</v>
      </c>
      <c r="M212" s="1">
        <v>0</v>
      </c>
      <c r="N212" s="1" t="s">
        <v>571</v>
      </c>
      <c r="O212" s="1">
        <v>0.66666667000000002</v>
      </c>
      <c r="P212" s="1">
        <v>0.05</v>
      </c>
      <c r="Q212" s="83">
        <v>4687.6625000000004</v>
      </c>
      <c r="R212" s="83">
        <v>4687.6625000000004</v>
      </c>
      <c r="S212" s="1">
        <v>4687.6625000000004</v>
      </c>
      <c r="T212" s="83">
        <v>0</v>
      </c>
      <c r="U212" s="1" t="s">
        <v>122</v>
      </c>
      <c r="V212" s="1" t="s">
        <v>852</v>
      </c>
      <c r="W212" s="1">
        <v>3949.1976460300002</v>
      </c>
      <c r="X212" s="1"/>
      <c r="Y212" s="83" t="str">
        <f>VLOOKUP(LossTable[[#This Row],[Department]],$A$15:$B$40,2,FALSE)</f>
        <v>TP</v>
      </c>
    </row>
    <row r="213" spans="4:25" ht="14.45" customHeight="1" x14ac:dyDescent="0.25">
      <c r="D213" s="78">
        <v>463414</v>
      </c>
      <c r="E213" s="78">
        <v>280037801</v>
      </c>
      <c r="F213" s="83" t="s">
        <v>94</v>
      </c>
      <c r="G213" s="1" t="s">
        <v>547</v>
      </c>
      <c r="H213" s="1" t="s">
        <v>14</v>
      </c>
      <c r="I213" s="1" t="s">
        <v>548</v>
      </c>
      <c r="J213" s="1">
        <v>15000000</v>
      </c>
      <c r="K213" s="1">
        <v>100000000</v>
      </c>
      <c r="L213" s="1">
        <v>0</v>
      </c>
      <c r="M213" s="1">
        <v>0</v>
      </c>
      <c r="N213" s="1" t="s">
        <v>335</v>
      </c>
      <c r="O213" s="1">
        <v>12.70729618</v>
      </c>
      <c r="P213" s="1">
        <v>0.15</v>
      </c>
      <c r="Q213" s="83">
        <v>941016.19200000004</v>
      </c>
      <c r="R213" s="83">
        <v>941016.19200000004</v>
      </c>
      <c r="S213" s="1">
        <v>941016.19200000004</v>
      </c>
      <c r="T213" s="83">
        <v>0</v>
      </c>
      <c r="U213" s="1" t="s">
        <v>122</v>
      </c>
      <c r="V213" s="1" t="s">
        <v>852</v>
      </c>
      <c r="W213" s="1">
        <v>3949.1976460300002</v>
      </c>
      <c r="X213" s="1"/>
      <c r="Y213" s="83" t="str">
        <f>VLOOKUP(LossTable[[#This Row],[Department]],$A$15:$B$40,2,FALSE)</f>
        <v>TP</v>
      </c>
    </row>
    <row r="214" spans="4:25" ht="14.45" customHeight="1" x14ac:dyDescent="0.25">
      <c r="D214" s="78">
        <v>464924</v>
      </c>
      <c r="E214" s="78">
        <v>280037801</v>
      </c>
      <c r="F214" s="83" t="s">
        <v>94</v>
      </c>
      <c r="G214" s="1" t="s">
        <v>616</v>
      </c>
      <c r="H214" s="1" t="s">
        <v>14</v>
      </c>
      <c r="I214" s="1" t="s">
        <v>617</v>
      </c>
      <c r="J214" s="1">
        <v>9600000</v>
      </c>
      <c r="K214" s="1">
        <v>160000000</v>
      </c>
      <c r="L214" s="1">
        <v>0</v>
      </c>
      <c r="M214" s="1">
        <v>0</v>
      </c>
      <c r="N214" s="1" t="s">
        <v>122</v>
      </c>
      <c r="O214" s="1">
        <v>1</v>
      </c>
      <c r="P214" s="1">
        <v>0.06</v>
      </c>
      <c r="Q214" s="83">
        <v>86632.233600000007</v>
      </c>
      <c r="R214" s="83">
        <v>86632.233600000007</v>
      </c>
      <c r="S214" s="1">
        <v>86632.233600000007</v>
      </c>
      <c r="T214" s="83">
        <v>0</v>
      </c>
      <c r="U214" s="1" t="s">
        <v>122</v>
      </c>
      <c r="V214" s="1" t="s">
        <v>852</v>
      </c>
      <c r="W214" s="1">
        <v>3949.1976460300002</v>
      </c>
      <c r="X214" s="1"/>
      <c r="Y214" s="83" t="str">
        <f>VLOOKUP(LossTable[[#This Row],[Department]],$A$15:$B$40,2,FALSE)</f>
        <v>TP</v>
      </c>
    </row>
    <row r="215" spans="4:25" ht="14.45" customHeight="1" x14ac:dyDescent="0.25">
      <c r="D215" s="78">
        <v>468438</v>
      </c>
      <c r="E215" s="78">
        <v>280037801</v>
      </c>
      <c r="F215" s="83" t="s">
        <v>94</v>
      </c>
      <c r="G215" s="1" t="s">
        <v>764</v>
      </c>
      <c r="H215" s="1" t="s">
        <v>13</v>
      </c>
      <c r="I215" s="1" t="s">
        <v>765</v>
      </c>
      <c r="J215" s="1">
        <v>1050000</v>
      </c>
      <c r="K215" s="1">
        <v>30000000</v>
      </c>
      <c r="L215" s="1">
        <v>20000000</v>
      </c>
      <c r="M215" s="1">
        <v>0</v>
      </c>
      <c r="N215" s="1" t="s">
        <v>766</v>
      </c>
      <c r="O215" s="1">
        <v>0.215</v>
      </c>
      <c r="P215" s="1">
        <v>3.5000000000000003E-2</v>
      </c>
      <c r="Q215" s="83">
        <v>1050000</v>
      </c>
      <c r="R215" s="83">
        <v>644794.12632175698</v>
      </c>
      <c r="S215" s="1">
        <v>644794.12632175698</v>
      </c>
      <c r="T215" s="83">
        <v>138630.73715917801</v>
      </c>
      <c r="U215" s="1" t="s">
        <v>122</v>
      </c>
      <c r="V215" s="1" t="s">
        <v>852</v>
      </c>
      <c r="W215" s="1">
        <v>3949.1976460300002</v>
      </c>
      <c r="X215" s="1"/>
      <c r="Y215" s="83" t="str">
        <f>VLOOKUP(LossTable[[#This Row],[Department]],$A$15:$B$40,2,FALSE)</f>
        <v>TP</v>
      </c>
    </row>
    <row r="216" spans="4:25" ht="14.45" customHeight="1" x14ac:dyDescent="0.25">
      <c r="D216" s="78">
        <v>468870</v>
      </c>
      <c r="E216" s="78">
        <v>280037801</v>
      </c>
      <c r="F216" s="83" t="s">
        <v>94</v>
      </c>
      <c r="G216" s="1" t="s">
        <v>591</v>
      </c>
      <c r="H216" s="1" t="s">
        <v>16</v>
      </c>
      <c r="I216" s="1" t="s">
        <v>641</v>
      </c>
      <c r="J216" s="1">
        <v>500000</v>
      </c>
      <c r="K216" s="1">
        <v>10000000</v>
      </c>
      <c r="L216" s="1">
        <v>0</v>
      </c>
      <c r="M216" s="1">
        <v>0</v>
      </c>
      <c r="N216" s="1" t="s">
        <v>642</v>
      </c>
      <c r="O216" s="1">
        <v>9.9176000000000002</v>
      </c>
      <c r="P216" s="1">
        <v>0.05</v>
      </c>
      <c r="Q216" s="83">
        <v>7.7874999999999996</v>
      </c>
      <c r="R216" s="83">
        <v>7.7874999999999996</v>
      </c>
      <c r="S216" s="1">
        <v>7.7874999999999996</v>
      </c>
      <c r="T216" s="83">
        <v>0</v>
      </c>
      <c r="U216" s="1" t="s">
        <v>122</v>
      </c>
      <c r="V216" s="1" t="s">
        <v>852</v>
      </c>
      <c r="W216" s="1">
        <v>3949.1976460300002</v>
      </c>
      <c r="X216" s="1"/>
      <c r="Y216" s="83" t="str">
        <f>VLOOKUP(LossTable[[#This Row],[Department]],$A$15:$B$40,2,FALSE)</f>
        <v>TP</v>
      </c>
    </row>
    <row r="217" spans="4:25" ht="14.45" customHeight="1" x14ac:dyDescent="0.25">
      <c r="D217" s="78">
        <v>469841</v>
      </c>
      <c r="E217" s="78">
        <v>280037801</v>
      </c>
      <c r="F217" s="83" t="s">
        <v>94</v>
      </c>
      <c r="G217" s="1" t="s">
        <v>596</v>
      </c>
      <c r="H217" s="1" t="s">
        <v>16</v>
      </c>
      <c r="I217" s="1" t="s">
        <v>597</v>
      </c>
      <c r="J217" s="1">
        <v>300000</v>
      </c>
      <c r="K217" s="1">
        <v>6000000</v>
      </c>
      <c r="L217" s="1">
        <v>0</v>
      </c>
      <c r="M217" s="1">
        <v>0</v>
      </c>
      <c r="N217" s="1" t="s">
        <v>122</v>
      </c>
      <c r="O217" s="1">
        <v>1.33355</v>
      </c>
      <c r="P217" s="1">
        <v>0.05</v>
      </c>
      <c r="Q217" s="83">
        <v>42.9285</v>
      </c>
      <c r="R217" s="83">
        <v>42.9285</v>
      </c>
      <c r="S217" s="1">
        <v>42.9285</v>
      </c>
      <c r="T217" s="83">
        <v>0</v>
      </c>
      <c r="U217" s="1" t="s">
        <v>122</v>
      </c>
      <c r="V217" s="1" t="s">
        <v>852</v>
      </c>
      <c r="W217" s="1">
        <v>3949.1976460300002</v>
      </c>
      <c r="X217" s="1"/>
      <c r="Y217" s="83" t="str">
        <f>VLOOKUP(LossTable[[#This Row],[Department]],$A$15:$B$40,2,FALSE)</f>
        <v>TP</v>
      </c>
    </row>
    <row r="218" spans="4:25" ht="14.45" customHeight="1" x14ac:dyDescent="0.25">
      <c r="D218" s="78">
        <v>471712</v>
      </c>
      <c r="E218" s="78">
        <v>280037801</v>
      </c>
      <c r="F218" s="83" t="s">
        <v>45</v>
      </c>
      <c r="G218" s="1" t="s">
        <v>683</v>
      </c>
      <c r="H218" s="1" t="s">
        <v>16</v>
      </c>
      <c r="I218" s="1" t="s">
        <v>684</v>
      </c>
      <c r="J218" s="1">
        <v>15000000</v>
      </c>
      <c r="K218" s="1">
        <v>150000000</v>
      </c>
      <c r="L218" s="1">
        <v>0</v>
      </c>
      <c r="M218" s="1">
        <v>0</v>
      </c>
      <c r="N218" s="1" t="s">
        <v>685</v>
      </c>
      <c r="O218" s="1">
        <v>4.7142530000000002E-2</v>
      </c>
      <c r="P218" s="1">
        <v>0.1</v>
      </c>
      <c r="Q218" s="83">
        <v>4.9409999999999998</v>
      </c>
      <c r="R218" s="83">
        <v>4.9409999999999998</v>
      </c>
      <c r="S218" s="1">
        <v>4.9409999999999998</v>
      </c>
      <c r="T218" s="83">
        <v>0</v>
      </c>
      <c r="U218" s="1" t="s">
        <v>122</v>
      </c>
      <c r="V218" s="1" t="s">
        <v>852</v>
      </c>
      <c r="W218" s="1">
        <v>3949.1976460300002</v>
      </c>
      <c r="X218" s="1"/>
      <c r="Y218" s="83" t="str">
        <f>VLOOKUP(LossTable[[#This Row],[Department]],$A$15:$B$40,2,FALSE)</f>
        <v>FP</v>
      </c>
    </row>
    <row r="219" spans="4:25" ht="14.45" customHeight="1" x14ac:dyDescent="0.25">
      <c r="D219" s="78">
        <v>472284</v>
      </c>
      <c r="E219" s="78">
        <v>280037801</v>
      </c>
      <c r="F219" s="83" t="s">
        <v>21</v>
      </c>
      <c r="G219" s="1" t="s">
        <v>627</v>
      </c>
      <c r="H219" s="1" t="s">
        <v>14</v>
      </c>
      <c r="I219" s="1" t="s">
        <v>628</v>
      </c>
      <c r="J219" s="1">
        <v>20000000</v>
      </c>
      <c r="K219" s="1">
        <v>200000000</v>
      </c>
      <c r="L219" s="1">
        <v>0</v>
      </c>
      <c r="M219" s="1">
        <v>0</v>
      </c>
      <c r="N219" s="1" t="s">
        <v>142</v>
      </c>
      <c r="O219" s="1">
        <v>1.1475</v>
      </c>
      <c r="P219" s="1">
        <v>0.1</v>
      </c>
      <c r="Q219" s="83">
        <v>12550.439</v>
      </c>
      <c r="R219" s="83">
        <v>12550.439</v>
      </c>
      <c r="S219" s="1">
        <v>12550.439</v>
      </c>
      <c r="T219" s="83">
        <v>0</v>
      </c>
      <c r="U219" s="1" t="s">
        <v>122</v>
      </c>
      <c r="V219" s="1" t="s">
        <v>852</v>
      </c>
      <c r="W219" s="1">
        <v>3949.1976460300002</v>
      </c>
      <c r="X219" s="1"/>
      <c r="Y219" s="83" t="str">
        <f>VLOOKUP(LossTable[[#This Row],[Department]],$A$15:$B$40,2,FALSE)</f>
        <v>London</v>
      </c>
    </row>
    <row r="220" spans="4:25" ht="14.45" customHeight="1" x14ac:dyDescent="0.25">
      <c r="D220" s="78">
        <v>472467</v>
      </c>
      <c r="E220" s="78">
        <v>280037801</v>
      </c>
      <c r="F220" s="83" t="s">
        <v>21</v>
      </c>
      <c r="G220" s="1" t="s">
        <v>633</v>
      </c>
      <c r="H220" s="1" t="s">
        <v>14</v>
      </c>
      <c r="I220" s="1" t="s">
        <v>634</v>
      </c>
      <c r="J220" s="1">
        <v>825000</v>
      </c>
      <c r="K220" s="1">
        <v>10000000</v>
      </c>
      <c r="L220" s="1">
        <v>0</v>
      </c>
      <c r="M220" s="1">
        <v>0</v>
      </c>
      <c r="N220" s="1" t="s">
        <v>176</v>
      </c>
      <c r="O220" s="1">
        <v>5</v>
      </c>
      <c r="P220" s="1">
        <v>8.2500000000000004E-2</v>
      </c>
      <c r="Q220" s="83">
        <v>13400.307525</v>
      </c>
      <c r="R220" s="83">
        <v>13400.307525</v>
      </c>
      <c r="S220" s="1">
        <v>13400.307525</v>
      </c>
      <c r="T220" s="83">
        <v>0</v>
      </c>
      <c r="U220" s="1" t="s">
        <v>122</v>
      </c>
      <c r="V220" s="1" t="s">
        <v>852</v>
      </c>
      <c r="W220" s="1">
        <v>3949.1976460300002</v>
      </c>
      <c r="X220" s="1"/>
      <c r="Y220" s="83" t="str">
        <f>VLOOKUP(LossTable[[#This Row],[Department]],$A$15:$B$40,2,FALSE)</f>
        <v>London</v>
      </c>
    </row>
    <row r="221" spans="4:25" ht="14.45" customHeight="1" x14ac:dyDescent="0.25">
      <c r="D221" s="78">
        <v>472732</v>
      </c>
      <c r="E221" s="78">
        <v>280037801</v>
      </c>
      <c r="F221" s="83" t="s">
        <v>94</v>
      </c>
      <c r="G221" s="1" t="s">
        <v>693</v>
      </c>
      <c r="H221" s="1" t="s">
        <v>14</v>
      </c>
      <c r="I221" s="1" t="s">
        <v>694</v>
      </c>
      <c r="J221" s="1">
        <v>15150393.960000001</v>
      </c>
      <c r="K221" s="1">
        <v>126253283</v>
      </c>
      <c r="L221" s="1">
        <v>0</v>
      </c>
      <c r="M221" s="1">
        <v>0</v>
      </c>
      <c r="N221" s="1" t="s">
        <v>122</v>
      </c>
      <c r="O221" s="1">
        <v>0.57142857000000002</v>
      </c>
      <c r="P221" s="1">
        <v>0.12</v>
      </c>
      <c r="Q221" s="83">
        <v>62092.523999999998</v>
      </c>
      <c r="R221" s="83">
        <v>62092.523999999998</v>
      </c>
      <c r="S221" s="1">
        <v>62092.523999999998</v>
      </c>
      <c r="T221" s="83">
        <v>0</v>
      </c>
      <c r="U221" s="1" t="s">
        <v>122</v>
      </c>
      <c r="V221" s="1" t="s">
        <v>852</v>
      </c>
      <c r="W221" s="1">
        <v>3949.1976460300002</v>
      </c>
      <c r="X221" s="1"/>
      <c r="Y221" s="83" t="str">
        <f>VLOOKUP(LossTable[[#This Row],[Department]],$A$15:$B$40,2,FALSE)</f>
        <v>TP</v>
      </c>
    </row>
    <row r="222" spans="4:25" ht="14.45" customHeight="1" x14ac:dyDescent="0.25">
      <c r="D222" s="78">
        <v>475911</v>
      </c>
      <c r="E222" s="78">
        <v>280037801</v>
      </c>
      <c r="F222" s="83" t="s">
        <v>94</v>
      </c>
      <c r="G222" s="1" t="s">
        <v>690</v>
      </c>
      <c r="H222" s="1" t="s">
        <v>14</v>
      </c>
      <c r="I222" s="1" t="s">
        <v>691</v>
      </c>
      <c r="J222" s="1">
        <v>73500000</v>
      </c>
      <c r="K222" s="1">
        <v>490000000</v>
      </c>
      <c r="L222" s="1">
        <v>0</v>
      </c>
      <c r="M222" s="1">
        <v>0</v>
      </c>
      <c r="N222" s="1" t="s">
        <v>692</v>
      </c>
      <c r="O222" s="1">
        <v>0.46938775999999999</v>
      </c>
      <c r="P222" s="1">
        <v>0.15</v>
      </c>
      <c r="Q222" s="83">
        <v>1118858.148</v>
      </c>
      <c r="R222" s="83">
        <v>1118858.148</v>
      </c>
      <c r="S222" s="1">
        <v>1118858.148</v>
      </c>
      <c r="T222" s="83">
        <v>0</v>
      </c>
      <c r="U222" s="1" t="s">
        <v>122</v>
      </c>
      <c r="V222" s="1" t="s">
        <v>852</v>
      </c>
      <c r="W222" s="1">
        <v>3949.1976460300002</v>
      </c>
      <c r="X222" s="1"/>
      <c r="Y222" s="83" t="str">
        <f>VLOOKUP(LossTable[[#This Row],[Department]],$A$15:$B$40,2,FALSE)</f>
        <v>TP</v>
      </c>
    </row>
    <row r="223" spans="4:25" ht="14.45" customHeight="1" x14ac:dyDescent="0.25">
      <c r="D223" s="78">
        <v>476659</v>
      </c>
      <c r="E223" s="78">
        <v>280037801</v>
      </c>
      <c r="F223" s="83" t="s">
        <v>45</v>
      </c>
      <c r="G223" s="1" t="s">
        <v>669</v>
      </c>
      <c r="H223" s="1" t="s">
        <v>16</v>
      </c>
      <c r="I223" s="1" t="s">
        <v>769</v>
      </c>
      <c r="J223" s="1">
        <v>500000</v>
      </c>
      <c r="K223" s="1">
        <v>5000000</v>
      </c>
      <c r="L223" s="1">
        <v>0</v>
      </c>
      <c r="M223" s="1">
        <v>0</v>
      </c>
      <c r="N223" s="1" t="s">
        <v>475</v>
      </c>
      <c r="O223" s="1">
        <v>0.17499999999999999</v>
      </c>
      <c r="P223" s="1">
        <v>0.1</v>
      </c>
      <c r="Q223" s="83">
        <v>17.670999999999999</v>
      </c>
      <c r="R223" s="83">
        <v>17.670999999999999</v>
      </c>
      <c r="S223" s="1">
        <v>17.670999999999999</v>
      </c>
      <c r="T223" s="83">
        <v>3.02839605</v>
      </c>
      <c r="U223" s="1" t="s">
        <v>122</v>
      </c>
      <c r="V223" s="1" t="s">
        <v>852</v>
      </c>
      <c r="W223" s="1">
        <v>3949.1976460300002</v>
      </c>
      <c r="X223" s="1"/>
      <c r="Y223" s="83" t="str">
        <f>VLOOKUP(LossTable[[#This Row],[Department]],$A$15:$B$40,2,FALSE)</f>
        <v>FP</v>
      </c>
    </row>
    <row r="224" spans="4:25" ht="14.45" customHeight="1" x14ac:dyDescent="0.25">
      <c r="D224" s="78">
        <v>479558</v>
      </c>
      <c r="E224" s="78">
        <v>280037801</v>
      </c>
      <c r="F224" s="83" t="s">
        <v>45</v>
      </c>
      <c r="G224" s="1" t="s">
        <v>643</v>
      </c>
      <c r="H224" s="1" t="s">
        <v>14</v>
      </c>
      <c r="I224" s="1" t="s">
        <v>644</v>
      </c>
      <c r="J224" s="1">
        <v>625000</v>
      </c>
      <c r="K224" s="1">
        <v>5000000</v>
      </c>
      <c r="L224" s="1">
        <v>0</v>
      </c>
      <c r="M224" s="1">
        <v>0</v>
      </c>
      <c r="N224" s="1" t="s">
        <v>645</v>
      </c>
      <c r="O224" s="1">
        <v>0.56000000000000005</v>
      </c>
      <c r="P224" s="1">
        <v>0.125</v>
      </c>
      <c r="Q224" s="83">
        <v>726.96624999999995</v>
      </c>
      <c r="R224" s="83">
        <v>726.96624999999995</v>
      </c>
      <c r="S224" s="1">
        <v>726.96624999999995</v>
      </c>
      <c r="T224" s="83">
        <v>0</v>
      </c>
      <c r="U224" s="1" t="s">
        <v>122</v>
      </c>
      <c r="V224" s="1" t="s">
        <v>852</v>
      </c>
      <c r="W224" s="1">
        <v>3949.1976460300002</v>
      </c>
      <c r="X224" s="1"/>
      <c r="Y224" s="83" t="str">
        <f>VLOOKUP(LossTable[[#This Row],[Department]],$A$15:$B$40,2,FALSE)</f>
        <v>FP</v>
      </c>
    </row>
    <row r="225" spans="4:29" ht="14.45" customHeight="1" x14ac:dyDescent="0.25">
      <c r="D225" s="78">
        <v>479983</v>
      </c>
      <c r="E225" s="78">
        <v>280037801</v>
      </c>
      <c r="F225" s="83" t="s">
        <v>12</v>
      </c>
      <c r="G225" s="1" t="s">
        <v>652</v>
      </c>
      <c r="H225" s="1" t="s">
        <v>14</v>
      </c>
      <c r="I225" s="1" t="s">
        <v>653</v>
      </c>
      <c r="J225" s="1">
        <v>3062500</v>
      </c>
      <c r="K225" s="1">
        <v>43750000</v>
      </c>
      <c r="L225" s="1">
        <v>0</v>
      </c>
      <c r="M225" s="1">
        <v>0</v>
      </c>
      <c r="N225" s="1" t="s">
        <v>654</v>
      </c>
      <c r="O225" s="1">
        <v>0.45714285999999998</v>
      </c>
      <c r="P225" s="1">
        <v>7.0000000000000007E-2</v>
      </c>
      <c r="Q225" s="83">
        <v>1758.799</v>
      </c>
      <c r="R225" s="83">
        <v>1758.799</v>
      </c>
      <c r="S225" s="1">
        <v>1758.799</v>
      </c>
      <c r="T225" s="83">
        <v>0</v>
      </c>
      <c r="U225" s="1" t="s">
        <v>122</v>
      </c>
      <c r="V225" s="1" t="s">
        <v>852</v>
      </c>
      <c r="W225" s="1">
        <v>3949.1976460300002</v>
      </c>
      <c r="X225" s="1"/>
      <c r="Y225" s="83" t="str">
        <f>VLOOKUP(LossTable[[#This Row],[Department]],$A$15:$B$40,2,FALSE)</f>
        <v>Bermuda</v>
      </c>
    </row>
    <row r="226" spans="4:29" ht="14.45" customHeight="1" x14ac:dyDescent="0.25">
      <c r="D226" s="78">
        <v>480016</v>
      </c>
      <c r="E226" s="78">
        <v>280037801</v>
      </c>
      <c r="F226" s="83" t="s">
        <v>94</v>
      </c>
      <c r="G226" s="1" t="s">
        <v>724</v>
      </c>
      <c r="H226" s="1" t="s">
        <v>16</v>
      </c>
      <c r="I226" s="1" t="s">
        <v>725</v>
      </c>
      <c r="J226" s="1">
        <v>2800000</v>
      </c>
      <c r="K226" s="1">
        <v>70000000</v>
      </c>
      <c r="L226" s="1">
        <v>0</v>
      </c>
      <c r="M226" s="1">
        <v>0</v>
      </c>
      <c r="N226" s="1" t="s">
        <v>122</v>
      </c>
      <c r="O226" s="1">
        <v>0.5427862</v>
      </c>
      <c r="P226" s="1">
        <v>0.04</v>
      </c>
      <c r="Q226" s="83">
        <v>37.206800000000001</v>
      </c>
      <c r="R226" s="83">
        <v>37.206800000000001</v>
      </c>
      <c r="S226" s="1">
        <v>37.206800000000001</v>
      </c>
      <c r="T226" s="83">
        <v>0</v>
      </c>
      <c r="U226" s="1" t="s">
        <v>122</v>
      </c>
      <c r="V226" s="1" t="s">
        <v>852</v>
      </c>
      <c r="W226" s="1">
        <v>3949.1976460300002</v>
      </c>
      <c r="X226" s="1"/>
      <c r="Y226" s="83" t="str">
        <f>VLOOKUP(LossTable[[#This Row],[Department]],$A$15:$B$40,2,FALSE)</f>
        <v>TP</v>
      </c>
    </row>
    <row r="227" spans="4:29" ht="14.45" customHeight="1" x14ac:dyDescent="0.25">
      <c r="D227" s="78">
        <v>480605</v>
      </c>
      <c r="E227" s="78">
        <v>280037801</v>
      </c>
      <c r="F227" s="83" t="s">
        <v>45</v>
      </c>
      <c r="G227" s="1" t="s">
        <v>706</v>
      </c>
      <c r="H227" s="1" t="s">
        <v>14</v>
      </c>
      <c r="I227" s="1" t="s">
        <v>707</v>
      </c>
      <c r="J227" s="1">
        <v>650000</v>
      </c>
      <c r="K227" s="1">
        <v>65000000</v>
      </c>
      <c r="L227" s="1">
        <v>0</v>
      </c>
      <c r="M227" s="1">
        <v>0</v>
      </c>
      <c r="N227" s="1" t="s">
        <v>158</v>
      </c>
      <c r="O227" s="1">
        <v>0.55714898000000002</v>
      </c>
      <c r="P227" s="1">
        <v>0.01</v>
      </c>
      <c r="Q227" s="83">
        <v>132.00210000000001</v>
      </c>
      <c r="R227" s="83">
        <v>132.00210000000001</v>
      </c>
      <c r="S227" s="1">
        <v>132.00210000000001</v>
      </c>
      <c r="T227" s="83">
        <v>0</v>
      </c>
      <c r="U227" s="1" t="s">
        <v>122</v>
      </c>
      <c r="V227" s="1" t="s">
        <v>852</v>
      </c>
      <c r="W227" s="1">
        <v>3949.1976460300002</v>
      </c>
      <c r="X227" s="1"/>
      <c r="Y227" s="83" t="str">
        <f>VLOOKUP(LossTable[[#This Row],[Department]],$A$15:$B$40,2,FALSE)</f>
        <v>FP</v>
      </c>
    </row>
    <row r="228" spans="4:29" ht="14.45" customHeight="1" x14ac:dyDescent="0.25">
      <c r="D228" s="78">
        <v>481424</v>
      </c>
      <c r="E228" s="78">
        <v>280037801</v>
      </c>
      <c r="F228" s="83" t="s">
        <v>94</v>
      </c>
      <c r="G228" s="1" t="s">
        <v>778</v>
      </c>
      <c r="H228" s="1" t="s">
        <v>24</v>
      </c>
      <c r="I228" s="1" t="s">
        <v>779</v>
      </c>
      <c r="J228" s="1">
        <v>3200000</v>
      </c>
      <c r="K228" s="1">
        <v>160000000</v>
      </c>
      <c r="L228" s="1">
        <v>0</v>
      </c>
      <c r="M228" s="1">
        <v>0</v>
      </c>
      <c r="N228" s="1" t="s">
        <v>780</v>
      </c>
      <c r="O228" s="1">
        <v>0.25624999999999998</v>
      </c>
      <c r="P228" s="1">
        <v>0.02</v>
      </c>
      <c r="Q228" s="83">
        <v>870.26160000000004</v>
      </c>
      <c r="R228" s="83">
        <v>870.26160000000004</v>
      </c>
      <c r="S228" s="1">
        <v>870.26160000000004</v>
      </c>
      <c r="T228" s="83">
        <v>0</v>
      </c>
      <c r="U228" s="1" t="s">
        <v>122</v>
      </c>
      <c r="V228" s="1" t="s">
        <v>852</v>
      </c>
      <c r="W228" s="1">
        <v>3949.1976460300002</v>
      </c>
      <c r="X228" s="1"/>
      <c r="Y228" s="83" t="str">
        <f>VLOOKUP(LossTable[[#This Row],[Department]],$A$15:$B$40,2,FALSE)</f>
        <v>TP</v>
      </c>
    </row>
    <row r="229" spans="4:29" ht="14.45" customHeight="1" x14ac:dyDescent="0.25">
      <c r="D229" s="78">
        <v>483407</v>
      </c>
      <c r="E229" s="78">
        <v>280037801</v>
      </c>
      <c r="F229" s="83" t="s">
        <v>15</v>
      </c>
      <c r="G229" s="1" t="s">
        <v>790</v>
      </c>
      <c r="H229" s="1" t="s">
        <v>16</v>
      </c>
      <c r="I229" s="1" t="s">
        <v>791</v>
      </c>
      <c r="J229" s="1">
        <v>2021042.6874333001</v>
      </c>
      <c r="K229" s="1">
        <v>202104268.74333</v>
      </c>
      <c r="L229" s="1">
        <v>0</v>
      </c>
      <c r="M229" s="1">
        <v>0</v>
      </c>
      <c r="N229" s="1" t="s">
        <v>122</v>
      </c>
      <c r="O229" s="1">
        <v>0.31256476</v>
      </c>
      <c r="P229" s="1">
        <v>0.01</v>
      </c>
      <c r="Q229" s="83">
        <v>72.480175430000003</v>
      </c>
      <c r="R229" s="83">
        <v>72.480175430000003</v>
      </c>
      <c r="S229" s="1">
        <v>72.480175430000003</v>
      </c>
      <c r="T229" s="83">
        <v>0</v>
      </c>
      <c r="U229" s="1" t="s">
        <v>122</v>
      </c>
      <c r="V229" s="1" t="s">
        <v>852</v>
      </c>
      <c r="W229" s="1">
        <v>3949.1976460300002</v>
      </c>
      <c r="X229" s="1"/>
      <c r="Y229" s="83" t="str">
        <f>VLOOKUP(LossTable[[#This Row],[Department]],$A$15:$B$40,2,FALSE)</f>
        <v>Canada</v>
      </c>
    </row>
    <row r="230" spans="4:29" ht="14.45" customHeight="1" x14ac:dyDescent="0.25">
      <c r="D230" s="78">
        <v>483476</v>
      </c>
      <c r="E230" s="78">
        <v>280037801</v>
      </c>
      <c r="F230" s="83" t="s">
        <v>94</v>
      </c>
      <c r="G230" s="1" t="s">
        <v>785</v>
      </c>
      <c r="H230" s="1" t="s">
        <v>16</v>
      </c>
      <c r="I230" s="1" t="s">
        <v>786</v>
      </c>
      <c r="J230" s="1">
        <v>175000</v>
      </c>
      <c r="K230" s="1">
        <v>3500000</v>
      </c>
      <c r="L230" s="1">
        <v>0</v>
      </c>
      <c r="M230" s="1">
        <v>0</v>
      </c>
      <c r="N230" s="1" t="s">
        <v>787</v>
      </c>
      <c r="O230" s="1">
        <v>0.21</v>
      </c>
      <c r="P230" s="1">
        <v>0.05</v>
      </c>
      <c r="Q230" s="83">
        <v>60.985999999999997</v>
      </c>
      <c r="R230" s="83">
        <v>60.985999999999997</v>
      </c>
      <c r="S230" s="1">
        <v>60.985999999999997</v>
      </c>
      <c r="T230" s="83">
        <v>0</v>
      </c>
      <c r="U230" s="1" t="s">
        <v>122</v>
      </c>
      <c r="V230" s="1" t="s">
        <v>852</v>
      </c>
      <c r="W230" s="1">
        <v>3949.1976460300002</v>
      </c>
      <c r="X230" s="1"/>
      <c r="Y230" s="83" t="str">
        <f>VLOOKUP(LossTable[[#This Row],[Department]],$A$15:$B$40,2,FALSE)</f>
        <v>TP</v>
      </c>
    </row>
    <row r="231" spans="4:29" ht="14.45" customHeight="1" x14ac:dyDescent="0.25">
      <c r="D231" s="78">
        <v>484879</v>
      </c>
      <c r="E231" s="78">
        <v>280037801</v>
      </c>
      <c r="F231" s="83" t="s">
        <v>94</v>
      </c>
      <c r="G231" s="1" t="s">
        <v>808</v>
      </c>
      <c r="H231" s="1" t="s">
        <v>16</v>
      </c>
      <c r="I231" s="1" t="s">
        <v>810</v>
      </c>
      <c r="J231" s="1">
        <v>1690451.1705</v>
      </c>
      <c r="K231" s="1">
        <v>67618046.819999993</v>
      </c>
      <c r="L231" s="1">
        <v>0</v>
      </c>
      <c r="M231" s="1">
        <v>0</v>
      </c>
      <c r="N231" s="1" t="s">
        <v>122</v>
      </c>
      <c r="O231" s="1">
        <v>0.22</v>
      </c>
      <c r="P231" s="1">
        <v>2.5000000000000001E-2</v>
      </c>
      <c r="Q231" s="83">
        <v>36.535499999999999</v>
      </c>
      <c r="R231" s="83">
        <v>36.535499999999999</v>
      </c>
      <c r="S231" s="1">
        <v>36.535499999999999</v>
      </c>
      <c r="T231" s="83">
        <v>0</v>
      </c>
      <c r="U231" s="1" t="s">
        <v>122</v>
      </c>
      <c r="V231" s="1" t="s">
        <v>852</v>
      </c>
      <c r="W231" s="1">
        <v>3949.1976460300002</v>
      </c>
      <c r="X231" s="1"/>
      <c r="Y231" s="83" t="str">
        <f>VLOOKUP(LossTable[[#This Row],[Department]],$A$15:$B$40,2,FALSE)</f>
        <v>TP</v>
      </c>
    </row>
    <row r="232" spans="4:29" ht="14.45" customHeight="1" x14ac:dyDescent="0.25">
      <c r="D232" s="78">
        <v>442098</v>
      </c>
      <c r="E232" s="78">
        <v>280066590</v>
      </c>
      <c r="F232" s="83" t="s">
        <v>45</v>
      </c>
      <c r="G232" s="1" t="s">
        <v>454</v>
      </c>
      <c r="H232" s="1" t="s">
        <v>16</v>
      </c>
      <c r="I232" s="1" t="s">
        <v>455</v>
      </c>
      <c r="J232" s="1">
        <v>13000000</v>
      </c>
      <c r="K232" s="1">
        <v>160000000</v>
      </c>
      <c r="L232" s="1">
        <v>0</v>
      </c>
      <c r="M232" s="1">
        <v>0</v>
      </c>
      <c r="N232" s="1" t="s">
        <v>456</v>
      </c>
      <c r="O232" s="1">
        <v>7.2696759999999999E-2</v>
      </c>
      <c r="P232" s="1">
        <v>8.1250000000000003E-2</v>
      </c>
      <c r="Q232" s="83">
        <v>49.055500000000002</v>
      </c>
      <c r="R232" s="83">
        <v>49.055500000000002</v>
      </c>
      <c r="S232" s="1">
        <v>49.055500000000002</v>
      </c>
      <c r="T232" s="83">
        <v>0</v>
      </c>
      <c r="U232" s="1" t="s">
        <v>122</v>
      </c>
      <c r="V232" s="1" t="s">
        <v>837</v>
      </c>
      <c r="W232" s="1">
        <v>3280.0940773799998</v>
      </c>
      <c r="X232" s="1"/>
      <c r="Y232" s="83" t="str">
        <f>VLOOKUP(LossTable[[#This Row],[Department]],$A$15:$B$40,2,FALSE)</f>
        <v>FP</v>
      </c>
    </row>
    <row r="233" spans="4:29" ht="14.45" customHeight="1" x14ac:dyDescent="0.25">
      <c r="D233" s="78">
        <v>469888</v>
      </c>
      <c r="E233" s="78">
        <v>280014790</v>
      </c>
      <c r="F233" s="83" t="s">
        <v>94</v>
      </c>
      <c r="G233" s="1" t="s">
        <v>667</v>
      </c>
      <c r="H233" s="1" t="s">
        <v>14</v>
      </c>
      <c r="I233" s="1" t="s">
        <v>668</v>
      </c>
      <c r="J233" s="1">
        <v>13500000</v>
      </c>
      <c r="K233" s="1">
        <v>90000000</v>
      </c>
      <c r="L233" s="1">
        <v>0</v>
      </c>
      <c r="M233" s="1">
        <v>0</v>
      </c>
      <c r="N233" s="1" t="s">
        <v>122</v>
      </c>
      <c r="O233" s="1">
        <v>0.2555907</v>
      </c>
      <c r="P233" s="1">
        <v>0.15</v>
      </c>
      <c r="Q233" s="83">
        <v>1078274.1435</v>
      </c>
      <c r="R233" s="83">
        <v>1078274.1435</v>
      </c>
      <c r="S233" s="1">
        <v>1078274.1435</v>
      </c>
      <c r="T233" s="83">
        <v>0</v>
      </c>
      <c r="U233" s="1" t="s">
        <v>122</v>
      </c>
      <c r="V233" s="1" t="s">
        <v>836</v>
      </c>
      <c r="W233" s="1">
        <v>4781.60363426</v>
      </c>
      <c r="X233" s="1"/>
      <c r="Y233" s="83" t="str">
        <f>VLOOKUP(LossTable[[#This Row],[Department]],$A$15:$B$40,2,FALSE)</f>
        <v>TP</v>
      </c>
    </row>
    <row r="234" spans="4:29" ht="14.45" customHeight="1" x14ac:dyDescent="0.25">
      <c r="D234" s="78">
        <v>121</v>
      </c>
      <c r="E234" s="78">
        <v>280066590</v>
      </c>
      <c r="F234" s="83" t="s">
        <v>92</v>
      </c>
      <c r="G234" s="1" t="s">
        <v>220</v>
      </c>
      <c r="H234" s="1" t="s">
        <v>16</v>
      </c>
      <c r="I234" s="1" t="s">
        <v>220</v>
      </c>
      <c r="J234" s="1">
        <v>46647943.011836402</v>
      </c>
      <c r="K234" s="1">
        <v>0</v>
      </c>
      <c r="L234" s="1">
        <v>0</v>
      </c>
      <c r="M234" s="1">
        <v>0</v>
      </c>
      <c r="N234" s="1" t="s">
        <v>44</v>
      </c>
      <c r="O234" s="1">
        <v>0</v>
      </c>
      <c r="P234" s="1">
        <v>1</v>
      </c>
      <c r="Q234" s="83">
        <v>119.56910000000001</v>
      </c>
      <c r="R234" s="83">
        <v>119.56910000000001</v>
      </c>
      <c r="S234" s="1">
        <v>119.56910000000001</v>
      </c>
      <c r="T234" s="83">
        <v>0</v>
      </c>
      <c r="U234" s="1" t="s">
        <v>122</v>
      </c>
      <c r="V234" s="1" t="s">
        <v>837</v>
      </c>
      <c r="W234" s="1">
        <v>3280.0940773799998</v>
      </c>
      <c r="X234" s="1"/>
      <c r="Y234" s="83" t="str">
        <f>VLOOKUP(LossTable[[#This Row],[Department]],$A$15:$B$40,2,FALSE)</f>
        <v>FP</v>
      </c>
    </row>
    <row r="235" spans="4:29" ht="14.45" customHeight="1" x14ac:dyDescent="0.25">
      <c r="D235" s="78">
        <v>485546</v>
      </c>
      <c r="E235" s="78">
        <v>280014790</v>
      </c>
      <c r="F235" s="83" t="s">
        <v>94</v>
      </c>
      <c r="G235" s="1" t="s">
        <v>747</v>
      </c>
      <c r="H235" s="1" t="s">
        <v>14</v>
      </c>
      <c r="I235" s="1" t="s">
        <v>748</v>
      </c>
      <c r="J235" s="1">
        <v>8750000</v>
      </c>
      <c r="K235" s="1">
        <v>50000000</v>
      </c>
      <c r="L235" s="1">
        <v>0</v>
      </c>
      <c r="M235" s="1">
        <v>0</v>
      </c>
      <c r="N235" s="1" t="s">
        <v>166</v>
      </c>
      <c r="O235" s="1">
        <v>0.51867832000000003</v>
      </c>
      <c r="P235" s="1">
        <v>0.17499999999999999</v>
      </c>
      <c r="Q235" s="83">
        <v>70221.914000000004</v>
      </c>
      <c r="R235" s="83">
        <v>70221.914000000004</v>
      </c>
      <c r="S235" s="1">
        <v>70221.914000000004</v>
      </c>
      <c r="T235" s="83">
        <v>0</v>
      </c>
      <c r="U235" s="1" t="s">
        <v>122</v>
      </c>
      <c r="V235" s="1" t="s">
        <v>836</v>
      </c>
      <c r="W235" s="1">
        <v>4781.60363426</v>
      </c>
      <c r="X235" s="1"/>
      <c r="Y235" s="83" t="str">
        <f>VLOOKUP(LossTable[[#This Row],[Department]],$A$15:$B$40,2,FALSE)</f>
        <v>TP</v>
      </c>
    </row>
    <row r="236" spans="4:29" ht="14.45" customHeight="1" x14ac:dyDescent="0.25">
      <c r="D236" s="78">
        <v>441791</v>
      </c>
      <c r="E236" s="78">
        <v>280014790</v>
      </c>
      <c r="F236" s="83" t="s">
        <v>94</v>
      </c>
      <c r="G236" s="1" t="s">
        <v>380</v>
      </c>
      <c r="H236" s="1" t="s">
        <v>16</v>
      </c>
      <c r="I236" s="1" t="s">
        <v>381</v>
      </c>
      <c r="J236" s="1">
        <v>375000</v>
      </c>
      <c r="K236" s="1">
        <v>30000000</v>
      </c>
      <c r="L236" s="1">
        <v>0</v>
      </c>
      <c r="M236" s="1">
        <v>0</v>
      </c>
      <c r="N236" s="1" t="s">
        <v>122</v>
      </c>
      <c r="O236" s="1">
        <v>0.05</v>
      </c>
      <c r="P236" s="1">
        <v>1.2500000000000001E-2</v>
      </c>
      <c r="Q236" s="83">
        <v>33.3705</v>
      </c>
      <c r="R236" s="83">
        <v>33.3705</v>
      </c>
      <c r="S236" s="1">
        <v>33.3705</v>
      </c>
      <c r="T236" s="83">
        <v>0</v>
      </c>
      <c r="U236" s="1" t="s">
        <v>122</v>
      </c>
      <c r="V236" s="1" t="s">
        <v>836</v>
      </c>
      <c r="W236" s="1">
        <v>4781.60363426</v>
      </c>
      <c r="X236" s="1"/>
      <c r="Y236" s="83" t="str">
        <f>VLOOKUP(LossTable[[#This Row],[Department]],$A$15:$B$40,2,FALSE)</f>
        <v>TP</v>
      </c>
    </row>
    <row r="237" spans="4:29" ht="14.45" customHeight="1" x14ac:dyDescent="0.25">
      <c r="D237" s="78">
        <v>463056</v>
      </c>
      <c r="E237" s="78">
        <v>280066590</v>
      </c>
      <c r="F237" s="83" t="s">
        <v>12</v>
      </c>
      <c r="G237" s="1" t="s">
        <v>612</v>
      </c>
      <c r="H237" s="1" t="s">
        <v>14</v>
      </c>
      <c r="I237" s="1" t="s">
        <v>613</v>
      </c>
      <c r="J237" s="1">
        <v>37355599.248012401</v>
      </c>
      <c r="K237" s="1">
        <v>1105195244.02404</v>
      </c>
      <c r="L237" s="1">
        <v>0</v>
      </c>
      <c r="M237" s="1">
        <v>0</v>
      </c>
      <c r="N237" s="1" t="s">
        <v>154</v>
      </c>
      <c r="O237" s="1">
        <v>0.62324833999999996</v>
      </c>
      <c r="P237" s="1">
        <v>3.3799999999999997E-2</v>
      </c>
      <c r="Q237" s="83">
        <v>10495.15240653</v>
      </c>
      <c r="R237" s="83">
        <v>10495.15240653</v>
      </c>
      <c r="S237" s="1">
        <v>10495.15240653</v>
      </c>
      <c r="T237" s="83">
        <v>0</v>
      </c>
      <c r="U237" s="1" t="s">
        <v>122</v>
      </c>
      <c r="V237" s="1" t="s">
        <v>837</v>
      </c>
      <c r="W237" s="1">
        <v>3280.0940773799998</v>
      </c>
      <c r="X237" s="1"/>
      <c r="Y237" s="83" t="str">
        <f>VLOOKUP(LossTable[[#This Row],[Department]],$A$15:$B$40,2,FALSE)</f>
        <v>Bermuda</v>
      </c>
      <c r="AA237" s="98"/>
      <c r="AB237" s="98"/>
      <c r="AC237" s="98"/>
    </row>
    <row r="238" spans="4:29" ht="14.45" customHeight="1" x14ac:dyDescent="0.25">
      <c r="D238" s="78">
        <v>288756</v>
      </c>
      <c r="E238" s="78">
        <v>280066590</v>
      </c>
      <c r="F238" s="83" t="s">
        <v>87</v>
      </c>
      <c r="G238" s="1" t="s">
        <v>223</v>
      </c>
      <c r="H238" s="1" t="s">
        <v>14</v>
      </c>
      <c r="I238" s="1" t="s">
        <v>222</v>
      </c>
      <c r="J238" s="1">
        <v>1391867.3</v>
      </c>
      <c r="K238" s="1">
        <v>1391867.3</v>
      </c>
      <c r="L238" s="1">
        <v>0</v>
      </c>
      <c r="M238" s="1">
        <v>0</v>
      </c>
      <c r="N238" s="1" t="s">
        <v>14</v>
      </c>
      <c r="O238" s="1">
        <v>3.5922959999999997E-2</v>
      </c>
      <c r="P238" s="1">
        <v>1</v>
      </c>
      <c r="Q238" s="83">
        <v>2.52</v>
      </c>
      <c r="R238" s="83">
        <v>2.52</v>
      </c>
      <c r="S238" s="1">
        <v>2.52</v>
      </c>
      <c r="T238" s="83">
        <v>0</v>
      </c>
      <c r="U238" s="1" t="s">
        <v>122</v>
      </c>
      <c r="V238" s="1" t="s">
        <v>837</v>
      </c>
      <c r="W238" s="1">
        <v>3280.0940773799998</v>
      </c>
      <c r="X238" s="1"/>
      <c r="Y238" s="83" t="str">
        <f>VLOOKUP(LossTable[[#This Row],[Department]],$A$15:$B$40,2,FALSE)</f>
        <v>Insurance</v>
      </c>
      <c r="AA238" s="98"/>
      <c r="AB238" s="98"/>
      <c r="AC238" s="98"/>
    </row>
    <row r="239" spans="4:29" ht="14.45" customHeight="1" x14ac:dyDescent="0.25">
      <c r="D239" s="78">
        <v>484304</v>
      </c>
      <c r="E239" s="78">
        <v>280037801</v>
      </c>
      <c r="F239" s="83" t="s">
        <v>95</v>
      </c>
      <c r="G239" s="1" t="s">
        <v>695</v>
      </c>
      <c r="H239" s="1" t="s">
        <v>14</v>
      </c>
      <c r="I239" s="1" t="s">
        <v>696</v>
      </c>
      <c r="J239" s="1">
        <v>9985136.6281509399</v>
      </c>
      <c r="K239" s="1">
        <v>58736097.812652603</v>
      </c>
      <c r="L239" s="1">
        <v>0</v>
      </c>
      <c r="M239" s="1">
        <v>0</v>
      </c>
      <c r="N239" s="1" t="s">
        <v>166</v>
      </c>
      <c r="O239" s="1">
        <v>1.36933715</v>
      </c>
      <c r="P239" s="1">
        <v>0.17</v>
      </c>
      <c r="Q239" s="83">
        <v>18565.404473250001</v>
      </c>
      <c r="R239" s="83">
        <v>18565.404473250001</v>
      </c>
      <c r="S239" s="1">
        <v>18565.404473250001</v>
      </c>
      <c r="T239" s="83">
        <v>0</v>
      </c>
      <c r="U239" s="1" t="s">
        <v>122</v>
      </c>
      <c r="V239" s="1" t="s">
        <v>852</v>
      </c>
      <c r="W239" s="1">
        <v>3949.1976460300002</v>
      </c>
      <c r="X239" s="1"/>
      <c r="Y239" s="83" t="str">
        <f>VLOOKUP(LossTable[[#This Row],[Department]],$A$15:$B$40,2,FALSE)</f>
        <v>Dublin</v>
      </c>
      <c r="AA239" s="98"/>
      <c r="AB239" s="98"/>
      <c r="AC239" s="98"/>
    </row>
    <row r="240" spans="4:29" ht="14.45" customHeight="1" x14ac:dyDescent="0.25">
      <c r="D240" s="78">
        <v>420177</v>
      </c>
      <c r="E240" s="78">
        <v>280014790</v>
      </c>
      <c r="F240" s="83" t="s">
        <v>94</v>
      </c>
      <c r="G240" s="1" t="s">
        <v>170</v>
      </c>
      <c r="H240" s="1" t="s">
        <v>16</v>
      </c>
      <c r="I240" s="1" t="s">
        <v>299</v>
      </c>
      <c r="J240" s="1">
        <v>1162775.0745000001</v>
      </c>
      <c r="K240" s="1">
        <v>25839446.100000001</v>
      </c>
      <c r="L240" s="1">
        <v>0</v>
      </c>
      <c r="M240" s="1">
        <v>0</v>
      </c>
      <c r="N240" s="1" t="s">
        <v>300</v>
      </c>
      <c r="O240" s="1">
        <v>0.25999266999999998</v>
      </c>
      <c r="P240" s="1">
        <v>4.4999999999999998E-2</v>
      </c>
      <c r="Q240" s="83">
        <v>297.27809999999999</v>
      </c>
      <c r="R240" s="83">
        <v>297.27809999999999</v>
      </c>
      <c r="S240" s="1">
        <v>297.27809999999999</v>
      </c>
      <c r="T240" s="83">
        <v>0</v>
      </c>
      <c r="U240" s="1" t="s">
        <v>122</v>
      </c>
      <c r="V240" s="1" t="s">
        <v>836</v>
      </c>
      <c r="W240" s="1">
        <v>4781.60363426</v>
      </c>
      <c r="X240" s="1"/>
      <c r="Y240" s="83" t="str">
        <f>VLOOKUP(LossTable[[#This Row],[Department]],$A$15:$B$40,2,FALSE)</f>
        <v>TP</v>
      </c>
      <c r="AA240" s="98"/>
      <c r="AB240" s="98"/>
      <c r="AC240" s="98"/>
    </row>
    <row r="241" spans="4:29" ht="14.45" customHeight="1" x14ac:dyDescent="0.25">
      <c r="D241" s="78">
        <v>329065</v>
      </c>
      <c r="E241" s="78">
        <v>280066590</v>
      </c>
      <c r="F241" s="83" t="s">
        <v>149</v>
      </c>
      <c r="G241" s="1" t="s">
        <v>225</v>
      </c>
      <c r="H241" s="1" t="s">
        <v>14</v>
      </c>
      <c r="I241" s="1" t="s">
        <v>64</v>
      </c>
      <c r="J241" s="1">
        <v>202012148.33000001</v>
      </c>
      <c r="K241" s="1">
        <v>202012148.33000001</v>
      </c>
      <c r="L241" s="1">
        <v>0</v>
      </c>
      <c r="M241" s="1">
        <v>0</v>
      </c>
      <c r="N241" s="1" t="s">
        <v>14</v>
      </c>
      <c r="O241" s="1">
        <v>3.9601579999999997E-2</v>
      </c>
      <c r="P241" s="1">
        <v>1</v>
      </c>
      <c r="Q241" s="83">
        <v>2455.92</v>
      </c>
      <c r="R241" s="83">
        <v>2455.92</v>
      </c>
      <c r="S241" s="1">
        <v>2455.92</v>
      </c>
      <c r="T241" s="83">
        <v>0</v>
      </c>
      <c r="U241" s="1" t="s">
        <v>122</v>
      </c>
      <c r="V241" s="1" t="s">
        <v>837</v>
      </c>
      <c r="W241" s="1">
        <v>3280.0940773799998</v>
      </c>
      <c r="X241" s="1"/>
      <c r="Y241" s="83" t="str">
        <f>VLOOKUP(LossTable[[#This Row],[Department]],$A$15:$B$40,2,FALSE)</f>
        <v>Insurance</v>
      </c>
      <c r="AA241" s="98"/>
      <c r="AB241" s="98"/>
      <c r="AC241" s="98"/>
    </row>
    <row r="242" spans="4:29" ht="14.45" customHeight="1" x14ac:dyDescent="0.25">
      <c r="D242" s="78">
        <v>481420</v>
      </c>
      <c r="E242" s="78">
        <v>280014790</v>
      </c>
      <c r="F242" s="83" t="s">
        <v>94</v>
      </c>
      <c r="G242" s="1" t="s">
        <v>731</v>
      </c>
      <c r="H242" s="1" t="s">
        <v>14</v>
      </c>
      <c r="I242" s="1" t="s">
        <v>732</v>
      </c>
      <c r="J242" s="1">
        <v>2063250</v>
      </c>
      <c r="K242" s="1">
        <v>91700000</v>
      </c>
      <c r="L242" s="1">
        <v>0</v>
      </c>
      <c r="M242" s="1">
        <v>0</v>
      </c>
      <c r="N242" s="1" t="s">
        <v>733</v>
      </c>
      <c r="O242" s="1">
        <v>0.63980720000000002</v>
      </c>
      <c r="P242" s="1">
        <v>2.2499999999999999E-2</v>
      </c>
      <c r="Q242" s="83">
        <v>4577.1018750000003</v>
      </c>
      <c r="R242" s="83">
        <v>4577.1018750000003</v>
      </c>
      <c r="S242" s="1">
        <v>4577.1018750000003</v>
      </c>
      <c r="T242" s="83">
        <v>0</v>
      </c>
      <c r="U242" s="1" t="s">
        <v>122</v>
      </c>
      <c r="V242" s="1" t="s">
        <v>836</v>
      </c>
      <c r="W242" s="1">
        <v>4781.60363426</v>
      </c>
      <c r="X242" s="1"/>
      <c r="Y242" s="83" t="str">
        <f>VLOOKUP(LossTable[[#This Row],[Department]],$A$15:$B$40,2,FALSE)</f>
        <v>TP</v>
      </c>
      <c r="AA242" s="98"/>
      <c r="AB242" s="98"/>
      <c r="AC242" s="98"/>
    </row>
    <row r="243" spans="4:29" ht="14.45" customHeight="1" x14ac:dyDescent="0.25">
      <c r="D243" s="78">
        <v>464876</v>
      </c>
      <c r="E243" s="78">
        <v>280037801</v>
      </c>
      <c r="F243" s="83" t="s">
        <v>92</v>
      </c>
      <c r="G243" s="1" t="s">
        <v>621</v>
      </c>
      <c r="H243" s="1" t="s">
        <v>14</v>
      </c>
      <c r="I243" s="1" t="s">
        <v>622</v>
      </c>
      <c r="J243" s="1">
        <v>2500000</v>
      </c>
      <c r="K243" s="1">
        <v>50000000</v>
      </c>
      <c r="L243" s="1">
        <v>0</v>
      </c>
      <c r="M243" s="1">
        <v>0</v>
      </c>
      <c r="N243" s="1" t="s">
        <v>166</v>
      </c>
      <c r="O243" s="1">
        <v>0.19800000000000001</v>
      </c>
      <c r="P243" s="1">
        <v>0.05</v>
      </c>
      <c r="Q243" s="83">
        <v>143.196</v>
      </c>
      <c r="R243" s="83">
        <v>143.196</v>
      </c>
      <c r="S243" s="1">
        <v>143.196</v>
      </c>
      <c r="T243" s="83">
        <v>0</v>
      </c>
      <c r="U243" s="1" t="s">
        <v>122</v>
      </c>
      <c r="V243" s="1" t="s">
        <v>852</v>
      </c>
      <c r="W243" s="1">
        <v>3949.1976460300002</v>
      </c>
      <c r="X243" s="1"/>
      <c r="Y243" s="83" t="str">
        <f>VLOOKUP(LossTable[[#This Row],[Department]],$A$15:$B$40,2,FALSE)</f>
        <v>FP</v>
      </c>
      <c r="AA243" s="98"/>
      <c r="AB243" s="98"/>
      <c r="AC243" s="98"/>
    </row>
    <row r="244" spans="4:29" ht="14.45" customHeight="1" x14ac:dyDescent="0.25">
      <c r="D244" s="78">
        <v>446803</v>
      </c>
      <c r="E244" s="78">
        <v>280014790</v>
      </c>
      <c r="F244" s="83" t="s">
        <v>94</v>
      </c>
      <c r="G244" s="1" t="s">
        <v>448</v>
      </c>
      <c r="H244" s="1" t="s">
        <v>16</v>
      </c>
      <c r="I244" s="1" t="s">
        <v>513</v>
      </c>
      <c r="J244" s="1">
        <v>1875000</v>
      </c>
      <c r="K244" s="1">
        <v>75000000</v>
      </c>
      <c r="L244" s="1">
        <v>0</v>
      </c>
      <c r="M244" s="1">
        <v>0</v>
      </c>
      <c r="N244" s="1" t="s">
        <v>514</v>
      </c>
      <c r="O244" s="1">
        <v>0.22000162000000001</v>
      </c>
      <c r="P244" s="1">
        <v>2.5000000000000001E-2</v>
      </c>
      <c r="Q244" s="83">
        <v>13508.696749999999</v>
      </c>
      <c r="R244" s="83">
        <v>13508.696749999999</v>
      </c>
      <c r="S244" s="1">
        <v>13508.696749999999</v>
      </c>
      <c r="T244" s="83">
        <v>0</v>
      </c>
      <c r="U244" s="1" t="s">
        <v>122</v>
      </c>
      <c r="V244" s="1" t="s">
        <v>836</v>
      </c>
      <c r="W244" s="1">
        <v>4781.60363426</v>
      </c>
      <c r="X244" s="1"/>
      <c r="Y244" s="83" t="str">
        <f>VLOOKUP(LossTable[[#This Row],[Department]],$A$15:$B$40,2,FALSE)</f>
        <v>TP</v>
      </c>
      <c r="AA244" s="98"/>
      <c r="AB244" s="98"/>
      <c r="AC244" s="98"/>
    </row>
    <row r="245" spans="4:29" ht="14.45" customHeight="1" x14ac:dyDescent="0.25">
      <c r="D245" s="78">
        <v>436002</v>
      </c>
      <c r="E245" s="78">
        <v>280037801</v>
      </c>
      <c r="F245" s="83" t="s">
        <v>94</v>
      </c>
      <c r="G245" s="1" t="s">
        <v>174</v>
      </c>
      <c r="H245" s="1" t="s">
        <v>14</v>
      </c>
      <c r="I245" s="1" t="s">
        <v>175</v>
      </c>
      <c r="J245" s="1">
        <v>2500000</v>
      </c>
      <c r="K245" s="1">
        <v>250000000</v>
      </c>
      <c r="L245" s="1">
        <v>0</v>
      </c>
      <c r="M245" s="1">
        <v>0</v>
      </c>
      <c r="N245" s="1" t="s">
        <v>150</v>
      </c>
      <c r="O245" s="1">
        <v>1.49105895</v>
      </c>
      <c r="P245" s="1">
        <v>0.01</v>
      </c>
      <c r="Q245" s="83">
        <v>22064.229599999999</v>
      </c>
      <c r="R245" s="83">
        <v>22064.229599999999</v>
      </c>
      <c r="S245" s="1">
        <v>22064.229599999999</v>
      </c>
      <c r="T245" s="83">
        <v>0</v>
      </c>
      <c r="U245" s="1" t="s">
        <v>122</v>
      </c>
      <c r="V245" s="1" t="s">
        <v>852</v>
      </c>
      <c r="W245" s="1">
        <v>3949.1976460300002</v>
      </c>
      <c r="X245" s="1"/>
      <c r="Y245" s="83" t="str">
        <f>VLOOKUP(LossTable[[#This Row],[Department]],$A$15:$B$40,2,FALSE)</f>
        <v>TP</v>
      </c>
      <c r="AA245" s="98"/>
      <c r="AB245" s="98"/>
      <c r="AC245" s="98"/>
    </row>
    <row r="246" spans="4:29" ht="14.45" customHeight="1" x14ac:dyDescent="0.25">
      <c r="D246" s="78">
        <v>458895</v>
      </c>
      <c r="E246" s="78">
        <v>280037801</v>
      </c>
      <c r="F246" s="83" t="s">
        <v>15</v>
      </c>
      <c r="G246" s="1" t="s">
        <v>530</v>
      </c>
      <c r="H246" s="1" t="s">
        <v>14</v>
      </c>
      <c r="I246" s="1" t="s">
        <v>531</v>
      </c>
      <c r="J246" s="1">
        <v>17215620.1601028</v>
      </c>
      <c r="K246" s="1">
        <v>127523112.297058</v>
      </c>
      <c r="L246" s="1">
        <v>0</v>
      </c>
      <c r="M246" s="1">
        <v>0</v>
      </c>
      <c r="N246" s="1" t="s">
        <v>532</v>
      </c>
      <c r="O246" s="1">
        <v>0.66285713999999996</v>
      </c>
      <c r="P246" s="1">
        <v>0.13500000000000001</v>
      </c>
      <c r="Q246" s="83">
        <v>7498.6765356100004</v>
      </c>
      <c r="R246" s="83">
        <v>7498.6765356100004</v>
      </c>
      <c r="S246" s="1">
        <v>7498.6765356100004</v>
      </c>
      <c r="T246" s="83">
        <v>0</v>
      </c>
      <c r="U246" s="1" t="s">
        <v>122</v>
      </c>
      <c r="V246" s="1" t="s">
        <v>852</v>
      </c>
      <c r="W246" s="1">
        <v>3949.1976460300002</v>
      </c>
      <c r="X246" s="1"/>
      <c r="Y246" s="83" t="str">
        <f>VLOOKUP(LossTable[[#This Row],[Department]],$A$15:$B$40,2,FALSE)</f>
        <v>Canada</v>
      </c>
      <c r="AA246" s="98"/>
      <c r="AB246" s="98"/>
      <c r="AC246" s="98"/>
    </row>
    <row r="247" spans="4:29" ht="14.45" customHeight="1" x14ac:dyDescent="0.25">
      <c r="D247" s="78">
        <v>473122</v>
      </c>
      <c r="E247" s="78">
        <v>280014790</v>
      </c>
      <c r="F247" s="83" t="s">
        <v>94</v>
      </c>
      <c r="G247" s="1" t="s">
        <v>761</v>
      </c>
      <c r="H247" s="1" t="s">
        <v>16</v>
      </c>
      <c r="I247" s="1" t="s">
        <v>762</v>
      </c>
      <c r="J247" s="1">
        <v>2000000</v>
      </c>
      <c r="K247" s="1">
        <v>10000000</v>
      </c>
      <c r="L247" s="1">
        <v>0</v>
      </c>
      <c r="M247" s="1">
        <v>0</v>
      </c>
      <c r="N247" s="1" t="s">
        <v>122</v>
      </c>
      <c r="O247" s="1">
        <v>0.32</v>
      </c>
      <c r="P247" s="1">
        <v>0.2</v>
      </c>
      <c r="Q247" s="83">
        <v>4.1020000000000003</v>
      </c>
      <c r="R247" s="83">
        <v>4.1020000000000003</v>
      </c>
      <c r="S247" s="1">
        <v>4.1020000000000003</v>
      </c>
      <c r="T247" s="83">
        <v>0</v>
      </c>
      <c r="U247" s="1" t="s">
        <v>122</v>
      </c>
      <c r="V247" s="1" t="s">
        <v>836</v>
      </c>
      <c r="W247" s="1">
        <v>4781.60363426</v>
      </c>
      <c r="X247" s="1"/>
      <c r="Y247" s="83" t="str">
        <f>VLOOKUP(LossTable[[#This Row],[Department]],$A$15:$B$40,2,FALSE)</f>
        <v>TP</v>
      </c>
      <c r="AA247" s="98"/>
      <c r="AB247" s="98"/>
      <c r="AC247" s="98"/>
    </row>
    <row r="248" spans="4:29" ht="14.45" customHeight="1" x14ac:dyDescent="0.25">
      <c r="D248" s="78">
        <v>445987</v>
      </c>
      <c r="E248" s="78">
        <v>280066590</v>
      </c>
      <c r="F248" s="83" t="s">
        <v>94</v>
      </c>
      <c r="G248" s="1" t="s">
        <v>491</v>
      </c>
      <c r="H248" s="1" t="s">
        <v>16</v>
      </c>
      <c r="I248" s="1" t="s">
        <v>499</v>
      </c>
      <c r="J248" s="1">
        <v>829182.49450000003</v>
      </c>
      <c r="K248" s="1">
        <v>16583649.890000001</v>
      </c>
      <c r="L248" s="1">
        <v>0</v>
      </c>
      <c r="M248" s="1">
        <v>0</v>
      </c>
      <c r="N248" s="1" t="s">
        <v>360</v>
      </c>
      <c r="O248" s="1">
        <v>8.4101389999999998E-2</v>
      </c>
      <c r="P248" s="1">
        <v>0.05</v>
      </c>
      <c r="Q248" s="83">
        <v>906.57500000000005</v>
      </c>
      <c r="R248" s="83">
        <v>906.57500000000005</v>
      </c>
      <c r="S248" s="1">
        <v>906.57500000000005</v>
      </c>
      <c r="T248" s="83">
        <v>0</v>
      </c>
      <c r="U248" s="1" t="s">
        <v>122</v>
      </c>
      <c r="V248" s="1" t="s">
        <v>837</v>
      </c>
      <c r="W248" s="1">
        <v>3280.0940773799998</v>
      </c>
      <c r="X248" s="1"/>
      <c r="Y248" s="83" t="str">
        <f>VLOOKUP(LossTable[[#This Row],[Department]],$A$15:$B$40,2,FALSE)</f>
        <v>TP</v>
      </c>
      <c r="AA248" s="98"/>
      <c r="AB248" s="98"/>
      <c r="AC248" s="98"/>
    </row>
    <row r="249" spans="4:29" ht="14.45" customHeight="1" x14ac:dyDescent="0.25">
      <c r="D249" s="78">
        <v>422349</v>
      </c>
      <c r="E249" s="78">
        <v>280037801</v>
      </c>
      <c r="F249" s="83" t="s">
        <v>94</v>
      </c>
      <c r="G249" s="1" t="s">
        <v>275</v>
      </c>
      <c r="H249" s="1" t="s">
        <v>16</v>
      </c>
      <c r="I249" s="1" t="s">
        <v>276</v>
      </c>
      <c r="J249" s="1">
        <v>800000</v>
      </c>
      <c r="K249" s="1">
        <v>40000000</v>
      </c>
      <c r="L249" s="1">
        <v>0</v>
      </c>
      <c r="M249" s="1">
        <v>0</v>
      </c>
      <c r="N249" s="1" t="s">
        <v>277</v>
      </c>
      <c r="O249" s="1">
        <v>0.1125</v>
      </c>
      <c r="P249" s="1">
        <v>0.02</v>
      </c>
      <c r="Q249" s="83">
        <v>592.92960000000005</v>
      </c>
      <c r="R249" s="83">
        <v>592.92960000000005</v>
      </c>
      <c r="S249" s="1">
        <v>592.92960000000005</v>
      </c>
      <c r="T249" s="83">
        <v>0</v>
      </c>
      <c r="U249" s="1" t="s">
        <v>122</v>
      </c>
      <c r="V249" s="1" t="s">
        <v>852</v>
      </c>
      <c r="W249" s="1">
        <v>3949.1976460300002</v>
      </c>
      <c r="X249" s="1"/>
      <c r="Y249" s="83" t="str">
        <f>VLOOKUP(LossTable[[#This Row],[Department]],$A$15:$B$40,2,FALSE)</f>
        <v>TP</v>
      </c>
      <c r="AA249" s="98"/>
      <c r="AB249" s="98"/>
      <c r="AC249" s="98"/>
    </row>
    <row r="250" spans="4:29" ht="14.45" customHeight="1" x14ac:dyDescent="0.25">
      <c r="D250" s="78">
        <v>458368</v>
      </c>
      <c r="E250" s="78">
        <v>280066590</v>
      </c>
      <c r="F250" s="83" t="s">
        <v>21</v>
      </c>
      <c r="G250" s="1" t="s">
        <v>523</v>
      </c>
      <c r="H250" s="1" t="s">
        <v>14</v>
      </c>
      <c r="I250" s="1" t="s">
        <v>524</v>
      </c>
      <c r="J250" s="1">
        <v>5775000</v>
      </c>
      <c r="K250" s="1">
        <v>150000000</v>
      </c>
      <c r="L250" s="1">
        <v>0</v>
      </c>
      <c r="M250" s="1">
        <v>0</v>
      </c>
      <c r="N250" s="1" t="s">
        <v>161</v>
      </c>
      <c r="O250" s="1">
        <v>4.1666666699999997</v>
      </c>
      <c r="P250" s="1">
        <v>3.85E-2</v>
      </c>
      <c r="Q250" s="83">
        <v>35391.244735</v>
      </c>
      <c r="R250" s="83">
        <v>35391.244735</v>
      </c>
      <c r="S250" s="1">
        <v>35391.244735</v>
      </c>
      <c r="T250" s="83">
        <v>0</v>
      </c>
      <c r="U250" s="1" t="s">
        <v>122</v>
      </c>
      <c r="V250" s="1" t="s">
        <v>837</v>
      </c>
      <c r="W250" s="1">
        <v>3280.0940773799998</v>
      </c>
      <c r="X250" s="1"/>
      <c r="Y250" s="83" t="str">
        <f>VLOOKUP(LossTable[[#This Row],[Department]],$A$15:$B$40,2,FALSE)</f>
        <v>London</v>
      </c>
      <c r="AA250" s="98"/>
      <c r="AB250" s="98"/>
      <c r="AC250" s="98"/>
    </row>
    <row r="251" spans="4:29" ht="14.45" customHeight="1" x14ac:dyDescent="0.25">
      <c r="D251" s="78">
        <v>146</v>
      </c>
      <c r="E251" s="78">
        <v>280037801</v>
      </c>
      <c r="F251" s="83" t="s">
        <v>45</v>
      </c>
      <c r="G251" s="1" t="s">
        <v>46</v>
      </c>
      <c r="H251" s="1" t="s">
        <v>16</v>
      </c>
      <c r="I251" s="1" t="s">
        <v>46</v>
      </c>
      <c r="J251" s="1">
        <v>1299970306</v>
      </c>
      <c r="K251" s="1">
        <v>0</v>
      </c>
      <c r="L251" s="1">
        <v>0</v>
      </c>
      <c r="M251" s="1">
        <v>0</v>
      </c>
      <c r="N251" s="1" t="s">
        <v>44</v>
      </c>
      <c r="O251" s="1">
        <v>0</v>
      </c>
      <c r="P251" s="1">
        <v>1</v>
      </c>
      <c r="Q251" s="83">
        <v>98715.492524000001</v>
      </c>
      <c r="R251" s="83">
        <v>98715.492524000001</v>
      </c>
      <c r="S251" s="1">
        <v>98715.492524000001</v>
      </c>
      <c r="T251" s="83">
        <v>0</v>
      </c>
      <c r="U251" s="1" t="s">
        <v>122</v>
      </c>
      <c r="V251" s="1" t="s">
        <v>852</v>
      </c>
      <c r="W251" s="1">
        <v>3949.1976460300002</v>
      </c>
      <c r="X251" s="1"/>
      <c r="Y251" s="83" t="str">
        <f>VLOOKUP(LossTable[[#This Row],[Department]],$A$15:$B$40,2,FALSE)</f>
        <v>FP</v>
      </c>
      <c r="AA251" s="98"/>
      <c r="AB251" s="98"/>
      <c r="AC251" s="98"/>
    </row>
    <row r="252" spans="4:29" ht="14.45" customHeight="1" x14ac:dyDescent="0.25">
      <c r="D252" s="78">
        <v>445986</v>
      </c>
      <c r="E252" s="78">
        <v>280037801</v>
      </c>
      <c r="F252" s="83" t="s">
        <v>94</v>
      </c>
      <c r="G252" s="1" t="s">
        <v>491</v>
      </c>
      <c r="H252" s="1" t="s">
        <v>16</v>
      </c>
      <c r="I252" s="1" t="s">
        <v>492</v>
      </c>
      <c r="J252" s="1">
        <v>594927.44550000003</v>
      </c>
      <c r="K252" s="1">
        <v>11898548.91</v>
      </c>
      <c r="L252" s="1">
        <v>0</v>
      </c>
      <c r="M252" s="1">
        <v>0</v>
      </c>
      <c r="N252" s="1" t="s">
        <v>493</v>
      </c>
      <c r="O252" s="1">
        <v>0.49920335999999998</v>
      </c>
      <c r="P252" s="1">
        <v>0.05</v>
      </c>
      <c r="Q252" s="83">
        <v>5186.3879999999999</v>
      </c>
      <c r="R252" s="83">
        <v>5186.3879999999999</v>
      </c>
      <c r="S252" s="1">
        <v>5186.3879999999999</v>
      </c>
      <c r="T252" s="83">
        <v>0</v>
      </c>
      <c r="U252" s="1" t="s">
        <v>122</v>
      </c>
      <c r="V252" s="1" t="s">
        <v>852</v>
      </c>
      <c r="W252" s="1">
        <v>3949.1976460300002</v>
      </c>
      <c r="X252" s="1"/>
      <c r="Y252" s="83" t="str">
        <f>VLOOKUP(LossTable[[#This Row],[Department]],$A$15:$B$40,2,FALSE)</f>
        <v>TP</v>
      </c>
      <c r="AA252" s="98"/>
      <c r="AB252" s="98"/>
      <c r="AC252" s="98"/>
    </row>
    <row r="253" spans="4:29" ht="14.45" customHeight="1" x14ac:dyDescent="0.25">
      <c r="D253" s="78">
        <v>435996</v>
      </c>
      <c r="E253" s="78">
        <v>280066590</v>
      </c>
      <c r="F253" s="83" t="s">
        <v>94</v>
      </c>
      <c r="G253" s="1" t="s">
        <v>174</v>
      </c>
      <c r="H253" s="1" t="s">
        <v>14</v>
      </c>
      <c r="I253" s="1" t="s">
        <v>421</v>
      </c>
      <c r="J253" s="1">
        <v>7312500</v>
      </c>
      <c r="K253" s="1">
        <v>975000000</v>
      </c>
      <c r="L253" s="1">
        <v>0</v>
      </c>
      <c r="M253" s="1">
        <v>0</v>
      </c>
      <c r="N253" s="1" t="s">
        <v>422</v>
      </c>
      <c r="O253" s="1">
        <v>1.48010011</v>
      </c>
      <c r="P253" s="1">
        <v>7.4999999999999997E-3</v>
      </c>
      <c r="Q253" s="83">
        <v>72453.662624999997</v>
      </c>
      <c r="R253" s="83">
        <v>72453.662624999997</v>
      </c>
      <c r="S253" s="1">
        <v>72453.662624999997</v>
      </c>
      <c r="T253" s="83">
        <v>0</v>
      </c>
      <c r="U253" s="1" t="s">
        <v>122</v>
      </c>
      <c r="V253" s="1" t="s">
        <v>837</v>
      </c>
      <c r="W253" s="1">
        <v>3280.0940773799998</v>
      </c>
      <c r="X253" s="1"/>
      <c r="Y253" s="83" t="str">
        <f>VLOOKUP(LossTable[[#This Row],[Department]],$A$15:$B$40,2,FALSE)</f>
        <v>TP</v>
      </c>
      <c r="AA253" s="98"/>
      <c r="AB253" s="98"/>
      <c r="AC253" s="98"/>
    </row>
    <row r="254" spans="4:29" ht="14.45" customHeight="1" x14ac:dyDescent="0.25">
      <c r="D254" s="78">
        <v>473915</v>
      </c>
      <c r="E254" s="78">
        <v>280014790</v>
      </c>
      <c r="F254" s="83" t="s">
        <v>95</v>
      </c>
      <c r="G254" s="1" t="s">
        <v>679</v>
      </c>
      <c r="H254" s="1" t="s">
        <v>14</v>
      </c>
      <c r="I254" s="1" t="s">
        <v>680</v>
      </c>
      <c r="J254" s="1">
        <v>12334580.540657099</v>
      </c>
      <c r="K254" s="1">
        <v>411152684.688568</v>
      </c>
      <c r="L254" s="1">
        <v>0</v>
      </c>
      <c r="M254" s="1">
        <v>0</v>
      </c>
      <c r="N254" s="1" t="s">
        <v>160</v>
      </c>
      <c r="O254" s="1">
        <v>0.74285714000000003</v>
      </c>
      <c r="P254" s="1">
        <v>0.03</v>
      </c>
      <c r="Q254" s="83">
        <v>8646.6600758000004</v>
      </c>
      <c r="R254" s="83">
        <v>8646.6600758000004</v>
      </c>
      <c r="S254" s="1">
        <v>8646.6600758000004</v>
      </c>
      <c r="T254" s="83">
        <v>0</v>
      </c>
      <c r="U254" s="1" t="s">
        <v>122</v>
      </c>
      <c r="V254" s="1" t="s">
        <v>836</v>
      </c>
      <c r="W254" s="1">
        <v>4781.60363426</v>
      </c>
      <c r="X254" s="1"/>
      <c r="Y254" s="83" t="str">
        <f>VLOOKUP(LossTable[[#This Row],[Department]],$A$15:$B$40,2,FALSE)</f>
        <v>Dublin</v>
      </c>
      <c r="AA254" s="98"/>
      <c r="AB254" s="98"/>
      <c r="AC254" s="98"/>
    </row>
    <row r="255" spans="4:29" ht="14.45" customHeight="1" x14ac:dyDescent="0.25">
      <c r="D255" s="78">
        <v>358590</v>
      </c>
      <c r="E255" s="78">
        <v>280014790</v>
      </c>
      <c r="F255" s="83" t="s">
        <v>127</v>
      </c>
      <c r="G255" s="1" t="s">
        <v>258</v>
      </c>
      <c r="H255" s="1" t="s">
        <v>14</v>
      </c>
      <c r="I255" s="1" t="s">
        <v>259</v>
      </c>
      <c r="J255" s="1">
        <v>45172943.490000002</v>
      </c>
      <c r="K255" s="1">
        <v>45172943.490000002</v>
      </c>
      <c r="L255" s="1">
        <v>0</v>
      </c>
      <c r="M255" s="1">
        <v>0</v>
      </c>
      <c r="N255" s="1" t="s">
        <v>14</v>
      </c>
      <c r="O255" s="1">
        <v>1.77097E-3</v>
      </c>
      <c r="P255" s="1">
        <v>1</v>
      </c>
      <c r="Q255" s="83">
        <v>1884.28</v>
      </c>
      <c r="R255" s="83">
        <v>1884.28</v>
      </c>
      <c r="S255" s="1">
        <v>1884.28</v>
      </c>
      <c r="T255" s="83">
        <v>0</v>
      </c>
      <c r="U255" s="1" t="s">
        <v>122</v>
      </c>
      <c r="V255" s="1" t="s">
        <v>836</v>
      </c>
      <c r="W255" s="1">
        <v>4781.60363426</v>
      </c>
      <c r="X255" s="1"/>
      <c r="Y255" s="83" t="str">
        <f>VLOOKUP(LossTable[[#This Row],[Department]],$A$15:$B$40,2,FALSE)</f>
        <v>Insurance</v>
      </c>
      <c r="AA255" s="98"/>
      <c r="AB255" s="98"/>
      <c r="AC255" s="98"/>
    </row>
    <row r="256" spans="4:29" ht="14.45" customHeight="1" x14ac:dyDescent="0.25">
      <c r="D256" s="78">
        <v>483530</v>
      </c>
      <c r="E256" s="78">
        <v>280037801</v>
      </c>
      <c r="F256" s="83" t="s">
        <v>94</v>
      </c>
      <c r="G256" s="1" t="s">
        <v>726</v>
      </c>
      <c r="H256" s="1" t="s">
        <v>14</v>
      </c>
      <c r="I256" s="1" t="s">
        <v>727</v>
      </c>
      <c r="J256" s="1">
        <v>99996000</v>
      </c>
      <c r="K256" s="1">
        <v>1950000000</v>
      </c>
      <c r="L256" s="1">
        <v>0</v>
      </c>
      <c r="M256" s="1">
        <v>0</v>
      </c>
      <c r="N256" s="1" t="s">
        <v>122</v>
      </c>
      <c r="O256" s="1">
        <v>0.12830200999999999</v>
      </c>
      <c r="P256" s="1">
        <v>5.1279999999999999E-2</v>
      </c>
      <c r="Q256" s="83">
        <v>38316.4636904</v>
      </c>
      <c r="R256" s="83">
        <v>38316.4636904</v>
      </c>
      <c r="S256" s="1">
        <v>38316.4636904</v>
      </c>
      <c r="T256" s="83">
        <v>0</v>
      </c>
      <c r="U256" s="1" t="s">
        <v>122</v>
      </c>
      <c r="V256" s="1" t="s">
        <v>852</v>
      </c>
      <c r="W256" s="1">
        <v>3949.1976460300002</v>
      </c>
      <c r="X256" s="1"/>
      <c r="Y256" s="83" t="str">
        <f>VLOOKUP(LossTable[[#This Row],[Department]],$A$15:$B$40,2,FALSE)</f>
        <v>TP</v>
      </c>
      <c r="AA256" s="98"/>
      <c r="AB256" s="98"/>
      <c r="AC256" s="98"/>
    </row>
    <row r="257" spans="4:29" ht="14.45" customHeight="1" x14ac:dyDescent="0.25">
      <c r="D257" s="78">
        <v>326823</v>
      </c>
      <c r="E257" s="78">
        <v>280066590</v>
      </c>
      <c r="F257" s="83" t="s">
        <v>130</v>
      </c>
      <c r="G257" s="1" t="s">
        <v>252</v>
      </c>
      <c r="H257" s="1" t="s">
        <v>16</v>
      </c>
      <c r="I257" s="1" t="s">
        <v>253</v>
      </c>
      <c r="J257" s="1">
        <v>-2092219.9</v>
      </c>
      <c r="K257" s="1">
        <v>-2092219.9</v>
      </c>
      <c r="L257" s="1">
        <v>0</v>
      </c>
      <c r="M257" s="1">
        <v>0</v>
      </c>
      <c r="N257" s="1" t="s">
        <v>254</v>
      </c>
      <c r="O257" s="1">
        <v>0</v>
      </c>
      <c r="P257" s="1">
        <v>1</v>
      </c>
      <c r="Q257" s="83">
        <v>0</v>
      </c>
      <c r="R257" s="83">
        <v>0</v>
      </c>
      <c r="S257" s="1">
        <v>-583.5</v>
      </c>
      <c r="T257" s="83">
        <v>0</v>
      </c>
      <c r="U257" s="1" t="s">
        <v>122</v>
      </c>
      <c r="V257" s="1" t="s">
        <v>837</v>
      </c>
      <c r="W257" s="1">
        <v>3280.0940773799998</v>
      </c>
      <c r="X257" s="1"/>
      <c r="Y257" s="83" t="str">
        <f>VLOOKUP(LossTable[[#This Row],[Department]],$A$15:$B$40,2,FALSE)</f>
        <v>Insurance</v>
      </c>
      <c r="AA257" s="98"/>
      <c r="AB257" s="98"/>
      <c r="AC257" s="98"/>
    </row>
    <row r="258" spans="4:29" ht="14.45" customHeight="1" x14ac:dyDescent="0.25">
      <c r="D258" s="78">
        <v>483561</v>
      </c>
      <c r="E258" s="78">
        <v>280014790</v>
      </c>
      <c r="F258" s="83" t="s">
        <v>45</v>
      </c>
      <c r="G258" s="1" t="s">
        <v>772</v>
      </c>
      <c r="H258" s="1" t="s">
        <v>16</v>
      </c>
      <c r="I258" s="1" t="s">
        <v>773</v>
      </c>
      <c r="J258" s="1">
        <v>2250000</v>
      </c>
      <c r="K258" s="1">
        <v>30000000</v>
      </c>
      <c r="L258" s="1">
        <v>0</v>
      </c>
      <c r="M258" s="1">
        <v>0</v>
      </c>
      <c r="N258" s="1" t="s">
        <v>376</v>
      </c>
      <c r="O258" s="1">
        <v>1.43333333</v>
      </c>
      <c r="P258" s="1">
        <v>7.4999999999999997E-2</v>
      </c>
      <c r="Q258" s="83">
        <v>978.25575000000003</v>
      </c>
      <c r="R258" s="83">
        <v>978.25575000000003</v>
      </c>
      <c r="S258" s="1">
        <v>978.25575000000003</v>
      </c>
      <c r="T258" s="83">
        <v>0</v>
      </c>
      <c r="U258" s="1" t="s">
        <v>122</v>
      </c>
      <c r="V258" s="1" t="s">
        <v>836</v>
      </c>
      <c r="W258" s="1">
        <v>4781.60363426</v>
      </c>
      <c r="X258" s="1"/>
      <c r="Y258" s="83" t="str">
        <f>VLOOKUP(LossTable[[#This Row],[Department]],$A$15:$B$40,2,FALSE)</f>
        <v>FP</v>
      </c>
      <c r="AA258" s="98"/>
      <c r="AB258" s="98"/>
      <c r="AC258" s="98"/>
    </row>
    <row r="259" spans="4:29" ht="14.45" customHeight="1" x14ac:dyDescent="0.25">
      <c r="D259" s="78">
        <v>474074</v>
      </c>
      <c r="E259" s="78">
        <v>280037801</v>
      </c>
      <c r="F259" s="83" t="s">
        <v>94</v>
      </c>
      <c r="G259" s="1" t="s">
        <v>648</v>
      </c>
      <c r="H259" s="1" t="s">
        <v>16</v>
      </c>
      <c r="I259" s="1" t="s">
        <v>657</v>
      </c>
      <c r="J259" s="1">
        <v>450000</v>
      </c>
      <c r="K259" s="1">
        <v>15000000</v>
      </c>
      <c r="L259" s="1">
        <v>0</v>
      </c>
      <c r="M259" s="1">
        <v>0</v>
      </c>
      <c r="N259" s="1" t="s">
        <v>122</v>
      </c>
      <c r="O259" s="1">
        <v>0.29333333</v>
      </c>
      <c r="P259" s="1">
        <v>0.03</v>
      </c>
      <c r="Q259" s="83">
        <v>148.77420000000001</v>
      </c>
      <c r="R259" s="83">
        <v>148.77420000000001</v>
      </c>
      <c r="S259" s="1">
        <v>148.77420000000001</v>
      </c>
      <c r="T259" s="83">
        <v>0</v>
      </c>
      <c r="U259" s="1" t="s">
        <v>122</v>
      </c>
      <c r="V259" s="1" t="s">
        <v>852</v>
      </c>
      <c r="W259" s="1">
        <v>3949.1976460300002</v>
      </c>
      <c r="X259" s="1"/>
      <c r="Y259" s="83" t="str">
        <f>VLOOKUP(LossTable[[#This Row],[Department]],$A$15:$B$40,2,FALSE)</f>
        <v>TP</v>
      </c>
      <c r="AA259" s="98"/>
      <c r="AB259" s="98"/>
      <c r="AC259" s="98"/>
    </row>
    <row r="260" spans="4:29" ht="14.45" customHeight="1" x14ac:dyDescent="0.25">
      <c r="D260" s="78">
        <v>348467</v>
      </c>
      <c r="E260" s="78">
        <v>280014790</v>
      </c>
      <c r="F260" s="83" t="s">
        <v>87</v>
      </c>
      <c r="G260" s="1" t="s">
        <v>260</v>
      </c>
      <c r="H260" s="1" t="s">
        <v>14</v>
      </c>
      <c r="I260" s="1" t="s">
        <v>261</v>
      </c>
      <c r="J260" s="1">
        <v>7972746.9500000002</v>
      </c>
      <c r="K260" s="1">
        <v>7972746.9500000002</v>
      </c>
      <c r="L260" s="1">
        <v>0</v>
      </c>
      <c r="M260" s="1">
        <v>0</v>
      </c>
      <c r="N260" s="1" t="s">
        <v>14</v>
      </c>
      <c r="O260" s="1">
        <v>6.2713640000000001E-2</v>
      </c>
      <c r="P260" s="1">
        <v>1</v>
      </c>
      <c r="Q260" s="83">
        <v>2779.38</v>
      </c>
      <c r="R260" s="83">
        <v>2779.38</v>
      </c>
      <c r="S260" s="1">
        <v>2779.38</v>
      </c>
      <c r="T260" s="83">
        <v>0</v>
      </c>
      <c r="U260" s="1" t="s">
        <v>122</v>
      </c>
      <c r="V260" s="1" t="s">
        <v>836</v>
      </c>
      <c r="W260" s="1">
        <v>4781.60363426</v>
      </c>
      <c r="X260" s="1"/>
      <c r="Y260" s="83" t="str">
        <f>VLOOKUP(LossTable[[#This Row],[Department]],$A$15:$B$40,2,FALSE)</f>
        <v>Insurance</v>
      </c>
      <c r="AA260" s="98"/>
      <c r="AB260" s="98"/>
      <c r="AC260" s="98"/>
    </row>
    <row r="261" spans="4:29" ht="14.45" customHeight="1" x14ac:dyDescent="0.25">
      <c r="D261" s="78">
        <v>484259</v>
      </c>
      <c r="E261" s="78">
        <v>280014790</v>
      </c>
      <c r="F261" s="83" t="s">
        <v>94</v>
      </c>
      <c r="G261" s="1" t="s">
        <v>686</v>
      </c>
      <c r="H261" s="1" t="s">
        <v>16</v>
      </c>
      <c r="I261" s="1" t="s">
        <v>736</v>
      </c>
      <c r="J261" s="1">
        <v>3000000</v>
      </c>
      <c r="K261" s="1">
        <v>75000000</v>
      </c>
      <c r="L261" s="1">
        <v>0</v>
      </c>
      <c r="M261" s="1">
        <v>0</v>
      </c>
      <c r="N261" s="1" t="s">
        <v>122</v>
      </c>
      <c r="O261" s="1">
        <v>2</v>
      </c>
      <c r="P261" s="1">
        <v>0.04</v>
      </c>
      <c r="Q261" s="83">
        <v>39719.184800000003</v>
      </c>
      <c r="R261" s="83">
        <v>39719.184800000003</v>
      </c>
      <c r="S261" s="1">
        <v>39719.184800000003</v>
      </c>
      <c r="T261" s="83">
        <v>0</v>
      </c>
      <c r="U261" s="1" t="s">
        <v>122</v>
      </c>
      <c r="V261" s="1" t="s">
        <v>836</v>
      </c>
      <c r="W261" s="1">
        <v>4781.60363426</v>
      </c>
      <c r="X261" s="1"/>
      <c r="Y261" s="83" t="str">
        <f>VLOOKUP(LossTable[[#This Row],[Department]],$A$15:$B$40,2,FALSE)</f>
        <v>TP</v>
      </c>
      <c r="AA261" s="98"/>
      <c r="AB261" s="98"/>
      <c r="AC261" s="98"/>
    </row>
    <row r="262" spans="4:29" ht="14.45" customHeight="1" x14ac:dyDescent="0.25">
      <c r="D262" s="78">
        <v>439199</v>
      </c>
      <c r="E262" s="78">
        <v>280066590</v>
      </c>
      <c r="F262" s="83" t="s">
        <v>94</v>
      </c>
      <c r="G262" s="1" t="s">
        <v>438</v>
      </c>
      <c r="H262" s="1" t="s">
        <v>16</v>
      </c>
      <c r="I262" s="1" t="s">
        <v>439</v>
      </c>
      <c r="J262" s="1">
        <v>500000</v>
      </c>
      <c r="K262" s="1">
        <v>10000000</v>
      </c>
      <c r="L262" s="1">
        <v>0</v>
      </c>
      <c r="M262" s="1">
        <v>0</v>
      </c>
      <c r="N262" s="1" t="s">
        <v>315</v>
      </c>
      <c r="O262" s="1">
        <v>0.40009453</v>
      </c>
      <c r="P262" s="1">
        <v>0.05</v>
      </c>
      <c r="Q262" s="83">
        <v>7295.3644999999997</v>
      </c>
      <c r="R262" s="83">
        <v>7295.3644999999997</v>
      </c>
      <c r="S262" s="1">
        <v>7295.3644999999997</v>
      </c>
      <c r="T262" s="83">
        <v>0</v>
      </c>
      <c r="U262" s="1" t="s">
        <v>122</v>
      </c>
      <c r="V262" s="1" t="s">
        <v>837</v>
      </c>
      <c r="W262" s="1">
        <v>3280.0940773799998</v>
      </c>
      <c r="X262" s="1"/>
      <c r="Y262" s="83" t="str">
        <f>VLOOKUP(LossTable[[#This Row],[Department]],$A$15:$B$40,2,FALSE)</f>
        <v>TP</v>
      </c>
      <c r="AA262" s="98"/>
      <c r="AB262" s="98"/>
      <c r="AC262" s="98"/>
    </row>
    <row r="263" spans="4:29" ht="14.45" customHeight="1" x14ac:dyDescent="0.25">
      <c r="D263" s="78">
        <v>447864</v>
      </c>
      <c r="E263" s="78">
        <v>280037801</v>
      </c>
      <c r="F263" s="83" t="s">
        <v>94</v>
      </c>
      <c r="G263" s="1" t="s">
        <v>489</v>
      </c>
      <c r="H263" s="1" t="s">
        <v>16</v>
      </c>
      <c r="I263" s="1" t="s">
        <v>529</v>
      </c>
      <c r="J263" s="1">
        <v>350000</v>
      </c>
      <c r="K263" s="1">
        <v>10000000</v>
      </c>
      <c r="L263" s="1">
        <v>0</v>
      </c>
      <c r="M263" s="1">
        <v>0</v>
      </c>
      <c r="N263" s="1" t="s">
        <v>257</v>
      </c>
      <c r="O263" s="1">
        <v>0.25</v>
      </c>
      <c r="P263" s="1">
        <v>3.5000000000000003E-2</v>
      </c>
      <c r="Q263" s="83">
        <v>73.588200000000001</v>
      </c>
      <c r="R263" s="83">
        <v>73.588200000000001</v>
      </c>
      <c r="S263" s="1">
        <v>73.588200000000001</v>
      </c>
      <c r="T263" s="83">
        <v>0</v>
      </c>
      <c r="U263" s="1" t="s">
        <v>122</v>
      </c>
      <c r="V263" s="1" t="s">
        <v>852</v>
      </c>
      <c r="W263" s="1">
        <v>3949.1976460300002</v>
      </c>
      <c r="X263" s="1"/>
      <c r="Y263" s="83" t="str">
        <f>VLOOKUP(LossTable[[#This Row],[Department]],$A$15:$B$40,2,FALSE)</f>
        <v>TP</v>
      </c>
      <c r="AA263" s="98"/>
      <c r="AB263" s="98"/>
      <c r="AC263" s="98"/>
    </row>
    <row r="264" spans="4:29" ht="14.45" customHeight="1" x14ac:dyDescent="0.25">
      <c r="D264" s="78">
        <v>486170</v>
      </c>
      <c r="E264" s="78">
        <v>280037801</v>
      </c>
      <c r="F264" s="83" t="s">
        <v>12</v>
      </c>
      <c r="G264" s="1" t="s">
        <v>853</v>
      </c>
      <c r="H264" s="1" t="s">
        <v>14</v>
      </c>
      <c r="I264" s="1" t="s">
        <v>854</v>
      </c>
      <c r="J264" s="1">
        <v>82329301.432682499</v>
      </c>
      <c r="K264" s="1">
        <v>968580016.855088</v>
      </c>
      <c r="L264" s="1">
        <v>0</v>
      </c>
      <c r="M264" s="1">
        <v>0</v>
      </c>
      <c r="N264" s="1" t="s">
        <v>855</v>
      </c>
      <c r="O264" s="1">
        <v>0.68294641</v>
      </c>
      <c r="P264" s="1">
        <v>8.5000000000000006E-2</v>
      </c>
      <c r="Q264" s="83">
        <v>79369.989391419993</v>
      </c>
      <c r="R264" s="83">
        <v>79369.989391419993</v>
      </c>
      <c r="S264" s="1">
        <v>79369.989391419993</v>
      </c>
      <c r="T264" s="83">
        <v>0</v>
      </c>
      <c r="U264" s="1" t="s">
        <v>122</v>
      </c>
      <c r="V264" s="1" t="s">
        <v>852</v>
      </c>
      <c r="W264" s="1">
        <v>3949.1976460300002</v>
      </c>
      <c r="X264" s="1"/>
      <c r="Y264" s="83" t="str">
        <f>VLOOKUP(LossTable[[#This Row],[Department]],$A$15:$B$40,2,FALSE)</f>
        <v>Bermuda</v>
      </c>
      <c r="AA264" s="98"/>
      <c r="AB264" s="98"/>
      <c r="AC264" s="98"/>
    </row>
    <row r="265" spans="4:29" ht="14.45" customHeight="1" x14ac:dyDescent="0.25">
      <c r="D265" s="78">
        <v>445992</v>
      </c>
      <c r="E265" s="78">
        <v>280066590</v>
      </c>
      <c r="F265" s="83" t="s">
        <v>94</v>
      </c>
      <c r="G265" s="1" t="s">
        <v>440</v>
      </c>
      <c r="H265" s="1" t="s">
        <v>16</v>
      </c>
      <c r="I265" s="1" t="s">
        <v>506</v>
      </c>
      <c r="J265" s="1">
        <v>20000000</v>
      </c>
      <c r="K265" s="1">
        <v>250000000</v>
      </c>
      <c r="L265" s="1">
        <v>0</v>
      </c>
      <c r="M265" s="1">
        <v>0</v>
      </c>
      <c r="N265" s="1" t="s">
        <v>507</v>
      </c>
      <c r="O265" s="1">
        <v>0.05</v>
      </c>
      <c r="P265" s="1">
        <v>0.08</v>
      </c>
      <c r="Q265" s="83">
        <v>1158.8992000000001</v>
      </c>
      <c r="R265" s="83">
        <v>1158.8992000000001</v>
      </c>
      <c r="S265" s="1">
        <v>1158.8992000000001</v>
      </c>
      <c r="T265" s="83">
        <v>0</v>
      </c>
      <c r="U265" s="1" t="s">
        <v>122</v>
      </c>
      <c r="V265" s="1" t="s">
        <v>837</v>
      </c>
      <c r="W265" s="1">
        <v>3280.0940773799998</v>
      </c>
      <c r="X265" s="1"/>
      <c r="Y265" s="83" t="str">
        <f>VLOOKUP(LossTable[[#This Row],[Department]],$A$15:$B$40,2,FALSE)</f>
        <v>TP</v>
      </c>
      <c r="AA265" s="98"/>
      <c r="AB265" s="98"/>
      <c r="AC265" s="98"/>
    </row>
    <row r="266" spans="4:29" ht="14.45" customHeight="1" x14ac:dyDescent="0.25">
      <c r="D266" s="78">
        <v>359086</v>
      </c>
      <c r="E266" s="78">
        <v>280037801</v>
      </c>
      <c r="F266" s="83" t="s">
        <v>100</v>
      </c>
      <c r="G266" s="1" t="s">
        <v>147</v>
      </c>
      <c r="H266" s="1" t="s">
        <v>14</v>
      </c>
      <c r="I266" s="1" t="s">
        <v>148</v>
      </c>
      <c r="J266" s="1">
        <v>-21336730.800000001</v>
      </c>
      <c r="K266" s="1">
        <v>-21336730.800000001</v>
      </c>
      <c r="L266" s="1">
        <v>0</v>
      </c>
      <c r="M266" s="1">
        <v>0</v>
      </c>
      <c r="N266" s="1" t="s">
        <v>14</v>
      </c>
      <c r="O266" s="1">
        <v>0</v>
      </c>
      <c r="P266" s="1">
        <v>1</v>
      </c>
      <c r="Q266" s="83">
        <v>0</v>
      </c>
      <c r="R266" s="83">
        <v>0</v>
      </c>
      <c r="S266" s="1">
        <v>-1740.32</v>
      </c>
      <c r="T266" s="83">
        <v>0</v>
      </c>
      <c r="U266" s="1" t="s">
        <v>122</v>
      </c>
      <c r="V266" s="1" t="s">
        <v>852</v>
      </c>
      <c r="W266" s="1">
        <v>3949.1976460300002</v>
      </c>
      <c r="X266" s="1"/>
      <c r="Y266" s="83" t="str">
        <f>VLOOKUP(LossTable[[#This Row],[Department]],$A$15:$B$40,2,FALSE)</f>
        <v>EI Recovery^</v>
      </c>
      <c r="AA266" s="98"/>
      <c r="AB266" s="98"/>
      <c r="AC266" s="98"/>
    </row>
    <row r="267" spans="4:29" ht="14.45" customHeight="1" x14ac:dyDescent="0.25">
      <c r="D267" s="78">
        <v>484259</v>
      </c>
      <c r="E267" s="78">
        <v>280037801</v>
      </c>
      <c r="F267" s="83" t="s">
        <v>94</v>
      </c>
      <c r="G267" s="1" t="s">
        <v>686</v>
      </c>
      <c r="H267" s="1" t="s">
        <v>16</v>
      </c>
      <c r="I267" s="1" t="s">
        <v>736</v>
      </c>
      <c r="J267" s="1">
        <v>3000000</v>
      </c>
      <c r="K267" s="1">
        <v>75000000</v>
      </c>
      <c r="L267" s="1">
        <v>0</v>
      </c>
      <c r="M267" s="1">
        <v>0</v>
      </c>
      <c r="N267" s="1" t="s">
        <v>122</v>
      </c>
      <c r="O267" s="1">
        <v>2</v>
      </c>
      <c r="P267" s="1">
        <v>0.04</v>
      </c>
      <c r="Q267" s="83">
        <v>19066.129199999999</v>
      </c>
      <c r="R267" s="83">
        <v>19066.129199999999</v>
      </c>
      <c r="S267" s="1">
        <v>19066.129199999999</v>
      </c>
      <c r="T267" s="83">
        <v>0</v>
      </c>
      <c r="U267" s="1" t="s">
        <v>122</v>
      </c>
      <c r="V267" s="1" t="s">
        <v>852</v>
      </c>
      <c r="W267" s="1">
        <v>3949.1976460300002</v>
      </c>
      <c r="X267" s="1"/>
      <c r="Y267" s="83" t="str">
        <f>VLOOKUP(LossTable[[#This Row],[Department]],$A$15:$B$40,2,FALSE)</f>
        <v>TP</v>
      </c>
      <c r="AA267" s="98"/>
      <c r="AB267" s="98"/>
      <c r="AC267" s="98"/>
    </row>
    <row r="268" spans="4:29" ht="14.45" customHeight="1" x14ac:dyDescent="0.25">
      <c r="D268" s="78">
        <v>448029</v>
      </c>
      <c r="E268" s="78">
        <v>280066590</v>
      </c>
      <c r="F268" s="83" t="s">
        <v>94</v>
      </c>
      <c r="G268" s="1" t="s">
        <v>395</v>
      </c>
      <c r="H268" s="1" t="s">
        <v>16</v>
      </c>
      <c r="I268" s="1" t="s">
        <v>503</v>
      </c>
      <c r="J268" s="1">
        <v>2370062.3813999998</v>
      </c>
      <c r="K268" s="1">
        <v>67716068.040000007</v>
      </c>
      <c r="L268" s="1">
        <v>0</v>
      </c>
      <c r="M268" s="1">
        <v>0</v>
      </c>
      <c r="N268" s="1" t="s">
        <v>504</v>
      </c>
      <c r="O268" s="1">
        <v>0.185</v>
      </c>
      <c r="P268" s="1">
        <v>3.5000000000000003E-2</v>
      </c>
      <c r="Q268" s="83">
        <v>2547.1981500000002</v>
      </c>
      <c r="R268" s="83">
        <v>2547.1981500000002</v>
      </c>
      <c r="S268" s="1">
        <v>2547.1981500000002</v>
      </c>
      <c r="T268" s="83">
        <v>0</v>
      </c>
      <c r="U268" s="1" t="s">
        <v>122</v>
      </c>
      <c r="V268" s="1" t="s">
        <v>837</v>
      </c>
      <c r="W268" s="1">
        <v>3280.0940773799998</v>
      </c>
      <c r="X268" s="1"/>
      <c r="Y268" s="83" t="str">
        <f>VLOOKUP(LossTable[[#This Row],[Department]],$A$15:$B$40,2,FALSE)</f>
        <v>TP</v>
      </c>
      <c r="AA268" s="98"/>
      <c r="AB268" s="98"/>
      <c r="AC268" s="98"/>
    </row>
    <row r="269" spans="4:29" ht="14.45" customHeight="1" x14ac:dyDescent="0.25">
      <c r="D269" s="78">
        <v>139</v>
      </c>
      <c r="E269" s="78">
        <v>280037801</v>
      </c>
      <c r="F269" s="83" t="s">
        <v>45</v>
      </c>
      <c r="G269" s="1" t="s">
        <v>46</v>
      </c>
      <c r="H269" s="1" t="s">
        <v>16</v>
      </c>
      <c r="I269" s="1" t="s">
        <v>46</v>
      </c>
      <c r="J269" s="1">
        <v>66506138</v>
      </c>
      <c r="K269" s="1">
        <v>0</v>
      </c>
      <c r="L269" s="1">
        <v>0</v>
      </c>
      <c r="M269" s="1">
        <v>0</v>
      </c>
      <c r="N269" s="1" t="s">
        <v>44</v>
      </c>
      <c r="O269" s="1">
        <v>0</v>
      </c>
      <c r="P269" s="1">
        <v>1</v>
      </c>
      <c r="Q269" s="83">
        <v>9401.4745390000007</v>
      </c>
      <c r="R269" s="83">
        <v>9401.4745390000007</v>
      </c>
      <c r="S269" s="1">
        <v>9401.4745390000007</v>
      </c>
      <c r="T269" s="83">
        <v>0</v>
      </c>
      <c r="U269" s="1" t="s">
        <v>122</v>
      </c>
      <c r="V269" s="1" t="s">
        <v>852</v>
      </c>
      <c r="W269" s="1">
        <v>3949.1976460300002</v>
      </c>
      <c r="X269" s="1"/>
      <c r="Y269" s="83" t="str">
        <f>VLOOKUP(LossTable[[#This Row],[Department]],$A$15:$B$40,2,FALSE)</f>
        <v>FP</v>
      </c>
      <c r="AA269" s="98"/>
      <c r="AB269" s="98"/>
      <c r="AC269" s="98"/>
    </row>
    <row r="270" spans="4:29" ht="14.45" customHeight="1" x14ac:dyDescent="0.25">
      <c r="D270" s="78">
        <v>437855</v>
      </c>
      <c r="E270" s="78">
        <v>280066590</v>
      </c>
      <c r="F270" s="83" t="s">
        <v>94</v>
      </c>
      <c r="G270" s="1" t="s">
        <v>427</v>
      </c>
      <c r="H270" s="1" t="s">
        <v>16</v>
      </c>
      <c r="I270" s="1" t="s">
        <v>472</v>
      </c>
      <c r="J270" s="1">
        <v>750000</v>
      </c>
      <c r="K270" s="1">
        <v>30000000</v>
      </c>
      <c r="L270" s="1">
        <v>0</v>
      </c>
      <c r="M270" s="1">
        <v>0</v>
      </c>
      <c r="N270" s="1" t="s">
        <v>391</v>
      </c>
      <c r="O270" s="1">
        <v>0.15</v>
      </c>
      <c r="P270" s="1">
        <v>2.5000000000000001E-2</v>
      </c>
      <c r="Q270" s="83">
        <v>34.973999999999997</v>
      </c>
      <c r="R270" s="83">
        <v>34.973999999999997</v>
      </c>
      <c r="S270" s="1">
        <v>34.973999999999997</v>
      </c>
      <c r="T270" s="83">
        <v>0</v>
      </c>
      <c r="U270" s="1" t="s">
        <v>122</v>
      </c>
      <c r="V270" s="1" t="s">
        <v>837</v>
      </c>
      <c r="W270" s="1">
        <v>3280.0940773799998</v>
      </c>
      <c r="X270" s="1"/>
      <c r="Y270" s="83" t="str">
        <f>VLOOKUP(LossTable[[#This Row],[Department]],$A$15:$B$40,2,FALSE)</f>
        <v>TP</v>
      </c>
      <c r="AA270" s="98"/>
      <c r="AB270" s="98"/>
      <c r="AC270" s="98"/>
    </row>
    <row r="271" spans="4:29" ht="14.45" customHeight="1" x14ac:dyDescent="0.25">
      <c r="D271" s="78">
        <v>470053</v>
      </c>
      <c r="E271" s="78">
        <v>280066590</v>
      </c>
      <c r="F271" s="83" t="s">
        <v>95</v>
      </c>
      <c r="G271" s="1" t="s">
        <v>646</v>
      </c>
      <c r="H271" s="1" t="s">
        <v>14</v>
      </c>
      <c r="I271" s="1" t="s">
        <v>647</v>
      </c>
      <c r="J271" s="1">
        <v>25000000</v>
      </c>
      <c r="K271" s="1">
        <v>250000000</v>
      </c>
      <c r="L271" s="1">
        <v>0</v>
      </c>
      <c r="M271" s="1">
        <v>0</v>
      </c>
      <c r="N271" s="1" t="s">
        <v>122</v>
      </c>
      <c r="O271" s="1">
        <v>0.98461171999999997</v>
      </c>
      <c r="P271" s="1">
        <v>0.1</v>
      </c>
      <c r="Q271" s="83">
        <v>55004.985999999997</v>
      </c>
      <c r="R271" s="83">
        <v>55004.985999999997</v>
      </c>
      <c r="S271" s="1">
        <v>55004.985999999997</v>
      </c>
      <c r="T271" s="83">
        <v>0</v>
      </c>
      <c r="U271" s="1" t="s">
        <v>122</v>
      </c>
      <c r="V271" s="1" t="s">
        <v>837</v>
      </c>
      <c r="W271" s="1">
        <v>3280.0940773799998</v>
      </c>
      <c r="X271" s="1"/>
      <c r="Y271" s="83" t="str">
        <f>VLOOKUP(LossTable[[#This Row],[Department]],$A$15:$B$40,2,FALSE)</f>
        <v>Dublin</v>
      </c>
      <c r="AA271" s="98"/>
      <c r="AB271" s="98"/>
      <c r="AC271" s="98"/>
    </row>
    <row r="272" spans="4:29" ht="14.45" customHeight="1" x14ac:dyDescent="0.25">
      <c r="D272" s="78">
        <v>437880</v>
      </c>
      <c r="E272" s="78">
        <v>280037801</v>
      </c>
      <c r="F272" s="83" t="s">
        <v>45</v>
      </c>
      <c r="G272" s="1" t="s">
        <v>355</v>
      </c>
      <c r="H272" s="1" t="s">
        <v>16</v>
      </c>
      <c r="I272" s="1" t="s">
        <v>366</v>
      </c>
      <c r="J272" s="1">
        <v>5000000</v>
      </c>
      <c r="K272" s="1">
        <v>20000000</v>
      </c>
      <c r="L272" s="1">
        <v>0</v>
      </c>
      <c r="M272" s="1">
        <v>0</v>
      </c>
      <c r="N272" s="1" t="s">
        <v>325</v>
      </c>
      <c r="O272" s="1">
        <v>1.6250000000000001E-2</v>
      </c>
      <c r="P272" s="1">
        <v>0.25</v>
      </c>
      <c r="Q272" s="83">
        <v>335.47</v>
      </c>
      <c r="R272" s="83">
        <v>335.47</v>
      </c>
      <c r="S272" s="1">
        <v>335.47</v>
      </c>
      <c r="T272" s="83">
        <v>0</v>
      </c>
      <c r="U272" s="1" t="s">
        <v>122</v>
      </c>
      <c r="V272" s="1" t="s">
        <v>852</v>
      </c>
      <c r="W272" s="1">
        <v>3949.1976460300002</v>
      </c>
      <c r="X272" s="1"/>
      <c r="Y272" s="83" t="str">
        <f>VLOOKUP(LossTable[[#This Row],[Department]],$A$15:$B$40,2,FALSE)</f>
        <v>FP</v>
      </c>
      <c r="AA272" s="98"/>
      <c r="AB272" s="98"/>
      <c r="AC272" s="98"/>
    </row>
    <row r="273" spans="4:29" ht="14.45" customHeight="1" x14ac:dyDescent="0.25">
      <c r="D273" s="78">
        <v>113</v>
      </c>
      <c r="E273" s="78">
        <v>280014790</v>
      </c>
      <c r="F273" s="83" t="s">
        <v>42</v>
      </c>
      <c r="G273" s="1" t="s">
        <v>43</v>
      </c>
      <c r="H273" s="1" t="s">
        <v>16</v>
      </c>
      <c r="I273" s="1" t="s">
        <v>43</v>
      </c>
      <c r="J273" s="1">
        <v>572880433.78864801</v>
      </c>
      <c r="K273" s="1">
        <v>0</v>
      </c>
      <c r="L273" s="1">
        <v>0</v>
      </c>
      <c r="M273" s="1">
        <v>0</v>
      </c>
      <c r="N273" s="1" t="s">
        <v>44</v>
      </c>
      <c r="O273" s="1">
        <v>0</v>
      </c>
      <c r="P273" s="1">
        <v>1</v>
      </c>
      <c r="Q273" s="83">
        <v>775.62699999999995</v>
      </c>
      <c r="R273" s="83">
        <v>775.62699999999995</v>
      </c>
      <c r="S273" s="1">
        <v>775.62699999999995</v>
      </c>
      <c r="T273" s="83">
        <v>0</v>
      </c>
      <c r="U273" s="1" t="s">
        <v>122</v>
      </c>
      <c r="V273" s="1" t="s">
        <v>836</v>
      </c>
      <c r="W273" s="1">
        <v>4781.60363426</v>
      </c>
      <c r="X273" s="1"/>
      <c r="Y273" s="83" t="str">
        <f>VLOOKUP(LossTable[[#This Row],[Department]],$A$15:$B$40,2,FALSE)</f>
        <v>FP</v>
      </c>
      <c r="AA273" s="98"/>
      <c r="AB273" s="98"/>
      <c r="AC273" s="98"/>
    </row>
    <row r="274" spans="4:29" ht="14.45" customHeight="1" x14ac:dyDescent="0.25">
      <c r="D274" s="78">
        <v>120</v>
      </c>
      <c r="E274" s="78">
        <v>280037801</v>
      </c>
      <c r="F274" s="83" t="s">
        <v>92</v>
      </c>
      <c r="G274" s="1" t="s">
        <v>220</v>
      </c>
      <c r="H274" s="1" t="s">
        <v>16</v>
      </c>
      <c r="I274" s="1" t="s">
        <v>220</v>
      </c>
      <c r="J274" s="1">
        <v>4157913.60481088</v>
      </c>
      <c r="K274" s="1">
        <v>0</v>
      </c>
      <c r="L274" s="1">
        <v>0</v>
      </c>
      <c r="M274" s="1">
        <v>0</v>
      </c>
      <c r="N274" s="1" t="s">
        <v>44</v>
      </c>
      <c r="O274" s="1">
        <v>0</v>
      </c>
      <c r="P274" s="1">
        <v>1</v>
      </c>
      <c r="Q274" s="83">
        <v>10186.722544</v>
      </c>
      <c r="R274" s="83">
        <v>10186.722544</v>
      </c>
      <c r="S274" s="1">
        <v>10186.722544</v>
      </c>
      <c r="T274" s="83">
        <v>0</v>
      </c>
      <c r="U274" s="1" t="s">
        <v>122</v>
      </c>
      <c r="V274" s="1" t="s">
        <v>852</v>
      </c>
      <c r="W274" s="1">
        <v>3949.1976460300002</v>
      </c>
      <c r="X274" s="1"/>
      <c r="Y274" s="83" t="str">
        <f>VLOOKUP(LossTable[[#This Row],[Department]],$A$15:$B$40,2,FALSE)</f>
        <v>FP</v>
      </c>
      <c r="AA274" s="98"/>
      <c r="AB274" s="98"/>
      <c r="AC274" s="98"/>
    </row>
    <row r="275" spans="4:29" ht="14.45" customHeight="1" x14ac:dyDescent="0.25">
      <c r="D275" s="78">
        <v>437594</v>
      </c>
      <c r="E275" s="78">
        <v>280066590</v>
      </c>
      <c r="F275" s="83" t="s">
        <v>94</v>
      </c>
      <c r="G275" s="1" t="s">
        <v>347</v>
      </c>
      <c r="H275" s="1" t="s">
        <v>14</v>
      </c>
      <c r="I275" s="1" t="s">
        <v>348</v>
      </c>
      <c r="J275" s="1">
        <v>1875000</v>
      </c>
      <c r="K275" s="1">
        <v>30000000</v>
      </c>
      <c r="L275" s="1">
        <v>0</v>
      </c>
      <c r="M275" s="1">
        <v>0</v>
      </c>
      <c r="N275" s="1" t="s">
        <v>122</v>
      </c>
      <c r="O275" s="1">
        <v>5.3494280099999996</v>
      </c>
      <c r="P275" s="1">
        <v>6.25E-2</v>
      </c>
      <c r="Q275" s="83">
        <v>65143.026875000003</v>
      </c>
      <c r="R275" s="83">
        <v>65143.026875000003</v>
      </c>
      <c r="S275" s="1">
        <v>65143.026875000003</v>
      </c>
      <c r="T275" s="83">
        <v>0</v>
      </c>
      <c r="U275" s="1" t="s">
        <v>122</v>
      </c>
      <c r="V275" s="1" t="s">
        <v>837</v>
      </c>
      <c r="W275" s="1">
        <v>3280.0940773799998</v>
      </c>
      <c r="X275" s="1"/>
      <c r="Y275" s="83" t="str">
        <f>VLOOKUP(LossTable[[#This Row],[Department]],$A$15:$B$40,2,FALSE)</f>
        <v>TP</v>
      </c>
      <c r="AA275" s="98"/>
      <c r="AB275" s="98"/>
      <c r="AC275" s="98"/>
    </row>
    <row r="276" spans="4:29" ht="14.45" customHeight="1" x14ac:dyDescent="0.25">
      <c r="D276" s="78">
        <v>479986</v>
      </c>
      <c r="E276" s="78">
        <v>280014790</v>
      </c>
      <c r="F276" s="83" t="s">
        <v>94</v>
      </c>
      <c r="G276" s="1" t="s">
        <v>661</v>
      </c>
      <c r="H276" s="1" t="s">
        <v>16</v>
      </c>
      <c r="I276" s="1" t="s">
        <v>777</v>
      </c>
      <c r="J276" s="1">
        <v>1000000</v>
      </c>
      <c r="K276" s="1">
        <v>10000000</v>
      </c>
      <c r="L276" s="1">
        <v>0</v>
      </c>
      <c r="M276" s="1">
        <v>0</v>
      </c>
      <c r="N276" s="1" t="s">
        <v>271</v>
      </c>
      <c r="O276" s="1">
        <v>0.255</v>
      </c>
      <c r="P276" s="1">
        <v>0.1</v>
      </c>
      <c r="Q276" s="83">
        <v>167.43299999999999</v>
      </c>
      <c r="R276" s="83">
        <v>167.43299999999999</v>
      </c>
      <c r="S276" s="1">
        <v>167.43299999999999</v>
      </c>
      <c r="T276" s="83">
        <v>0</v>
      </c>
      <c r="U276" s="1" t="s">
        <v>122</v>
      </c>
      <c r="V276" s="1" t="s">
        <v>836</v>
      </c>
      <c r="W276" s="1">
        <v>4781.60363426</v>
      </c>
      <c r="X276" s="1"/>
      <c r="Y276" s="83" t="str">
        <f>VLOOKUP(LossTable[[#This Row],[Department]],$A$15:$B$40,2,FALSE)</f>
        <v>TP</v>
      </c>
      <c r="AA276" s="98"/>
      <c r="AB276" s="98"/>
      <c r="AC276" s="98"/>
    </row>
    <row r="277" spans="4:29" ht="14.45" customHeight="1" x14ac:dyDescent="0.25">
      <c r="D277" s="78">
        <v>437878</v>
      </c>
      <c r="E277" s="78">
        <v>280014790</v>
      </c>
      <c r="F277" s="83" t="s">
        <v>45</v>
      </c>
      <c r="G277" s="1" t="s">
        <v>355</v>
      </c>
      <c r="H277" s="1" t="s">
        <v>16</v>
      </c>
      <c r="I277" s="1" t="s">
        <v>356</v>
      </c>
      <c r="J277" s="1">
        <v>1500000</v>
      </c>
      <c r="K277" s="1">
        <v>10000000</v>
      </c>
      <c r="L277" s="1">
        <v>0</v>
      </c>
      <c r="M277" s="1">
        <v>0</v>
      </c>
      <c r="N277" s="1" t="s">
        <v>357</v>
      </c>
      <c r="O277" s="1">
        <v>0.10790130000000001</v>
      </c>
      <c r="P277" s="1">
        <v>0.15</v>
      </c>
      <c r="Q277" s="83">
        <v>1004.61</v>
      </c>
      <c r="R277" s="83">
        <v>1004.61</v>
      </c>
      <c r="S277" s="1">
        <v>1004.61</v>
      </c>
      <c r="T277" s="83">
        <v>0</v>
      </c>
      <c r="U277" s="1" t="s">
        <v>122</v>
      </c>
      <c r="V277" s="1" t="s">
        <v>836</v>
      </c>
      <c r="W277" s="1">
        <v>4781.60363426</v>
      </c>
      <c r="X277" s="1"/>
      <c r="Y277" s="83" t="str">
        <f>VLOOKUP(LossTable[[#This Row],[Department]],$A$15:$B$40,2,FALSE)</f>
        <v>FP</v>
      </c>
      <c r="AA277" s="98"/>
      <c r="AB277" s="98"/>
      <c r="AC277" s="98"/>
    </row>
    <row r="278" spans="4:29" ht="14.45" customHeight="1" x14ac:dyDescent="0.25">
      <c r="D278" s="78">
        <v>484924</v>
      </c>
      <c r="E278" s="78">
        <v>280014790</v>
      </c>
      <c r="F278" s="83" t="s">
        <v>94</v>
      </c>
      <c r="G278" s="1" t="s">
        <v>774</v>
      </c>
      <c r="H278" s="1" t="s">
        <v>16</v>
      </c>
      <c r="I278" s="1" t="s">
        <v>775</v>
      </c>
      <c r="J278" s="1">
        <v>1125000</v>
      </c>
      <c r="K278" s="1">
        <v>7500000</v>
      </c>
      <c r="L278" s="1">
        <v>0</v>
      </c>
      <c r="M278" s="1">
        <v>0</v>
      </c>
      <c r="N278" s="1" t="s">
        <v>776</v>
      </c>
      <c r="O278" s="1">
        <v>0.17499999999999999</v>
      </c>
      <c r="P278" s="1">
        <v>0.15</v>
      </c>
      <c r="Q278" s="83">
        <v>544.74300000000005</v>
      </c>
      <c r="R278" s="83">
        <v>544.74300000000005</v>
      </c>
      <c r="S278" s="1">
        <v>544.74300000000005</v>
      </c>
      <c r="T278" s="83">
        <v>0</v>
      </c>
      <c r="U278" s="1" t="s">
        <v>122</v>
      </c>
      <c r="V278" s="1" t="s">
        <v>836</v>
      </c>
      <c r="W278" s="1">
        <v>4781.60363426</v>
      </c>
      <c r="X278" s="1"/>
      <c r="Y278" s="83" t="str">
        <f>VLOOKUP(LossTable[[#This Row],[Department]],$A$15:$B$40,2,FALSE)</f>
        <v>TP</v>
      </c>
      <c r="AA278" s="98"/>
      <c r="AB278" s="98"/>
      <c r="AC278" s="98"/>
    </row>
    <row r="279" spans="4:29" ht="14.45" customHeight="1" x14ac:dyDescent="0.25">
      <c r="D279" s="78">
        <v>473915</v>
      </c>
      <c r="E279" s="78">
        <v>280037801</v>
      </c>
      <c r="F279" s="83" t="s">
        <v>95</v>
      </c>
      <c r="G279" s="1" t="s">
        <v>679</v>
      </c>
      <c r="H279" s="1" t="s">
        <v>14</v>
      </c>
      <c r="I279" s="1" t="s">
        <v>680</v>
      </c>
      <c r="J279" s="1">
        <v>12334580.540657099</v>
      </c>
      <c r="K279" s="1">
        <v>411152684.688568</v>
      </c>
      <c r="L279" s="1">
        <v>0</v>
      </c>
      <c r="M279" s="1">
        <v>0</v>
      </c>
      <c r="N279" s="1" t="s">
        <v>160</v>
      </c>
      <c r="O279" s="1">
        <v>0.74285714000000003</v>
      </c>
      <c r="P279" s="1">
        <v>0.03</v>
      </c>
      <c r="Q279" s="83">
        <v>6331.0952619999998</v>
      </c>
      <c r="R279" s="83">
        <v>6331.0952619999998</v>
      </c>
      <c r="S279" s="1">
        <v>6331.0952619999998</v>
      </c>
      <c r="T279" s="83">
        <v>0</v>
      </c>
      <c r="U279" s="1" t="s">
        <v>122</v>
      </c>
      <c r="V279" s="1" t="s">
        <v>852</v>
      </c>
      <c r="W279" s="1">
        <v>3949.1976460300002</v>
      </c>
      <c r="X279" s="1"/>
      <c r="Y279" s="83" t="str">
        <f>VLOOKUP(LossTable[[#This Row],[Department]],$A$15:$B$40,2,FALSE)</f>
        <v>Dublin</v>
      </c>
      <c r="AA279" s="98"/>
      <c r="AB279" s="98"/>
      <c r="AC279" s="98"/>
    </row>
    <row r="280" spans="4:29" ht="14.45" customHeight="1" x14ac:dyDescent="0.25">
      <c r="D280" s="78">
        <v>445339</v>
      </c>
      <c r="E280" s="78">
        <v>280066590</v>
      </c>
      <c r="F280" s="83" t="s">
        <v>94</v>
      </c>
      <c r="G280" s="1" t="s">
        <v>416</v>
      </c>
      <c r="H280" s="1" t="s">
        <v>16</v>
      </c>
      <c r="I280" s="1" t="s">
        <v>417</v>
      </c>
      <c r="J280" s="1">
        <v>6875000</v>
      </c>
      <c r="K280" s="1">
        <v>275000000</v>
      </c>
      <c r="L280" s="1">
        <v>0</v>
      </c>
      <c r="M280" s="1">
        <v>0</v>
      </c>
      <c r="N280" s="1" t="s">
        <v>418</v>
      </c>
      <c r="O280" s="1">
        <v>0.42727272999999999</v>
      </c>
      <c r="P280" s="1">
        <v>2.5000000000000001E-2</v>
      </c>
      <c r="Q280" s="83">
        <v>9992.6657500000001</v>
      </c>
      <c r="R280" s="83">
        <v>9992.6657500000001</v>
      </c>
      <c r="S280" s="1">
        <v>9992.6657500000001</v>
      </c>
      <c r="T280" s="83">
        <v>0</v>
      </c>
      <c r="U280" s="1" t="s">
        <v>122</v>
      </c>
      <c r="V280" s="1" t="s">
        <v>837</v>
      </c>
      <c r="W280" s="1">
        <v>3280.0940773799998</v>
      </c>
      <c r="X280" s="1"/>
      <c r="Y280" s="83" t="str">
        <f>VLOOKUP(LossTable[[#This Row],[Department]],$A$15:$B$40,2,FALSE)</f>
        <v>TP</v>
      </c>
      <c r="AA280" s="98"/>
      <c r="AB280" s="98"/>
      <c r="AC280" s="98"/>
    </row>
    <row r="281" spans="4:29" ht="14.45" customHeight="1" x14ac:dyDescent="0.25">
      <c r="D281" s="78">
        <v>446893</v>
      </c>
      <c r="E281" s="78">
        <v>280037801</v>
      </c>
      <c r="F281" s="83" t="s">
        <v>45</v>
      </c>
      <c r="G281" s="1" t="s">
        <v>457</v>
      </c>
      <c r="H281" s="1" t="s">
        <v>16</v>
      </c>
      <c r="I281" s="1" t="s">
        <v>458</v>
      </c>
      <c r="J281" s="1">
        <v>16151628.977281</v>
      </c>
      <c r="K281" s="1">
        <v>193897106.56999999</v>
      </c>
      <c r="L281" s="1">
        <v>0</v>
      </c>
      <c r="M281" s="1">
        <v>0</v>
      </c>
      <c r="N281" s="1" t="s">
        <v>459</v>
      </c>
      <c r="O281" s="1">
        <v>1.1660500000000001E-2</v>
      </c>
      <c r="P281" s="1">
        <v>8.3299999999999999E-2</v>
      </c>
      <c r="Q281" s="83">
        <v>2569.6300700000002</v>
      </c>
      <c r="R281" s="83">
        <v>2569.6300700000002</v>
      </c>
      <c r="S281" s="1">
        <v>2569.6300700000002</v>
      </c>
      <c r="T281" s="83">
        <v>0</v>
      </c>
      <c r="U281" s="1" t="s">
        <v>122</v>
      </c>
      <c r="V281" s="1" t="s">
        <v>852</v>
      </c>
      <c r="W281" s="1">
        <v>3949.1976460300002</v>
      </c>
      <c r="X281" s="1"/>
      <c r="Y281" s="83" t="str">
        <f>VLOOKUP(LossTable[[#This Row],[Department]],$A$15:$B$40,2,FALSE)</f>
        <v>FP</v>
      </c>
      <c r="AA281" s="98"/>
      <c r="AB281" s="98"/>
      <c r="AC281" s="98"/>
    </row>
    <row r="282" spans="4:29" ht="14.45" customHeight="1" x14ac:dyDescent="0.25">
      <c r="D282" s="78">
        <v>113</v>
      </c>
      <c r="E282" s="78">
        <v>280037801</v>
      </c>
      <c r="F282" s="83" t="s">
        <v>42</v>
      </c>
      <c r="G282" s="1" t="s">
        <v>43</v>
      </c>
      <c r="H282" s="1" t="s">
        <v>16</v>
      </c>
      <c r="I282" s="1" t="s">
        <v>43</v>
      </c>
      <c r="J282" s="1">
        <v>572880433.78864801</v>
      </c>
      <c r="K282" s="1">
        <v>0</v>
      </c>
      <c r="L282" s="1">
        <v>0</v>
      </c>
      <c r="M282" s="1">
        <v>0</v>
      </c>
      <c r="N282" s="1" t="s">
        <v>44</v>
      </c>
      <c r="O282" s="1">
        <v>0</v>
      </c>
      <c r="P282" s="1">
        <v>1</v>
      </c>
      <c r="Q282" s="83">
        <v>89.835499999999996</v>
      </c>
      <c r="R282" s="83">
        <v>89.835499999999996</v>
      </c>
      <c r="S282" s="1">
        <v>89.835499999999996</v>
      </c>
      <c r="T282" s="83">
        <v>0</v>
      </c>
      <c r="U282" s="1" t="s">
        <v>122</v>
      </c>
      <c r="V282" s="1" t="s">
        <v>852</v>
      </c>
      <c r="W282" s="1">
        <v>3949.1976460300002</v>
      </c>
      <c r="X282" s="1"/>
      <c r="Y282" s="83" t="str">
        <f>VLOOKUP(LossTable[[#This Row],[Department]],$A$15:$B$40,2,FALSE)</f>
        <v>FP</v>
      </c>
      <c r="AA282" s="98"/>
      <c r="AB282" s="98"/>
      <c r="AC282" s="98"/>
    </row>
    <row r="283" spans="4:29" ht="14.45" customHeight="1" x14ac:dyDescent="0.25">
      <c r="D283" s="78">
        <v>447394</v>
      </c>
      <c r="E283" s="78">
        <v>280037801</v>
      </c>
      <c r="F283" s="83" t="s">
        <v>94</v>
      </c>
      <c r="G283" s="1" t="s">
        <v>482</v>
      </c>
      <c r="H283" s="1" t="s">
        <v>16</v>
      </c>
      <c r="I283" s="1" t="s">
        <v>522</v>
      </c>
      <c r="J283" s="1">
        <v>1700000</v>
      </c>
      <c r="K283" s="1">
        <v>10000000</v>
      </c>
      <c r="L283" s="1">
        <v>0</v>
      </c>
      <c r="M283" s="1">
        <v>0</v>
      </c>
      <c r="N283" s="1" t="s">
        <v>315</v>
      </c>
      <c r="O283" s="1">
        <v>0.71</v>
      </c>
      <c r="P283" s="1">
        <v>0.17</v>
      </c>
      <c r="Q283" s="83">
        <v>7632.6804000000002</v>
      </c>
      <c r="R283" s="83">
        <v>7632.6804000000002</v>
      </c>
      <c r="S283" s="1">
        <v>7632.6804000000002</v>
      </c>
      <c r="T283" s="83">
        <v>0</v>
      </c>
      <c r="U283" s="1" t="s">
        <v>122</v>
      </c>
      <c r="V283" s="1" t="s">
        <v>852</v>
      </c>
      <c r="W283" s="1">
        <v>3949.1976460300002</v>
      </c>
      <c r="X283" s="1"/>
      <c r="Y283" s="83" t="str">
        <f>VLOOKUP(LossTable[[#This Row],[Department]],$A$15:$B$40,2,FALSE)</f>
        <v>TP</v>
      </c>
      <c r="AA283" s="98"/>
      <c r="AB283" s="98"/>
      <c r="AC283" s="98"/>
    </row>
    <row r="284" spans="4:29" ht="14.45" customHeight="1" x14ac:dyDescent="0.25">
      <c r="D284" s="78">
        <v>107</v>
      </c>
      <c r="E284" s="78">
        <v>280066590</v>
      </c>
      <c r="F284" s="83" t="s">
        <v>86</v>
      </c>
      <c r="G284" s="1" t="s">
        <v>217</v>
      </c>
      <c r="H284" s="1" t="s">
        <v>16</v>
      </c>
      <c r="I284" s="1" t="s">
        <v>217</v>
      </c>
      <c r="J284" s="1">
        <v>112658565.33570901</v>
      </c>
      <c r="K284" s="1">
        <v>0</v>
      </c>
      <c r="L284" s="1">
        <v>0</v>
      </c>
      <c r="M284" s="1">
        <v>0</v>
      </c>
      <c r="N284" s="1" t="s">
        <v>44</v>
      </c>
      <c r="O284" s="1">
        <v>0</v>
      </c>
      <c r="P284" s="1">
        <v>1</v>
      </c>
      <c r="Q284" s="83">
        <v>208.986806</v>
      </c>
      <c r="R284" s="83">
        <v>208.986806</v>
      </c>
      <c r="S284" s="1">
        <v>208.986806</v>
      </c>
      <c r="T284" s="83">
        <v>0</v>
      </c>
      <c r="U284" s="1" t="s">
        <v>122</v>
      </c>
      <c r="V284" s="1" t="s">
        <v>837</v>
      </c>
      <c r="W284" s="1">
        <v>3280.0940773799998</v>
      </c>
      <c r="X284" s="1"/>
      <c r="Y284" s="83" t="str">
        <f>VLOOKUP(LossTable[[#This Row],[Department]],$A$15:$B$40,2,FALSE)</f>
        <v>FP</v>
      </c>
      <c r="AA284" s="98"/>
      <c r="AB284" s="98"/>
      <c r="AC284" s="98"/>
    </row>
    <row r="285" spans="4:29" ht="14.45" customHeight="1" x14ac:dyDescent="0.25">
      <c r="D285" s="78">
        <v>112</v>
      </c>
      <c r="E285" s="78">
        <v>280066590</v>
      </c>
      <c r="F285" s="83" t="s">
        <v>42</v>
      </c>
      <c r="G285" s="1" t="s">
        <v>43</v>
      </c>
      <c r="H285" s="1" t="s">
        <v>16</v>
      </c>
      <c r="I285" s="1" t="s">
        <v>43</v>
      </c>
      <c r="J285" s="1">
        <v>689002647.25189602</v>
      </c>
      <c r="K285" s="1">
        <v>0</v>
      </c>
      <c r="L285" s="1">
        <v>0</v>
      </c>
      <c r="M285" s="1">
        <v>0</v>
      </c>
      <c r="N285" s="1" t="s">
        <v>44</v>
      </c>
      <c r="O285" s="1">
        <v>0</v>
      </c>
      <c r="P285" s="1">
        <v>1</v>
      </c>
      <c r="Q285" s="83">
        <v>847.83205099999998</v>
      </c>
      <c r="R285" s="83">
        <v>847.83205099999998</v>
      </c>
      <c r="S285" s="1">
        <v>847.83205099999998</v>
      </c>
      <c r="T285" s="83">
        <v>0</v>
      </c>
      <c r="U285" s="1" t="s">
        <v>122</v>
      </c>
      <c r="V285" s="1" t="s">
        <v>837</v>
      </c>
      <c r="W285" s="1">
        <v>3280.0940773799998</v>
      </c>
      <c r="X285" s="1"/>
      <c r="Y285" s="83" t="str">
        <f>VLOOKUP(LossTable[[#This Row],[Department]],$A$15:$B$40,2,FALSE)</f>
        <v>FP</v>
      </c>
      <c r="AA285" s="98"/>
      <c r="AB285" s="98"/>
      <c r="AC285" s="98"/>
    </row>
    <row r="286" spans="4:29" ht="14.45" customHeight="1" x14ac:dyDescent="0.25">
      <c r="D286" s="78">
        <v>119</v>
      </c>
      <c r="E286" s="78">
        <v>280066590</v>
      </c>
      <c r="F286" s="83" t="s">
        <v>42</v>
      </c>
      <c r="G286" s="1" t="s">
        <v>43</v>
      </c>
      <c r="H286" s="1" t="s">
        <v>16</v>
      </c>
      <c r="I286" s="1" t="s">
        <v>43</v>
      </c>
      <c r="J286" s="1">
        <v>140720073.28258401</v>
      </c>
      <c r="K286" s="1">
        <v>0</v>
      </c>
      <c r="L286" s="1">
        <v>0</v>
      </c>
      <c r="M286" s="1">
        <v>0</v>
      </c>
      <c r="N286" s="1" t="s">
        <v>44</v>
      </c>
      <c r="O286" s="1">
        <v>0</v>
      </c>
      <c r="P286" s="1">
        <v>1</v>
      </c>
      <c r="Q286" s="83">
        <v>479.00592899999998</v>
      </c>
      <c r="R286" s="83">
        <v>479.00592899999998</v>
      </c>
      <c r="S286" s="1">
        <v>479.00592899999998</v>
      </c>
      <c r="T286" s="83">
        <v>0</v>
      </c>
      <c r="U286" s="1" t="s">
        <v>122</v>
      </c>
      <c r="V286" s="1" t="s">
        <v>837</v>
      </c>
      <c r="W286" s="1">
        <v>3280.0940773799998</v>
      </c>
      <c r="X286" s="1"/>
      <c r="Y286" s="83" t="str">
        <f>VLOOKUP(LossTable[[#This Row],[Department]],$A$15:$B$40,2,FALSE)</f>
        <v>FP</v>
      </c>
      <c r="AA286" s="98"/>
      <c r="AB286" s="98"/>
      <c r="AC286" s="98"/>
    </row>
    <row r="287" spans="4:29" ht="14.45" customHeight="1" x14ac:dyDescent="0.25">
      <c r="D287" s="78">
        <v>126</v>
      </c>
      <c r="E287" s="78">
        <v>280066590</v>
      </c>
      <c r="F287" s="83" t="s">
        <v>92</v>
      </c>
      <c r="G287" s="1" t="s">
        <v>220</v>
      </c>
      <c r="H287" s="1" t="s">
        <v>16</v>
      </c>
      <c r="I287" s="1" t="s">
        <v>220</v>
      </c>
      <c r="J287" s="1">
        <v>48587349.7713634</v>
      </c>
      <c r="K287" s="1">
        <v>0</v>
      </c>
      <c r="L287" s="1">
        <v>0</v>
      </c>
      <c r="M287" s="1">
        <v>0</v>
      </c>
      <c r="N287" s="1" t="s">
        <v>44</v>
      </c>
      <c r="O287" s="1">
        <v>0</v>
      </c>
      <c r="P287" s="1">
        <v>1</v>
      </c>
      <c r="Q287" s="83">
        <v>589.15017799999998</v>
      </c>
      <c r="R287" s="83">
        <v>589.15017799999998</v>
      </c>
      <c r="S287" s="1">
        <v>589.15017799999998</v>
      </c>
      <c r="T287" s="83">
        <v>0</v>
      </c>
      <c r="U287" s="1" t="s">
        <v>122</v>
      </c>
      <c r="V287" s="1" t="s">
        <v>837</v>
      </c>
      <c r="W287" s="1">
        <v>3280.0940773799998</v>
      </c>
      <c r="X287" s="1"/>
      <c r="Y287" s="83" t="str">
        <f>VLOOKUP(LossTable[[#This Row],[Department]],$A$15:$B$40,2,FALSE)</f>
        <v>FP</v>
      </c>
      <c r="AA287" s="98"/>
      <c r="AB287" s="98"/>
      <c r="AC287" s="98"/>
    </row>
    <row r="288" spans="4:29" ht="14.45" customHeight="1" x14ac:dyDescent="0.25">
      <c r="D288" s="78">
        <v>131</v>
      </c>
      <c r="E288" s="78">
        <v>280066590</v>
      </c>
      <c r="F288" s="83" t="s">
        <v>218</v>
      </c>
      <c r="G288" s="1" t="s">
        <v>219</v>
      </c>
      <c r="H288" s="1" t="s">
        <v>16</v>
      </c>
      <c r="I288" s="1" t="s">
        <v>219</v>
      </c>
      <c r="J288" s="1">
        <v>16348609.506002501</v>
      </c>
      <c r="K288" s="1">
        <v>0</v>
      </c>
      <c r="L288" s="1">
        <v>0</v>
      </c>
      <c r="M288" s="1">
        <v>0</v>
      </c>
      <c r="N288" s="1" t="s">
        <v>44</v>
      </c>
      <c r="O288" s="1">
        <v>0</v>
      </c>
      <c r="P288" s="1">
        <v>1</v>
      </c>
      <c r="Q288" s="83">
        <v>31.444400000000002</v>
      </c>
      <c r="R288" s="83">
        <v>31.444400000000002</v>
      </c>
      <c r="S288" s="1">
        <v>31.444400000000002</v>
      </c>
      <c r="T288" s="83">
        <v>0</v>
      </c>
      <c r="U288" s="1" t="s">
        <v>122</v>
      </c>
      <c r="V288" s="1" t="s">
        <v>837</v>
      </c>
      <c r="W288" s="1">
        <v>3280.0940773799998</v>
      </c>
      <c r="X288" s="1"/>
      <c r="Y288" s="83" t="e">
        <f>VLOOKUP(LossTable[[#This Row],[Department]],$A$15:$B$40,2,FALSE)</f>
        <v>#N/A</v>
      </c>
      <c r="AA288" s="98"/>
      <c r="AB288" s="98"/>
      <c r="AC288" s="98"/>
    </row>
    <row r="289" spans="4:29" ht="14.45" customHeight="1" x14ac:dyDescent="0.25">
      <c r="D289" s="78">
        <v>138</v>
      </c>
      <c r="E289" s="78">
        <v>280066590</v>
      </c>
      <c r="F289" s="83" t="s">
        <v>45</v>
      </c>
      <c r="G289" s="1" t="s">
        <v>46</v>
      </c>
      <c r="H289" s="1" t="s">
        <v>16</v>
      </c>
      <c r="I289" s="1" t="s">
        <v>46</v>
      </c>
      <c r="J289" s="1">
        <v>25670000</v>
      </c>
      <c r="K289" s="1">
        <v>0</v>
      </c>
      <c r="L289" s="1">
        <v>0</v>
      </c>
      <c r="M289" s="1">
        <v>0</v>
      </c>
      <c r="N289" s="1" t="s">
        <v>44</v>
      </c>
      <c r="O289" s="1">
        <v>0</v>
      </c>
      <c r="P289" s="1">
        <v>1</v>
      </c>
      <c r="Q289" s="83">
        <v>100.1644</v>
      </c>
      <c r="R289" s="83">
        <v>100.1644</v>
      </c>
      <c r="S289" s="1">
        <v>100.1644</v>
      </c>
      <c r="T289" s="83">
        <v>0</v>
      </c>
      <c r="U289" s="1" t="s">
        <v>122</v>
      </c>
      <c r="V289" s="1" t="s">
        <v>837</v>
      </c>
      <c r="W289" s="1">
        <v>3280.0940773799998</v>
      </c>
      <c r="X289" s="1"/>
      <c r="Y289" s="83" t="str">
        <f>VLOOKUP(LossTable[[#This Row],[Department]],$A$15:$B$40,2,FALSE)</f>
        <v>FP</v>
      </c>
      <c r="AA289" s="98"/>
      <c r="AB289" s="98"/>
      <c r="AC289" s="98"/>
    </row>
    <row r="290" spans="4:29" ht="14.45" customHeight="1" x14ac:dyDescent="0.25">
      <c r="D290" s="78">
        <v>145</v>
      </c>
      <c r="E290" s="78">
        <v>280066590</v>
      </c>
      <c r="F290" s="83" t="s">
        <v>45</v>
      </c>
      <c r="G290" s="1" t="s">
        <v>46</v>
      </c>
      <c r="H290" s="1" t="s">
        <v>16</v>
      </c>
      <c r="I290" s="1" t="s">
        <v>46</v>
      </c>
      <c r="J290" s="1">
        <v>1930756483</v>
      </c>
      <c r="K290" s="1">
        <v>0</v>
      </c>
      <c r="L290" s="1">
        <v>0</v>
      </c>
      <c r="M290" s="1">
        <v>0</v>
      </c>
      <c r="N290" s="1" t="s">
        <v>44</v>
      </c>
      <c r="O290" s="1">
        <v>0</v>
      </c>
      <c r="P290" s="1">
        <v>1</v>
      </c>
      <c r="Q290" s="83">
        <v>213795.51026000001</v>
      </c>
      <c r="R290" s="83">
        <v>213795.51026000001</v>
      </c>
      <c r="S290" s="1">
        <v>213795.51026000001</v>
      </c>
      <c r="T290" s="83">
        <v>0</v>
      </c>
      <c r="U290" s="1" t="s">
        <v>122</v>
      </c>
      <c r="V290" s="1" t="s">
        <v>837</v>
      </c>
      <c r="W290" s="1">
        <v>3280.0940773799998</v>
      </c>
      <c r="X290" s="1"/>
      <c r="Y290" s="83" t="str">
        <f>VLOOKUP(LossTable[[#This Row],[Department]],$A$15:$B$40,2,FALSE)</f>
        <v>FP</v>
      </c>
    </row>
    <row r="291" spans="4:29" ht="14.45" customHeight="1" x14ac:dyDescent="0.25">
      <c r="D291" s="78">
        <v>326486</v>
      </c>
      <c r="E291" s="78">
        <v>280066590</v>
      </c>
      <c r="F291" s="83" t="s">
        <v>87</v>
      </c>
      <c r="G291" s="1" t="s">
        <v>239</v>
      </c>
      <c r="H291" s="1" t="s">
        <v>14</v>
      </c>
      <c r="I291" s="1" t="s">
        <v>240</v>
      </c>
      <c r="J291" s="1">
        <v>32450004.57</v>
      </c>
      <c r="K291" s="1">
        <v>32450004.57</v>
      </c>
      <c r="L291" s="1">
        <v>0</v>
      </c>
      <c r="M291" s="1">
        <v>0</v>
      </c>
      <c r="N291" s="1" t="s">
        <v>14</v>
      </c>
      <c r="O291" s="1">
        <v>6.1633269999999997E-2</v>
      </c>
      <c r="P291" s="1">
        <v>1</v>
      </c>
      <c r="Q291" s="83">
        <v>21613.75</v>
      </c>
      <c r="R291" s="83">
        <v>21613.75</v>
      </c>
      <c r="S291" s="1">
        <v>21613.75</v>
      </c>
      <c r="T291" s="83">
        <v>0</v>
      </c>
      <c r="U291" s="1" t="s">
        <v>122</v>
      </c>
      <c r="V291" s="1" t="s">
        <v>837</v>
      </c>
      <c r="W291" s="1">
        <v>3280.0940773799998</v>
      </c>
      <c r="X291" s="1"/>
      <c r="Y291" s="83" t="str">
        <f>VLOOKUP(LossTable[[#This Row],[Department]],$A$15:$B$40,2,FALSE)</f>
        <v>Insurance</v>
      </c>
    </row>
    <row r="292" spans="4:29" ht="14.45" customHeight="1" x14ac:dyDescent="0.25">
      <c r="D292" s="78">
        <v>420178</v>
      </c>
      <c r="E292" s="78">
        <v>280066590</v>
      </c>
      <c r="F292" s="83" t="s">
        <v>94</v>
      </c>
      <c r="G292" s="1" t="s">
        <v>170</v>
      </c>
      <c r="H292" s="1" t="s">
        <v>16</v>
      </c>
      <c r="I292" s="1" t="s">
        <v>242</v>
      </c>
      <c r="J292" s="1">
        <v>704434.61609999998</v>
      </c>
      <c r="K292" s="1">
        <v>15654102.58</v>
      </c>
      <c r="L292" s="1">
        <v>0</v>
      </c>
      <c r="M292" s="1">
        <v>0</v>
      </c>
      <c r="N292" s="1" t="s">
        <v>243</v>
      </c>
      <c r="O292" s="1">
        <v>0.21496517000000001</v>
      </c>
      <c r="P292" s="1">
        <v>4.4999999999999998E-2</v>
      </c>
      <c r="Q292" s="83">
        <v>21.818249999999999</v>
      </c>
      <c r="R292" s="83">
        <v>21.818249999999999</v>
      </c>
      <c r="S292" s="1">
        <v>21.818249999999999</v>
      </c>
      <c r="T292" s="83">
        <v>0</v>
      </c>
      <c r="U292" s="1" t="s">
        <v>122</v>
      </c>
      <c r="V292" s="1" t="s">
        <v>837</v>
      </c>
      <c r="W292" s="1">
        <v>3280.0940773799998</v>
      </c>
      <c r="X292" s="1"/>
      <c r="Y292" s="83" t="str">
        <f>VLOOKUP(LossTable[[#This Row],[Department]],$A$15:$B$40,2,FALSE)</f>
        <v>TP</v>
      </c>
    </row>
    <row r="293" spans="4:29" ht="14.45" customHeight="1" x14ac:dyDescent="0.25">
      <c r="D293" s="78">
        <v>431335</v>
      </c>
      <c r="E293" s="78">
        <v>280066590</v>
      </c>
      <c r="F293" s="83" t="s">
        <v>94</v>
      </c>
      <c r="G293" s="1" t="s">
        <v>255</v>
      </c>
      <c r="H293" s="1" t="s">
        <v>16</v>
      </c>
      <c r="I293" s="1" t="s">
        <v>285</v>
      </c>
      <c r="J293" s="1">
        <v>3150000</v>
      </c>
      <c r="K293" s="1">
        <v>21000000</v>
      </c>
      <c r="L293" s="1">
        <v>0</v>
      </c>
      <c r="M293" s="1">
        <v>0</v>
      </c>
      <c r="N293" s="1" t="s">
        <v>286</v>
      </c>
      <c r="O293" s="1">
        <v>0.35020680999999998</v>
      </c>
      <c r="P293" s="1">
        <v>0.15</v>
      </c>
      <c r="Q293" s="83">
        <v>1404.558</v>
      </c>
      <c r="R293" s="83">
        <v>1404.558</v>
      </c>
      <c r="S293" s="1">
        <v>1404.558</v>
      </c>
      <c r="T293" s="83">
        <v>0</v>
      </c>
      <c r="U293" s="1" t="s">
        <v>122</v>
      </c>
      <c r="V293" s="1" t="s">
        <v>837</v>
      </c>
      <c r="W293" s="1">
        <v>3280.0940773799998</v>
      </c>
      <c r="X293" s="1"/>
      <c r="Y293" s="83" t="str">
        <f>VLOOKUP(LossTable[[#This Row],[Department]],$A$15:$B$40,2,FALSE)</f>
        <v>TP</v>
      </c>
    </row>
    <row r="294" spans="4:29" x14ac:dyDescent="0.25">
      <c r="D294" s="78">
        <v>432368</v>
      </c>
      <c r="E294" s="78">
        <v>280066590</v>
      </c>
      <c r="F294" s="83" t="s">
        <v>12</v>
      </c>
      <c r="G294" s="1" t="s">
        <v>172</v>
      </c>
      <c r="H294" s="1" t="s">
        <v>14</v>
      </c>
      <c r="I294" s="1" t="s">
        <v>173</v>
      </c>
      <c r="J294" s="1">
        <v>7800000</v>
      </c>
      <c r="K294" s="1">
        <v>390000000</v>
      </c>
      <c r="L294" s="1">
        <v>0</v>
      </c>
      <c r="M294" s="1">
        <v>0</v>
      </c>
      <c r="N294" s="1" t="s">
        <v>122</v>
      </c>
      <c r="O294" s="1">
        <v>1.1220538499999999</v>
      </c>
      <c r="P294" s="1">
        <v>0.02</v>
      </c>
      <c r="Q294" s="83">
        <v>123799.8642</v>
      </c>
      <c r="R294" s="83">
        <v>123799.8642</v>
      </c>
      <c r="S294" s="1">
        <v>123799.8642</v>
      </c>
      <c r="T294" s="83">
        <v>0</v>
      </c>
      <c r="U294" s="1" t="s">
        <v>122</v>
      </c>
      <c r="V294" s="1" t="s">
        <v>837</v>
      </c>
      <c r="W294" s="1">
        <v>3280.0940773799998</v>
      </c>
      <c r="X294" s="1"/>
      <c r="Y294" s="83" t="str">
        <f>VLOOKUP(LossTable[[#This Row],[Department]],$A$15:$B$40,2,FALSE)</f>
        <v>Bermuda</v>
      </c>
    </row>
    <row r="295" spans="4:29" x14ac:dyDescent="0.25">
      <c r="D295" s="78">
        <v>433028</v>
      </c>
      <c r="E295" s="78">
        <v>280066590</v>
      </c>
      <c r="F295" s="83" t="s">
        <v>94</v>
      </c>
      <c r="G295" s="1" t="s">
        <v>367</v>
      </c>
      <c r="H295" s="1" t="s">
        <v>16</v>
      </c>
      <c r="I295" s="1" t="s">
        <v>377</v>
      </c>
      <c r="J295" s="1">
        <v>2000000</v>
      </c>
      <c r="K295" s="1">
        <v>20000000</v>
      </c>
      <c r="L295" s="1">
        <v>0</v>
      </c>
      <c r="M295" s="1">
        <v>0</v>
      </c>
      <c r="N295" s="1" t="s">
        <v>284</v>
      </c>
      <c r="O295" s="1">
        <v>0.13881784</v>
      </c>
      <c r="P295" s="1">
        <v>0.1</v>
      </c>
      <c r="Q295" s="83">
        <v>1336.02</v>
      </c>
      <c r="R295" s="83">
        <v>1336.02</v>
      </c>
      <c r="S295" s="1">
        <v>1336.02</v>
      </c>
      <c r="T295" s="83">
        <v>0</v>
      </c>
      <c r="U295" s="1" t="s">
        <v>122</v>
      </c>
      <c r="V295" s="1" t="s">
        <v>837</v>
      </c>
      <c r="W295" s="1">
        <v>3280.0940773799998</v>
      </c>
      <c r="X295" s="1"/>
      <c r="Y295" s="83" t="str">
        <f>VLOOKUP(LossTable[[#This Row],[Department]],$A$15:$B$40,2,FALSE)</f>
        <v>TP</v>
      </c>
    </row>
    <row r="296" spans="4:29" x14ac:dyDescent="0.25">
      <c r="D296" s="78">
        <v>434018</v>
      </c>
      <c r="E296" s="78">
        <v>280066590</v>
      </c>
      <c r="F296" s="83" t="s">
        <v>94</v>
      </c>
      <c r="G296" s="1" t="s">
        <v>301</v>
      </c>
      <c r="H296" s="1" t="s">
        <v>16</v>
      </c>
      <c r="I296" s="1" t="s">
        <v>302</v>
      </c>
      <c r="J296" s="1">
        <v>562500</v>
      </c>
      <c r="K296" s="1">
        <v>7500000</v>
      </c>
      <c r="L296" s="1">
        <v>0</v>
      </c>
      <c r="M296" s="1">
        <v>0</v>
      </c>
      <c r="N296" s="1" t="s">
        <v>303</v>
      </c>
      <c r="O296" s="1">
        <v>0.105</v>
      </c>
      <c r="P296" s="1">
        <v>7.4999999999999997E-2</v>
      </c>
      <c r="Q296" s="83">
        <v>13.116</v>
      </c>
      <c r="R296" s="83">
        <v>13.116</v>
      </c>
      <c r="S296" s="1">
        <v>13.116</v>
      </c>
      <c r="T296" s="83">
        <v>0</v>
      </c>
      <c r="U296" s="1" t="s">
        <v>122</v>
      </c>
      <c r="V296" s="1" t="s">
        <v>837</v>
      </c>
      <c r="W296" s="1">
        <v>3280.0940773799998</v>
      </c>
      <c r="X296" s="1"/>
      <c r="Y296" s="83" t="str">
        <f>VLOOKUP(LossTable[[#This Row],[Department]],$A$15:$B$40,2,FALSE)</f>
        <v>TP</v>
      </c>
    </row>
    <row r="297" spans="4:29" x14ac:dyDescent="0.25">
      <c r="D297" s="78">
        <v>434875</v>
      </c>
      <c r="E297" s="78">
        <v>280066590</v>
      </c>
      <c r="F297" s="83" t="s">
        <v>94</v>
      </c>
      <c r="G297" s="1" t="s">
        <v>339</v>
      </c>
      <c r="H297" s="1" t="s">
        <v>16</v>
      </c>
      <c r="I297" s="1" t="s">
        <v>340</v>
      </c>
      <c r="J297" s="1">
        <v>1575000</v>
      </c>
      <c r="K297" s="1">
        <v>45000000</v>
      </c>
      <c r="L297" s="1">
        <v>0</v>
      </c>
      <c r="M297" s="1">
        <v>0</v>
      </c>
      <c r="N297" s="1" t="s">
        <v>341</v>
      </c>
      <c r="O297" s="1">
        <v>0.29499999999999998</v>
      </c>
      <c r="P297" s="1">
        <v>3.5000000000000003E-2</v>
      </c>
      <c r="Q297" s="83">
        <v>42.137549999999997</v>
      </c>
      <c r="R297" s="83">
        <v>42.137549999999997</v>
      </c>
      <c r="S297" s="1">
        <v>42.137549999999997</v>
      </c>
      <c r="T297" s="83">
        <v>0</v>
      </c>
      <c r="U297" s="1" t="s">
        <v>122</v>
      </c>
      <c r="V297" s="1" t="s">
        <v>837</v>
      </c>
      <c r="W297" s="1">
        <v>3280.0940773799998</v>
      </c>
      <c r="X297" s="1"/>
      <c r="Y297" s="83" t="str">
        <f>VLOOKUP(LossTable[[#This Row],[Department]],$A$15:$B$40,2,FALSE)</f>
        <v>TP</v>
      </c>
    </row>
    <row r="298" spans="4:29" x14ac:dyDescent="0.25">
      <c r="D298" s="78">
        <v>436537</v>
      </c>
      <c r="E298" s="78">
        <v>280066590</v>
      </c>
      <c r="F298" s="83" t="s">
        <v>94</v>
      </c>
      <c r="G298" s="1" t="s">
        <v>445</v>
      </c>
      <c r="H298" s="1" t="s">
        <v>16</v>
      </c>
      <c r="I298" s="1" t="s">
        <v>453</v>
      </c>
      <c r="J298" s="1">
        <v>20000000</v>
      </c>
      <c r="K298" s="1">
        <v>200000000</v>
      </c>
      <c r="L298" s="1">
        <v>0</v>
      </c>
      <c r="M298" s="1">
        <v>0</v>
      </c>
      <c r="N298" s="1" t="s">
        <v>122</v>
      </c>
      <c r="O298" s="1">
        <v>6.5000000000000002E-2</v>
      </c>
      <c r="P298" s="1">
        <v>0.1</v>
      </c>
      <c r="Q298" s="83">
        <v>523.91800000000001</v>
      </c>
      <c r="R298" s="83">
        <v>523.91800000000001</v>
      </c>
      <c r="S298" s="1">
        <v>523.91800000000001</v>
      </c>
      <c r="T298" s="83">
        <v>0</v>
      </c>
      <c r="U298" s="1" t="s">
        <v>122</v>
      </c>
      <c r="V298" s="1" t="s">
        <v>837</v>
      </c>
      <c r="W298" s="1">
        <v>3280.0940773799998</v>
      </c>
      <c r="X298" s="1"/>
      <c r="Y298" s="83" t="str">
        <f>VLOOKUP(LossTable[[#This Row],[Department]],$A$15:$B$40,2,FALSE)</f>
        <v>TP</v>
      </c>
    </row>
    <row r="299" spans="4:29" x14ac:dyDescent="0.25">
      <c r="D299" s="78">
        <v>439462</v>
      </c>
      <c r="E299" s="78">
        <v>280066590</v>
      </c>
      <c r="F299" s="83" t="s">
        <v>94</v>
      </c>
      <c r="G299" s="1" t="s">
        <v>500</v>
      </c>
      <c r="H299" s="1" t="s">
        <v>14</v>
      </c>
      <c r="I299" s="1" t="s">
        <v>501</v>
      </c>
      <c r="J299" s="1">
        <v>8000000</v>
      </c>
      <c r="K299" s="1">
        <v>40000000</v>
      </c>
      <c r="L299" s="1">
        <v>0</v>
      </c>
      <c r="M299" s="1">
        <v>0</v>
      </c>
      <c r="N299" s="1" t="s">
        <v>400</v>
      </c>
      <c r="O299" s="1">
        <v>2.62402522</v>
      </c>
      <c r="P299" s="1">
        <v>0.2</v>
      </c>
      <c r="Q299" s="83">
        <v>621789.6</v>
      </c>
      <c r="R299" s="83">
        <v>621789.6</v>
      </c>
      <c r="S299" s="1">
        <v>621789.6</v>
      </c>
      <c r="T299" s="83">
        <v>0</v>
      </c>
      <c r="U299" s="1" t="s">
        <v>122</v>
      </c>
      <c r="V299" s="1" t="s">
        <v>837</v>
      </c>
      <c r="W299" s="1">
        <v>3280.0940773799998</v>
      </c>
      <c r="X299" s="1"/>
      <c r="Y299" s="83" t="str">
        <f>VLOOKUP(LossTable[[#This Row],[Department]],$A$15:$B$40,2,FALSE)</f>
        <v>TP</v>
      </c>
    </row>
    <row r="300" spans="4:29" x14ac:dyDescent="0.25">
      <c r="D300" s="78">
        <v>442927</v>
      </c>
      <c r="E300" s="78">
        <v>280066590</v>
      </c>
      <c r="F300" s="83" t="s">
        <v>94</v>
      </c>
      <c r="G300" s="1" t="s">
        <v>419</v>
      </c>
      <c r="H300" s="1" t="s">
        <v>14</v>
      </c>
      <c r="I300" s="1" t="s">
        <v>420</v>
      </c>
      <c r="J300" s="1">
        <v>4000000</v>
      </c>
      <c r="K300" s="1">
        <v>40000000</v>
      </c>
      <c r="L300" s="1">
        <v>0</v>
      </c>
      <c r="M300" s="1">
        <v>0</v>
      </c>
      <c r="N300" s="1" t="s">
        <v>400</v>
      </c>
      <c r="O300" s="1">
        <v>3.10336597</v>
      </c>
      <c r="P300" s="1">
        <v>0.1</v>
      </c>
      <c r="Q300" s="83">
        <v>1079249.3319999999</v>
      </c>
      <c r="R300" s="83">
        <v>1079249.3319999999</v>
      </c>
      <c r="S300" s="1">
        <v>1079249.3319999999</v>
      </c>
      <c r="T300" s="83">
        <v>0</v>
      </c>
      <c r="U300" s="1" t="s">
        <v>122</v>
      </c>
      <c r="V300" s="1" t="s">
        <v>837</v>
      </c>
      <c r="W300" s="1">
        <v>3280.0940773799998</v>
      </c>
      <c r="X300" s="1"/>
      <c r="Y300" s="83" t="str">
        <f>VLOOKUP(LossTable[[#This Row],[Department]],$A$15:$B$40,2,FALSE)</f>
        <v>TP</v>
      </c>
    </row>
    <row r="301" spans="4:29" x14ac:dyDescent="0.25">
      <c r="D301" s="78">
        <v>443948</v>
      </c>
      <c r="E301" s="78">
        <v>280066590</v>
      </c>
      <c r="F301" s="83" t="s">
        <v>45</v>
      </c>
      <c r="G301" s="1" t="s">
        <v>361</v>
      </c>
      <c r="H301" s="1" t="s">
        <v>16</v>
      </c>
      <c r="I301" s="1" t="s">
        <v>443</v>
      </c>
      <c r="J301" s="1">
        <v>6000000</v>
      </c>
      <c r="K301" s="1">
        <v>30000000</v>
      </c>
      <c r="L301" s="1">
        <v>0</v>
      </c>
      <c r="M301" s="1">
        <v>0</v>
      </c>
      <c r="N301" s="1" t="s">
        <v>444</v>
      </c>
      <c r="O301" s="1">
        <v>2.1666669999999999E-2</v>
      </c>
      <c r="P301" s="1">
        <v>0.2</v>
      </c>
      <c r="Q301" s="83">
        <v>856.92</v>
      </c>
      <c r="R301" s="83">
        <v>856.92</v>
      </c>
      <c r="S301" s="1">
        <v>856.92</v>
      </c>
      <c r="T301" s="83">
        <v>0</v>
      </c>
      <c r="U301" s="1" t="s">
        <v>122</v>
      </c>
      <c r="V301" s="1" t="s">
        <v>837</v>
      </c>
      <c r="W301" s="1">
        <v>3280.0940773799998</v>
      </c>
      <c r="X301" s="1"/>
      <c r="Y301" s="83" t="str">
        <f>VLOOKUP(LossTable[[#This Row],[Department]],$A$15:$B$40,2,FALSE)</f>
        <v>FP</v>
      </c>
    </row>
    <row r="302" spans="4:29" x14ac:dyDescent="0.25">
      <c r="D302" s="78">
        <v>444855</v>
      </c>
      <c r="E302" s="78">
        <v>280066590</v>
      </c>
      <c r="F302" s="83" t="s">
        <v>45</v>
      </c>
      <c r="G302" s="1" t="s">
        <v>405</v>
      </c>
      <c r="H302" s="1" t="s">
        <v>16</v>
      </c>
      <c r="I302" s="1" t="s">
        <v>406</v>
      </c>
      <c r="J302" s="1">
        <v>2500000</v>
      </c>
      <c r="K302" s="1">
        <v>25000000</v>
      </c>
      <c r="L302" s="1">
        <v>0</v>
      </c>
      <c r="M302" s="1">
        <v>0</v>
      </c>
      <c r="N302" s="1" t="s">
        <v>407</v>
      </c>
      <c r="O302" s="1">
        <v>0.19889999999999999</v>
      </c>
      <c r="P302" s="1">
        <v>0.1</v>
      </c>
      <c r="Q302" s="83">
        <v>1710.5150000000001</v>
      </c>
      <c r="R302" s="83">
        <v>1710.5150000000001</v>
      </c>
      <c r="S302" s="1">
        <v>1710.5150000000001</v>
      </c>
      <c r="T302" s="83">
        <v>0</v>
      </c>
      <c r="U302" s="1" t="s">
        <v>122</v>
      </c>
      <c r="V302" s="1" t="s">
        <v>837</v>
      </c>
      <c r="W302" s="1">
        <v>3280.0940773799998</v>
      </c>
      <c r="X302" s="1"/>
      <c r="Y302" s="83" t="str">
        <f>VLOOKUP(LossTable[[#This Row],[Department]],$A$15:$B$40,2,FALSE)</f>
        <v>FP</v>
      </c>
    </row>
    <row r="303" spans="4:29" x14ac:dyDescent="0.25">
      <c r="D303" s="78">
        <v>445351</v>
      </c>
      <c r="E303" s="78">
        <v>280066590</v>
      </c>
      <c r="F303" s="83" t="s">
        <v>94</v>
      </c>
      <c r="G303" s="1" t="s">
        <v>460</v>
      </c>
      <c r="H303" s="1" t="s">
        <v>14</v>
      </c>
      <c r="I303" s="1" t="s">
        <v>461</v>
      </c>
      <c r="J303" s="1">
        <v>8750000</v>
      </c>
      <c r="K303" s="1">
        <v>125000000</v>
      </c>
      <c r="L303" s="1">
        <v>0</v>
      </c>
      <c r="M303" s="1">
        <v>0</v>
      </c>
      <c r="N303" s="1" t="s">
        <v>190</v>
      </c>
      <c r="O303" s="1">
        <v>1.30571993</v>
      </c>
      <c r="P303" s="1">
        <v>7.0000000000000007E-2</v>
      </c>
      <c r="Q303" s="83">
        <v>31311.612499999999</v>
      </c>
      <c r="R303" s="83">
        <v>31311.612499999999</v>
      </c>
      <c r="S303" s="1">
        <v>31311.612499999999</v>
      </c>
      <c r="T303" s="83">
        <v>0</v>
      </c>
      <c r="U303" s="1" t="s">
        <v>122</v>
      </c>
      <c r="V303" s="1" t="s">
        <v>837</v>
      </c>
      <c r="W303" s="1">
        <v>3280.0940773799998</v>
      </c>
      <c r="X303" s="1"/>
      <c r="Y303" s="83" t="str">
        <f>VLOOKUP(LossTable[[#This Row],[Department]],$A$15:$B$40,2,FALSE)</f>
        <v>TP</v>
      </c>
    </row>
    <row r="304" spans="4:29" x14ac:dyDescent="0.25">
      <c r="D304" s="78">
        <v>446144</v>
      </c>
      <c r="E304" s="78">
        <v>280066590</v>
      </c>
      <c r="F304" s="83" t="s">
        <v>94</v>
      </c>
      <c r="G304" s="1" t="s">
        <v>527</v>
      </c>
      <c r="H304" s="1" t="s">
        <v>16</v>
      </c>
      <c r="I304" s="1" t="s">
        <v>528</v>
      </c>
      <c r="J304" s="1">
        <v>1000000</v>
      </c>
      <c r="K304" s="1">
        <v>40000000</v>
      </c>
      <c r="L304" s="1">
        <v>0</v>
      </c>
      <c r="M304" s="1">
        <v>0</v>
      </c>
      <c r="N304" s="1" t="s">
        <v>122</v>
      </c>
      <c r="O304" s="1">
        <v>0.48265581000000002</v>
      </c>
      <c r="P304" s="1">
        <v>2.5000000000000001E-2</v>
      </c>
      <c r="Q304" s="83">
        <v>85.364999999999995</v>
      </c>
      <c r="R304" s="83">
        <v>85.364999999999995</v>
      </c>
      <c r="S304" s="1">
        <v>85.364999999999995</v>
      </c>
      <c r="T304" s="83">
        <v>0</v>
      </c>
      <c r="U304" s="1" t="s">
        <v>122</v>
      </c>
      <c r="V304" s="1" t="s">
        <v>837</v>
      </c>
      <c r="W304" s="1">
        <v>3280.0940773799998</v>
      </c>
      <c r="X304" s="1"/>
      <c r="Y304" s="83" t="str">
        <f>VLOOKUP(LossTable[[#This Row],[Department]],$A$15:$B$40,2,FALSE)</f>
        <v>TP</v>
      </c>
    </row>
    <row r="305" spans="4:25" x14ac:dyDescent="0.25">
      <c r="D305" s="78">
        <v>446804</v>
      </c>
      <c r="E305" s="78">
        <v>280066590</v>
      </c>
      <c r="F305" s="83" t="s">
        <v>94</v>
      </c>
      <c r="G305" s="1" t="s">
        <v>448</v>
      </c>
      <c r="H305" s="1" t="s">
        <v>16</v>
      </c>
      <c r="I305" s="1" t="s">
        <v>511</v>
      </c>
      <c r="J305" s="1">
        <v>4375000</v>
      </c>
      <c r="K305" s="1">
        <v>175000000</v>
      </c>
      <c r="L305" s="1">
        <v>0</v>
      </c>
      <c r="M305" s="1">
        <v>0</v>
      </c>
      <c r="N305" s="1" t="s">
        <v>512</v>
      </c>
      <c r="O305" s="1">
        <v>5.856476E-2</v>
      </c>
      <c r="P305" s="1">
        <v>2.5000000000000001E-2</v>
      </c>
      <c r="Q305" s="83">
        <v>4880.6875</v>
      </c>
      <c r="R305" s="83">
        <v>4880.6875</v>
      </c>
      <c r="S305" s="1">
        <v>4880.6875</v>
      </c>
      <c r="T305" s="83">
        <v>0</v>
      </c>
      <c r="U305" s="1" t="s">
        <v>122</v>
      </c>
      <c r="V305" s="1" t="s">
        <v>837</v>
      </c>
      <c r="W305" s="1">
        <v>3280.0940773799998</v>
      </c>
      <c r="X305" s="1"/>
      <c r="Y305" s="83" t="str">
        <f>VLOOKUP(LossTable[[#This Row],[Department]],$A$15:$B$40,2,FALSE)</f>
        <v>TP</v>
      </c>
    </row>
    <row r="306" spans="4:25" x14ac:dyDescent="0.25">
      <c r="D306" s="78">
        <v>447863</v>
      </c>
      <c r="E306" s="78">
        <v>280066590</v>
      </c>
      <c r="F306" s="83" t="s">
        <v>94</v>
      </c>
      <c r="G306" s="1" t="s">
        <v>489</v>
      </c>
      <c r="H306" s="1" t="s">
        <v>16</v>
      </c>
      <c r="I306" s="1" t="s">
        <v>490</v>
      </c>
      <c r="J306" s="1">
        <v>175000</v>
      </c>
      <c r="K306" s="1">
        <v>5000000</v>
      </c>
      <c r="L306" s="1">
        <v>0</v>
      </c>
      <c r="M306" s="1">
        <v>0</v>
      </c>
      <c r="N306" s="1" t="s">
        <v>475</v>
      </c>
      <c r="O306" s="1">
        <v>0.45</v>
      </c>
      <c r="P306" s="1">
        <v>3.5000000000000003E-2</v>
      </c>
      <c r="Q306" s="83">
        <v>14.261799999999999</v>
      </c>
      <c r="R306" s="83">
        <v>14.261799999999999</v>
      </c>
      <c r="S306" s="1">
        <v>14.261799999999999</v>
      </c>
      <c r="T306" s="83">
        <v>0</v>
      </c>
      <c r="U306" s="1" t="s">
        <v>122</v>
      </c>
      <c r="V306" s="1" t="s">
        <v>837</v>
      </c>
      <c r="W306" s="1">
        <v>3280.0940773799998</v>
      </c>
      <c r="X306" s="1"/>
      <c r="Y306" s="83" t="str">
        <f>VLOOKUP(LossTable[[#This Row],[Department]],$A$15:$B$40,2,FALSE)</f>
        <v>TP</v>
      </c>
    </row>
    <row r="307" spans="4:25" x14ac:dyDescent="0.25">
      <c r="D307" s="78">
        <v>448027</v>
      </c>
      <c r="E307" s="78">
        <v>280066590</v>
      </c>
      <c r="F307" s="83" t="s">
        <v>94</v>
      </c>
      <c r="G307" s="1" t="s">
        <v>395</v>
      </c>
      <c r="H307" s="1" t="s">
        <v>16</v>
      </c>
      <c r="I307" s="1" t="s">
        <v>517</v>
      </c>
      <c r="J307" s="1">
        <v>1452718.6726500001</v>
      </c>
      <c r="K307" s="1">
        <v>41506247.789999999</v>
      </c>
      <c r="L307" s="1">
        <v>0</v>
      </c>
      <c r="M307" s="1">
        <v>0</v>
      </c>
      <c r="N307" s="1" t="s">
        <v>518</v>
      </c>
      <c r="O307" s="1">
        <v>2.0799999900000001</v>
      </c>
      <c r="P307" s="1">
        <v>3.5000000000000003E-2</v>
      </c>
      <c r="Q307" s="83">
        <v>18453.472099999999</v>
      </c>
      <c r="R307" s="83">
        <v>18453.472099999999</v>
      </c>
      <c r="S307" s="1">
        <v>18453.472099999999</v>
      </c>
      <c r="T307" s="83">
        <v>0</v>
      </c>
      <c r="U307" s="1" t="s">
        <v>122</v>
      </c>
      <c r="V307" s="1" t="s">
        <v>837</v>
      </c>
      <c r="W307" s="1">
        <v>3280.0940773799998</v>
      </c>
      <c r="X307" s="1"/>
      <c r="Y307" s="83" t="str">
        <f>VLOOKUP(LossTable[[#This Row],[Department]],$A$15:$B$40,2,FALSE)</f>
        <v>TP</v>
      </c>
    </row>
    <row r="308" spans="4:25" x14ac:dyDescent="0.25">
      <c r="D308" s="78">
        <v>448034</v>
      </c>
      <c r="E308" s="78">
        <v>280066590</v>
      </c>
      <c r="F308" s="83" t="s">
        <v>12</v>
      </c>
      <c r="G308" s="1" t="s">
        <v>508</v>
      </c>
      <c r="H308" s="1" t="s">
        <v>16</v>
      </c>
      <c r="I308" s="1" t="s">
        <v>543</v>
      </c>
      <c r="J308" s="1">
        <v>5625000</v>
      </c>
      <c r="K308" s="1">
        <v>112500000</v>
      </c>
      <c r="L308" s="1">
        <v>0</v>
      </c>
      <c r="M308" s="1">
        <v>0</v>
      </c>
      <c r="N308" s="1" t="s">
        <v>544</v>
      </c>
      <c r="O308" s="1">
        <v>1.0266645999999999</v>
      </c>
      <c r="P308" s="1">
        <v>0.05</v>
      </c>
      <c r="Q308" s="83">
        <v>36322.682000000001</v>
      </c>
      <c r="R308" s="83">
        <v>36322.682000000001</v>
      </c>
      <c r="S308" s="1">
        <v>36322.682000000001</v>
      </c>
      <c r="T308" s="83">
        <v>0</v>
      </c>
      <c r="U308" s="1" t="s">
        <v>122</v>
      </c>
      <c r="V308" s="1" t="s">
        <v>837</v>
      </c>
      <c r="W308" s="1">
        <v>3280.0940773799998</v>
      </c>
      <c r="X308" s="1"/>
      <c r="Y308" s="83" t="str">
        <f>VLOOKUP(LossTable[[#This Row],[Department]],$A$15:$B$40,2,FALSE)</f>
        <v>Bermuda</v>
      </c>
    </row>
    <row r="309" spans="4:25" x14ac:dyDescent="0.25">
      <c r="D309" s="78">
        <v>450201</v>
      </c>
      <c r="E309" s="78">
        <v>280066590</v>
      </c>
      <c r="F309" s="83" t="s">
        <v>42</v>
      </c>
      <c r="G309" s="1" t="s">
        <v>515</v>
      </c>
      <c r="H309" s="1" t="s">
        <v>14</v>
      </c>
      <c r="I309" s="1" t="s">
        <v>516</v>
      </c>
      <c r="J309" s="1">
        <v>16910088.359999999</v>
      </c>
      <c r="K309" s="1">
        <v>16910088.359999999</v>
      </c>
      <c r="L309" s="1">
        <v>0</v>
      </c>
      <c r="M309" s="1">
        <v>0</v>
      </c>
      <c r="N309" s="1" t="s">
        <v>14</v>
      </c>
      <c r="O309" s="1">
        <v>0.75715511999999996</v>
      </c>
      <c r="P309" s="1">
        <v>1</v>
      </c>
      <c r="Q309" s="83">
        <v>485.59</v>
      </c>
      <c r="R309" s="83">
        <v>485.59</v>
      </c>
      <c r="S309" s="1">
        <v>485.59</v>
      </c>
      <c r="T309" s="83">
        <v>0</v>
      </c>
      <c r="U309" s="1" t="s">
        <v>122</v>
      </c>
      <c r="V309" s="1" t="s">
        <v>837</v>
      </c>
      <c r="W309" s="1">
        <v>3280.0940773799998</v>
      </c>
      <c r="X309" s="1"/>
      <c r="Y309" s="83" t="str">
        <f>VLOOKUP(LossTable[[#This Row],[Department]],$A$15:$B$40,2,FALSE)</f>
        <v>FP</v>
      </c>
    </row>
    <row r="310" spans="4:25" x14ac:dyDescent="0.25">
      <c r="D310" s="78">
        <v>456761</v>
      </c>
      <c r="E310" s="78">
        <v>280066590</v>
      </c>
      <c r="F310" s="83" t="s">
        <v>45</v>
      </c>
      <c r="G310" s="1" t="s">
        <v>577</v>
      </c>
      <c r="H310" s="1" t="s">
        <v>14</v>
      </c>
      <c r="I310" s="1" t="s">
        <v>589</v>
      </c>
      <c r="J310" s="1">
        <v>5094000</v>
      </c>
      <c r="K310" s="1">
        <v>25470000</v>
      </c>
      <c r="L310" s="1">
        <v>0</v>
      </c>
      <c r="M310" s="1">
        <v>0</v>
      </c>
      <c r="N310" s="1" t="s">
        <v>590</v>
      </c>
      <c r="O310" s="1">
        <v>1.7667840000000001E-2</v>
      </c>
      <c r="P310" s="1">
        <v>0.2</v>
      </c>
      <c r="Q310" s="83">
        <v>48.898000000000003</v>
      </c>
      <c r="R310" s="83">
        <v>48.898000000000003</v>
      </c>
      <c r="S310" s="1">
        <v>48.898000000000003</v>
      </c>
      <c r="T310" s="83">
        <v>0</v>
      </c>
      <c r="U310" s="1" t="s">
        <v>122</v>
      </c>
      <c r="V310" s="1" t="s">
        <v>837</v>
      </c>
      <c r="W310" s="1">
        <v>3280.0940773799998</v>
      </c>
      <c r="X310" s="1"/>
      <c r="Y310" s="83" t="str">
        <f>VLOOKUP(LossTable[[#This Row],[Department]],$A$15:$B$40,2,FALSE)</f>
        <v>FP</v>
      </c>
    </row>
    <row r="311" spans="4:25" x14ac:dyDescent="0.25">
      <c r="D311" s="78">
        <v>462061</v>
      </c>
      <c r="E311" s="78">
        <v>280066590</v>
      </c>
      <c r="F311" s="83" t="s">
        <v>94</v>
      </c>
      <c r="G311" s="1" t="s">
        <v>841</v>
      </c>
      <c r="H311" s="1" t="s">
        <v>16</v>
      </c>
      <c r="I311" s="1" t="s">
        <v>842</v>
      </c>
      <c r="J311" s="1">
        <v>600000</v>
      </c>
      <c r="K311" s="1">
        <v>12000000</v>
      </c>
      <c r="L311" s="1">
        <v>0</v>
      </c>
      <c r="M311" s="1">
        <v>0</v>
      </c>
      <c r="N311" s="1" t="s">
        <v>122</v>
      </c>
      <c r="O311" s="1">
        <v>1.2999801</v>
      </c>
      <c r="P311" s="1">
        <v>0.05</v>
      </c>
      <c r="Q311" s="83">
        <v>3.0870000000000002</v>
      </c>
      <c r="R311" s="83">
        <v>3.0870000000000002</v>
      </c>
      <c r="S311" s="1">
        <v>3.0870000000000002</v>
      </c>
      <c r="T311" s="83">
        <v>0</v>
      </c>
      <c r="U311" s="1" t="s">
        <v>122</v>
      </c>
      <c r="V311" s="1" t="s">
        <v>837</v>
      </c>
      <c r="W311" s="1">
        <v>3280.0940773799998</v>
      </c>
      <c r="X311" s="1"/>
      <c r="Y311" s="83" t="str">
        <f>VLOOKUP(LossTable[[#This Row],[Department]],$A$15:$B$40,2,FALSE)</f>
        <v>TP</v>
      </c>
    </row>
    <row r="312" spans="4:25" x14ac:dyDescent="0.25">
      <c r="D312" s="78">
        <v>468438</v>
      </c>
      <c r="E312" s="78">
        <v>280066590</v>
      </c>
      <c r="F312" s="83" t="s">
        <v>94</v>
      </c>
      <c r="G312" s="1" t="s">
        <v>764</v>
      </c>
      <c r="H312" s="1" t="s">
        <v>13</v>
      </c>
      <c r="I312" s="1" t="s">
        <v>765</v>
      </c>
      <c r="J312" s="1">
        <v>1050000</v>
      </c>
      <c r="K312" s="1">
        <v>30000000</v>
      </c>
      <c r="L312" s="1">
        <v>20000000</v>
      </c>
      <c r="M312" s="1">
        <v>0</v>
      </c>
      <c r="N312" s="1" t="s">
        <v>766</v>
      </c>
      <c r="O312" s="1">
        <v>0.215</v>
      </c>
      <c r="P312" s="1">
        <v>3.5000000000000003E-2</v>
      </c>
      <c r="Q312" s="83">
        <v>1050000</v>
      </c>
      <c r="R312" s="83">
        <v>644794.12632175698</v>
      </c>
      <c r="S312" s="1">
        <v>644794.12632175698</v>
      </c>
      <c r="T312" s="83">
        <v>138630.73715917801</v>
      </c>
      <c r="U312" s="1" t="s">
        <v>122</v>
      </c>
      <c r="V312" s="1" t="s">
        <v>837</v>
      </c>
      <c r="W312" s="1">
        <v>3280.0940773799998</v>
      </c>
      <c r="X312" s="1"/>
      <c r="Y312" s="83" t="str">
        <f>VLOOKUP(LossTable[[#This Row],[Department]],$A$15:$B$40,2,FALSE)</f>
        <v>TP</v>
      </c>
    </row>
    <row r="313" spans="4:25" x14ac:dyDescent="0.25">
      <c r="D313" s="78">
        <v>468837</v>
      </c>
      <c r="E313" s="78">
        <v>280066590</v>
      </c>
      <c r="F313" s="83" t="s">
        <v>94</v>
      </c>
      <c r="G313" s="1" t="s">
        <v>582</v>
      </c>
      <c r="H313" s="1" t="s">
        <v>16</v>
      </c>
      <c r="I313" s="1" t="s">
        <v>583</v>
      </c>
      <c r="J313" s="1">
        <v>500000</v>
      </c>
      <c r="K313" s="1">
        <v>10000000</v>
      </c>
      <c r="L313" s="1">
        <v>0</v>
      </c>
      <c r="M313" s="1">
        <v>0</v>
      </c>
      <c r="N313" s="1" t="s">
        <v>122</v>
      </c>
      <c r="O313" s="1">
        <v>2.2774999999999999</v>
      </c>
      <c r="P313" s="1">
        <v>0.05</v>
      </c>
      <c r="Q313" s="83">
        <v>20.803000000000001</v>
      </c>
      <c r="R313" s="83">
        <v>20.803000000000001</v>
      </c>
      <c r="S313" s="1">
        <v>20.803000000000001</v>
      </c>
      <c r="T313" s="83">
        <v>0</v>
      </c>
      <c r="U313" s="1" t="s">
        <v>122</v>
      </c>
      <c r="V313" s="1" t="s">
        <v>837</v>
      </c>
      <c r="W313" s="1">
        <v>3280.0940773799998</v>
      </c>
      <c r="X313" s="1"/>
      <c r="Y313" s="83" t="str">
        <f>VLOOKUP(LossTable[[#This Row],[Department]],$A$15:$B$40,2,FALSE)</f>
        <v>TP</v>
      </c>
    </row>
    <row r="314" spans="4:25" x14ac:dyDescent="0.25">
      <c r="D314" s="78">
        <v>473014</v>
      </c>
      <c r="E314" s="78">
        <v>280066590</v>
      </c>
      <c r="F314" s="83" t="s">
        <v>21</v>
      </c>
      <c r="G314" s="1" t="s">
        <v>699</v>
      </c>
      <c r="H314" s="1" t="s">
        <v>14</v>
      </c>
      <c r="I314" s="1" t="s">
        <v>700</v>
      </c>
      <c r="J314" s="1">
        <v>7000000</v>
      </c>
      <c r="K314" s="1">
        <v>70000000</v>
      </c>
      <c r="L314" s="1">
        <v>0</v>
      </c>
      <c r="M314" s="1">
        <v>0</v>
      </c>
      <c r="N314" s="1" t="s">
        <v>701</v>
      </c>
      <c r="O314" s="1">
        <v>0.39285713999999999</v>
      </c>
      <c r="P314" s="1">
        <v>0.1</v>
      </c>
      <c r="Q314" s="83">
        <v>2523.6819999999998</v>
      </c>
      <c r="R314" s="83">
        <v>2523.6819999999998</v>
      </c>
      <c r="S314" s="1">
        <v>2523.6819999999998</v>
      </c>
      <c r="T314" s="83">
        <v>0</v>
      </c>
      <c r="U314" s="1" t="s">
        <v>122</v>
      </c>
      <c r="V314" s="1" t="s">
        <v>837</v>
      </c>
      <c r="W314" s="1">
        <v>3280.0940773799998</v>
      </c>
      <c r="X314" s="1"/>
      <c r="Y314" s="83" t="str">
        <f>VLOOKUP(LossTable[[#This Row],[Department]],$A$15:$B$40,2,FALSE)</f>
        <v>London</v>
      </c>
    </row>
    <row r="315" spans="4:25" x14ac:dyDescent="0.25">
      <c r="D315" s="78">
        <v>474073</v>
      </c>
      <c r="E315" s="78">
        <v>280066590</v>
      </c>
      <c r="F315" s="83" t="s">
        <v>94</v>
      </c>
      <c r="G315" s="1" t="s">
        <v>648</v>
      </c>
      <c r="H315" s="1" t="s">
        <v>16</v>
      </c>
      <c r="I315" s="1" t="s">
        <v>649</v>
      </c>
      <c r="J315" s="1">
        <v>300000</v>
      </c>
      <c r="K315" s="1">
        <v>10000000</v>
      </c>
      <c r="L315" s="1">
        <v>0</v>
      </c>
      <c r="M315" s="1">
        <v>0</v>
      </c>
      <c r="N315" s="1" t="s">
        <v>122</v>
      </c>
      <c r="O315" s="1">
        <v>0.98</v>
      </c>
      <c r="P315" s="1">
        <v>0.03</v>
      </c>
      <c r="Q315" s="83">
        <v>160.6113</v>
      </c>
      <c r="R315" s="83">
        <v>160.6113</v>
      </c>
      <c r="S315" s="1">
        <v>160.6113</v>
      </c>
      <c r="T315" s="83">
        <v>0</v>
      </c>
      <c r="U315" s="1" t="s">
        <v>122</v>
      </c>
      <c r="V315" s="1" t="s">
        <v>837</v>
      </c>
      <c r="W315" s="1">
        <v>3280.0940773799998</v>
      </c>
      <c r="X315" s="1"/>
      <c r="Y315" s="83" t="str">
        <f>VLOOKUP(LossTable[[#This Row],[Department]],$A$15:$B$40,2,FALSE)</f>
        <v>TP</v>
      </c>
    </row>
    <row r="316" spans="4:25" x14ac:dyDescent="0.25">
      <c r="D316" s="78">
        <v>475196</v>
      </c>
      <c r="E316" s="78">
        <v>280066590</v>
      </c>
      <c r="F316" s="83" t="s">
        <v>21</v>
      </c>
      <c r="G316" s="1" t="s">
        <v>614</v>
      </c>
      <c r="H316" s="1" t="s">
        <v>14</v>
      </c>
      <c r="I316" s="1" t="s">
        <v>615</v>
      </c>
      <c r="J316" s="1">
        <v>25000000</v>
      </c>
      <c r="K316" s="1">
        <v>400000000</v>
      </c>
      <c r="L316" s="1">
        <v>0</v>
      </c>
      <c r="M316" s="1">
        <v>0</v>
      </c>
      <c r="N316" s="1" t="s">
        <v>157</v>
      </c>
      <c r="O316" s="1">
        <v>1.54125</v>
      </c>
      <c r="P316" s="1">
        <v>6.25E-2</v>
      </c>
      <c r="Q316" s="83">
        <v>22793.190624999999</v>
      </c>
      <c r="R316" s="83">
        <v>22793.190624999999</v>
      </c>
      <c r="S316" s="1">
        <v>22793.190624999999</v>
      </c>
      <c r="T316" s="83">
        <v>0</v>
      </c>
      <c r="U316" s="1" t="s">
        <v>122</v>
      </c>
      <c r="V316" s="1" t="s">
        <v>837</v>
      </c>
      <c r="W316" s="1">
        <v>3280.0940773799998</v>
      </c>
      <c r="X316" s="1"/>
      <c r="Y316" s="83" t="str">
        <f>VLOOKUP(LossTable[[#This Row],[Department]],$A$15:$B$40,2,FALSE)</f>
        <v>London</v>
      </c>
    </row>
    <row r="317" spans="4:25" x14ac:dyDescent="0.25">
      <c r="D317" s="78">
        <v>479985</v>
      </c>
      <c r="E317" s="78">
        <v>280066590</v>
      </c>
      <c r="F317" s="83" t="s">
        <v>94</v>
      </c>
      <c r="G317" s="1" t="s">
        <v>661</v>
      </c>
      <c r="H317" s="1" t="s">
        <v>16</v>
      </c>
      <c r="I317" s="1" t="s">
        <v>662</v>
      </c>
      <c r="J317" s="1">
        <v>1200000</v>
      </c>
      <c r="K317" s="1">
        <v>12000000</v>
      </c>
      <c r="L317" s="1">
        <v>0</v>
      </c>
      <c r="M317" s="1">
        <v>0</v>
      </c>
      <c r="N317" s="1" t="s">
        <v>493</v>
      </c>
      <c r="O317" s="1">
        <v>0.45</v>
      </c>
      <c r="P317" s="1">
        <v>0.1</v>
      </c>
      <c r="Q317" s="83">
        <v>58.533999999999999</v>
      </c>
      <c r="R317" s="83">
        <v>58.533999999999999</v>
      </c>
      <c r="S317" s="1">
        <v>58.533999999999999</v>
      </c>
      <c r="T317" s="83">
        <v>0</v>
      </c>
      <c r="U317" s="1" t="s">
        <v>122</v>
      </c>
      <c r="V317" s="1" t="s">
        <v>837</v>
      </c>
      <c r="W317" s="1">
        <v>3280.0940773799998</v>
      </c>
      <c r="X317" s="1"/>
      <c r="Y317" s="83" t="str">
        <f>VLOOKUP(LossTable[[#This Row],[Department]],$A$15:$B$40,2,FALSE)</f>
        <v>TP</v>
      </c>
    </row>
    <row r="318" spans="4:25" x14ac:dyDescent="0.25">
      <c r="D318" s="78">
        <v>480246</v>
      </c>
      <c r="E318" s="78">
        <v>280066590</v>
      </c>
      <c r="F318" s="83" t="s">
        <v>94</v>
      </c>
      <c r="G318" s="1" t="s">
        <v>704</v>
      </c>
      <c r="H318" s="1" t="s">
        <v>14</v>
      </c>
      <c r="I318" s="1" t="s">
        <v>705</v>
      </c>
      <c r="J318" s="1">
        <v>40000000</v>
      </c>
      <c r="K318" s="1">
        <v>800000000</v>
      </c>
      <c r="L318" s="1">
        <v>0</v>
      </c>
      <c r="M318" s="1">
        <v>0</v>
      </c>
      <c r="N318" s="1" t="s">
        <v>159</v>
      </c>
      <c r="O318" s="1">
        <v>1.67317144</v>
      </c>
      <c r="P318" s="1">
        <v>0.05</v>
      </c>
      <c r="Q318" s="83">
        <v>332634.04749999999</v>
      </c>
      <c r="R318" s="83">
        <v>332634.04749999999</v>
      </c>
      <c r="S318" s="1">
        <v>332634.04749999999</v>
      </c>
      <c r="T318" s="83">
        <v>0</v>
      </c>
      <c r="U318" s="1" t="s">
        <v>122</v>
      </c>
      <c r="V318" s="1" t="s">
        <v>837</v>
      </c>
      <c r="W318" s="1">
        <v>3280.0940773799998</v>
      </c>
      <c r="X318" s="1"/>
      <c r="Y318" s="83" t="str">
        <f>VLOOKUP(LossTable[[#This Row],[Department]],$A$15:$B$40,2,FALSE)</f>
        <v>TP</v>
      </c>
    </row>
    <row r="319" spans="4:25" x14ac:dyDescent="0.25">
      <c r="D319" s="78">
        <v>481623</v>
      </c>
      <c r="E319" s="78">
        <v>280066590</v>
      </c>
      <c r="F319" s="83" t="s">
        <v>94</v>
      </c>
      <c r="G319" s="1" t="s">
        <v>677</v>
      </c>
      <c r="H319" s="1" t="s">
        <v>16</v>
      </c>
      <c r="I319" s="1" t="s">
        <v>678</v>
      </c>
      <c r="J319" s="1">
        <v>500000</v>
      </c>
      <c r="K319" s="1">
        <v>5000000</v>
      </c>
      <c r="L319" s="1">
        <v>0</v>
      </c>
      <c r="M319" s="1">
        <v>0</v>
      </c>
      <c r="N319" s="1" t="s">
        <v>475</v>
      </c>
      <c r="O319" s="1">
        <v>1.6</v>
      </c>
      <c r="P319" s="1">
        <v>0.1</v>
      </c>
      <c r="Q319" s="83">
        <v>4.4690000000000003</v>
      </c>
      <c r="R319" s="83">
        <v>4.4690000000000003</v>
      </c>
      <c r="S319" s="1">
        <v>4.4690000000000003</v>
      </c>
      <c r="T319" s="83">
        <v>0</v>
      </c>
      <c r="U319" s="1" t="s">
        <v>122</v>
      </c>
      <c r="V319" s="1" t="s">
        <v>837</v>
      </c>
      <c r="W319" s="1">
        <v>3280.0940773799998</v>
      </c>
      <c r="X319" s="1"/>
      <c r="Y319" s="83" t="str">
        <f>VLOOKUP(LossTable[[#This Row],[Department]],$A$15:$B$40,2,FALSE)</f>
        <v>TP</v>
      </c>
    </row>
    <row r="320" spans="4:25" x14ac:dyDescent="0.25">
      <c r="D320" s="78">
        <v>484258</v>
      </c>
      <c r="E320" s="78">
        <v>280066590</v>
      </c>
      <c r="F320" s="83" t="s">
        <v>94</v>
      </c>
      <c r="G320" s="1" t="s">
        <v>686</v>
      </c>
      <c r="H320" s="1" t="s">
        <v>16</v>
      </c>
      <c r="I320" s="1" t="s">
        <v>728</v>
      </c>
      <c r="J320" s="1">
        <v>3375000</v>
      </c>
      <c r="K320" s="1">
        <v>45000000</v>
      </c>
      <c r="L320" s="1">
        <v>0</v>
      </c>
      <c r="M320" s="1">
        <v>0</v>
      </c>
      <c r="N320" s="1" t="s">
        <v>122</v>
      </c>
      <c r="O320" s="1">
        <v>2.4</v>
      </c>
      <c r="P320" s="1">
        <v>7.4999999999999997E-2</v>
      </c>
      <c r="Q320" s="83">
        <v>4597.2667499999998</v>
      </c>
      <c r="R320" s="83">
        <v>4597.2667499999998</v>
      </c>
      <c r="S320" s="1">
        <v>4597.2667499999998</v>
      </c>
      <c r="T320" s="83">
        <v>0</v>
      </c>
      <c r="U320" s="1" t="s">
        <v>122</v>
      </c>
      <c r="V320" s="1" t="s">
        <v>837</v>
      </c>
      <c r="W320" s="1">
        <v>3280.0940773799998</v>
      </c>
      <c r="X320" s="1"/>
      <c r="Y320" s="83" t="str">
        <f>VLOOKUP(LossTable[[#This Row],[Department]],$A$15:$B$40,2,FALSE)</f>
        <v>TP</v>
      </c>
    </row>
    <row r="321" spans="4:25" x14ac:dyDescent="0.25">
      <c r="D321" s="78">
        <v>484925</v>
      </c>
      <c r="E321" s="78">
        <v>280066590</v>
      </c>
      <c r="F321" s="83" t="s">
        <v>21</v>
      </c>
      <c r="G321" s="1" t="s">
        <v>749</v>
      </c>
      <c r="H321" s="1" t="s">
        <v>14</v>
      </c>
      <c r="I321" s="1" t="s">
        <v>750</v>
      </c>
      <c r="J321" s="1">
        <v>15495000</v>
      </c>
      <c r="K321" s="1">
        <v>516500000</v>
      </c>
      <c r="L321" s="1">
        <v>0</v>
      </c>
      <c r="M321" s="1">
        <v>0</v>
      </c>
      <c r="N321" s="1" t="s">
        <v>751</v>
      </c>
      <c r="O321" s="1">
        <v>1.2598685199999999</v>
      </c>
      <c r="P321" s="1">
        <v>0.03</v>
      </c>
      <c r="Q321" s="83">
        <v>37.220399999999998</v>
      </c>
      <c r="R321" s="83">
        <v>37.220399999999998</v>
      </c>
      <c r="S321" s="1">
        <v>37.220399999999998</v>
      </c>
      <c r="T321" s="83">
        <v>0</v>
      </c>
      <c r="U321" s="1" t="s">
        <v>122</v>
      </c>
      <c r="V321" s="1" t="s">
        <v>837</v>
      </c>
      <c r="W321" s="1">
        <v>3280.0940773799998</v>
      </c>
      <c r="X321" s="1"/>
      <c r="Y321" s="83" t="str">
        <f>VLOOKUP(LossTable[[#This Row],[Department]],$A$15:$B$40,2,FALSE)</f>
        <v>London</v>
      </c>
    </row>
    <row r="322" spans="4:25" x14ac:dyDescent="0.25">
      <c r="D322" s="78">
        <v>485540</v>
      </c>
      <c r="E322" s="78">
        <v>280066590</v>
      </c>
      <c r="F322" s="83" t="s">
        <v>94</v>
      </c>
      <c r="G322" s="1" t="s">
        <v>720</v>
      </c>
      <c r="H322" s="1" t="s">
        <v>16</v>
      </c>
      <c r="I322" s="1" t="s">
        <v>721</v>
      </c>
      <c r="J322" s="1">
        <v>3000000</v>
      </c>
      <c r="K322" s="1">
        <v>30000000</v>
      </c>
      <c r="L322" s="1">
        <v>0</v>
      </c>
      <c r="M322" s="1">
        <v>0</v>
      </c>
      <c r="N322" s="1" t="s">
        <v>122</v>
      </c>
      <c r="O322" s="1">
        <v>1.3998577299999999</v>
      </c>
      <c r="P322" s="1">
        <v>0.1</v>
      </c>
      <c r="Q322" s="83">
        <v>57.393000000000001</v>
      </c>
      <c r="R322" s="83">
        <v>57.393000000000001</v>
      </c>
      <c r="S322" s="1">
        <v>57.393000000000001</v>
      </c>
      <c r="T322" s="83">
        <v>0</v>
      </c>
      <c r="U322" s="1" t="s">
        <v>122</v>
      </c>
      <c r="V322" s="1" t="s">
        <v>837</v>
      </c>
      <c r="W322" s="1">
        <v>3280.0940773799998</v>
      </c>
      <c r="X322" s="1"/>
      <c r="Y322" s="83" t="str">
        <f>VLOOKUP(LossTable[[#This Row],[Department]],$A$15:$B$40,2,FALSE)</f>
        <v>TP</v>
      </c>
    </row>
    <row r="323" spans="4:25" x14ac:dyDescent="0.25">
      <c r="D323" s="78">
        <v>469826</v>
      </c>
      <c r="E323" s="78">
        <v>280014790</v>
      </c>
      <c r="F323" s="83" t="s">
        <v>94</v>
      </c>
      <c r="G323" s="1" t="s">
        <v>609</v>
      </c>
      <c r="H323" s="1" t="s">
        <v>13</v>
      </c>
      <c r="I323" s="1" t="s">
        <v>610</v>
      </c>
      <c r="J323" s="1">
        <v>900000</v>
      </c>
      <c r="K323" s="1">
        <v>6000000</v>
      </c>
      <c r="L323" s="1">
        <v>4000000</v>
      </c>
      <c r="M323" s="1">
        <v>0</v>
      </c>
      <c r="N323" s="1" t="s">
        <v>611</v>
      </c>
      <c r="O323" s="1">
        <v>0.17349999999999999</v>
      </c>
      <c r="P323" s="1">
        <v>0.15</v>
      </c>
      <c r="Q323" s="83">
        <v>178877.74050000001</v>
      </c>
      <c r="R323" s="83">
        <v>109846.968003912</v>
      </c>
      <c r="S323" s="1">
        <v>109846.968003912</v>
      </c>
      <c r="T323" s="83">
        <v>19058.444633630399</v>
      </c>
      <c r="U323" s="1" t="s">
        <v>122</v>
      </c>
      <c r="V323" s="1" t="s">
        <v>836</v>
      </c>
      <c r="W323" s="1">
        <v>4781.60363426</v>
      </c>
      <c r="X323" s="1"/>
      <c r="Y323" s="83" t="str">
        <f>VLOOKUP(LossTable[[#This Row],[Department]],$A$15:$B$40,2,FALSE)</f>
        <v>TP</v>
      </c>
    </row>
    <row r="324" spans="4:25" x14ac:dyDescent="0.25">
      <c r="D324" s="78">
        <v>473018</v>
      </c>
      <c r="E324" s="78">
        <v>280014790</v>
      </c>
      <c r="F324" s="83" t="s">
        <v>94</v>
      </c>
      <c r="G324" s="1" t="s">
        <v>604</v>
      </c>
      <c r="H324" s="1" t="s">
        <v>16</v>
      </c>
      <c r="I324" s="1" t="s">
        <v>640</v>
      </c>
      <c r="J324" s="1">
        <v>210000</v>
      </c>
      <c r="K324" s="1">
        <v>12000000</v>
      </c>
      <c r="L324" s="1">
        <v>0</v>
      </c>
      <c r="M324" s="1">
        <v>0</v>
      </c>
      <c r="N324" s="1" t="s">
        <v>122</v>
      </c>
      <c r="O324" s="1">
        <v>1.1531666700000001</v>
      </c>
      <c r="P324" s="1">
        <v>1.7500000000000002E-2</v>
      </c>
      <c r="Q324" s="83">
        <v>92.108625000000004</v>
      </c>
      <c r="R324" s="83">
        <v>92.108625000000004</v>
      </c>
      <c r="S324" s="1">
        <v>92.108625000000004</v>
      </c>
      <c r="T324" s="83">
        <v>0</v>
      </c>
      <c r="U324" s="1" t="s">
        <v>122</v>
      </c>
      <c r="V324" s="1" t="s">
        <v>836</v>
      </c>
      <c r="W324" s="1">
        <v>4781.60363426</v>
      </c>
      <c r="X324" s="1"/>
      <c r="Y324" s="83" t="str">
        <f>VLOOKUP(LossTable[[#This Row],[Department]],$A$15:$B$40,2,FALSE)</f>
        <v>TP</v>
      </c>
    </row>
    <row r="325" spans="4:25" x14ac:dyDescent="0.25">
      <c r="D325" s="78">
        <v>475727</v>
      </c>
      <c r="E325" s="78">
        <v>280014790</v>
      </c>
      <c r="F325" s="83" t="s">
        <v>12</v>
      </c>
      <c r="G325" s="1" t="s">
        <v>681</v>
      </c>
      <c r="H325" s="1" t="s">
        <v>14</v>
      </c>
      <c r="I325" s="1" t="s">
        <v>682</v>
      </c>
      <c r="J325" s="1">
        <v>31500000</v>
      </c>
      <c r="K325" s="1">
        <v>900000000</v>
      </c>
      <c r="L325" s="1">
        <v>0</v>
      </c>
      <c r="M325" s="1">
        <v>0</v>
      </c>
      <c r="N325" s="1" t="s">
        <v>122</v>
      </c>
      <c r="O325" s="1">
        <v>0.65800000000000003</v>
      </c>
      <c r="P325" s="1">
        <v>3.5000000000000003E-2</v>
      </c>
      <c r="Q325" s="83">
        <v>482533.43914999999</v>
      </c>
      <c r="R325" s="83">
        <v>482533.43914999999</v>
      </c>
      <c r="S325" s="1">
        <v>482533.43914999999</v>
      </c>
      <c r="T325" s="83">
        <v>0</v>
      </c>
      <c r="U325" s="1" t="s">
        <v>122</v>
      </c>
      <c r="V325" s="1" t="s">
        <v>836</v>
      </c>
      <c r="W325" s="1">
        <v>4781.60363426</v>
      </c>
      <c r="X325" s="1"/>
      <c r="Y325" s="83" t="str">
        <f>VLOOKUP(LossTable[[#This Row],[Department]],$A$15:$B$40,2,FALSE)</f>
        <v>Bermuda</v>
      </c>
    </row>
    <row r="326" spans="4:25" x14ac:dyDescent="0.25">
      <c r="D326" s="78">
        <v>476660</v>
      </c>
      <c r="E326" s="78">
        <v>280014790</v>
      </c>
      <c r="F326" s="83" t="s">
        <v>45</v>
      </c>
      <c r="G326" s="1" t="s">
        <v>669</v>
      </c>
      <c r="H326" s="1" t="s">
        <v>16</v>
      </c>
      <c r="I326" s="1" t="s">
        <v>770</v>
      </c>
      <c r="J326" s="1">
        <v>500000</v>
      </c>
      <c r="K326" s="1">
        <v>5000000</v>
      </c>
      <c r="L326" s="1">
        <v>0</v>
      </c>
      <c r="M326" s="1">
        <v>0</v>
      </c>
      <c r="N326" s="1" t="s">
        <v>771</v>
      </c>
      <c r="O326" s="1">
        <v>7.4999999999999997E-2</v>
      </c>
      <c r="P326" s="1">
        <v>0.1</v>
      </c>
      <c r="Q326" s="83">
        <v>2.677</v>
      </c>
      <c r="R326" s="83">
        <v>2.677</v>
      </c>
      <c r="S326" s="1">
        <v>2.677</v>
      </c>
      <c r="T326" s="83">
        <v>0.20012460000000001</v>
      </c>
      <c r="U326" s="1" t="s">
        <v>122</v>
      </c>
      <c r="V326" s="1" t="s">
        <v>836</v>
      </c>
      <c r="W326" s="1">
        <v>4781.60363426</v>
      </c>
      <c r="X326" s="1"/>
      <c r="Y326" s="83" t="str">
        <f>VLOOKUP(LossTable[[#This Row],[Department]],$A$15:$B$40,2,FALSE)</f>
        <v>FP</v>
      </c>
    </row>
    <row r="327" spans="4:25" x14ac:dyDescent="0.25">
      <c r="D327" s="78">
        <v>476710</v>
      </c>
      <c r="E327" s="78">
        <v>280014790</v>
      </c>
      <c r="F327" s="83" t="s">
        <v>94</v>
      </c>
      <c r="G327" s="1" t="s">
        <v>824</v>
      </c>
      <c r="H327" s="1" t="s">
        <v>13</v>
      </c>
      <c r="I327" s="1" t="s">
        <v>825</v>
      </c>
      <c r="J327" s="1">
        <v>1050000</v>
      </c>
      <c r="K327" s="1">
        <v>30000000</v>
      </c>
      <c r="L327" s="1">
        <v>30000000</v>
      </c>
      <c r="M327" s="1">
        <v>0</v>
      </c>
      <c r="N327" s="1" t="s">
        <v>823</v>
      </c>
      <c r="O327" s="1">
        <v>0.24</v>
      </c>
      <c r="P327" s="1">
        <v>3.5000000000000003E-2</v>
      </c>
      <c r="Q327" s="83">
        <v>233529.02439999999</v>
      </c>
      <c r="R327" s="83">
        <v>143407.75548454301</v>
      </c>
      <c r="S327" s="1">
        <v>143407.75548454301</v>
      </c>
      <c r="T327" s="83">
        <v>34417.769291272598</v>
      </c>
      <c r="U327" s="1" t="s">
        <v>122</v>
      </c>
      <c r="V327" s="1" t="s">
        <v>836</v>
      </c>
      <c r="W327" s="1">
        <v>4781.60363426</v>
      </c>
      <c r="X327" s="1"/>
      <c r="Y327" s="83" t="str">
        <f>VLOOKUP(LossTable[[#This Row],[Department]],$A$15:$B$40,2,FALSE)</f>
        <v>TP</v>
      </c>
    </row>
    <row r="328" spans="4:25" x14ac:dyDescent="0.25">
      <c r="D328" s="78">
        <v>480314</v>
      </c>
      <c r="E328" s="78">
        <v>280014790</v>
      </c>
      <c r="F328" s="83" t="s">
        <v>94</v>
      </c>
      <c r="G328" s="1" t="s">
        <v>713</v>
      </c>
      <c r="H328" s="1" t="s">
        <v>14</v>
      </c>
      <c r="I328" s="1" t="s">
        <v>714</v>
      </c>
      <c r="J328" s="1">
        <v>9800000</v>
      </c>
      <c r="K328" s="1">
        <v>700000000</v>
      </c>
      <c r="L328" s="1">
        <v>0</v>
      </c>
      <c r="M328" s="1">
        <v>0</v>
      </c>
      <c r="N328" s="1" t="s">
        <v>122</v>
      </c>
      <c r="O328" s="1">
        <v>0.8</v>
      </c>
      <c r="P328" s="1">
        <v>1.4E-2</v>
      </c>
      <c r="Q328" s="83">
        <v>186104.66252000001</v>
      </c>
      <c r="R328" s="83">
        <v>186104.66252000001</v>
      </c>
      <c r="S328" s="1">
        <v>186104.66252000001</v>
      </c>
      <c r="T328" s="83">
        <v>0</v>
      </c>
      <c r="U328" s="1" t="s">
        <v>122</v>
      </c>
      <c r="V328" s="1" t="s">
        <v>836</v>
      </c>
      <c r="W328" s="1">
        <v>4781.60363426</v>
      </c>
      <c r="X328" s="1"/>
      <c r="Y328" s="83" t="str">
        <f>VLOOKUP(LossTable[[#This Row],[Department]],$A$15:$B$40,2,FALSE)</f>
        <v>TP</v>
      </c>
    </row>
    <row r="329" spans="4:25" x14ac:dyDescent="0.25">
      <c r="D329" s="78">
        <v>480746</v>
      </c>
      <c r="E329" s="78">
        <v>280014790</v>
      </c>
      <c r="F329" s="83" t="s">
        <v>45</v>
      </c>
      <c r="G329" s="1" t="s">
        <v>669</v>
      </c>
      <c r="H329" s="1" t="s">
        <v>16</v>
      </c>
      <c r="I329" s="1" t="s">
        <v>670</v>
      </c>
      <c r="J329" s="1">
        <v>300000</v>
      </c>
      <c r="K329" s="1">
        <v>3000000</v>
      </c>
      <c r="L329" s="1">
        <v>0</v>
      </c>
      <c r="M329" s="1">
        <v>0</v>
      </c>
      <c r="N329" s="1" t="s">
        <v>403</v>
      </c>
      <c r="O329" s="1">
        <v>0.55000000000000004</v>
      </c>
      <c r="P329" s="1">
        <v>0.1</v>
      </c>
      <c r="Q329" s="83">
        <v>1646.8440000000001</v>
      </c>
      <c r="R329" s="83">
        <v>1646.8440000000001</v>
      </c>
      <c r="S329" s="1">
        <v>1646.8440000000001</v>
      </c>
      <c r="T329" s="83">
        <v>905.68499998000004</v>
      </c>
      <c r="U329" s="1" t="s">
        <v>122</v>
      </c>
      <c r="V329" s="1" t="s">
        <v>836</v>
      </c>
      <c r="W329" s="1">
        <v>4781.60363426</v>
      </c>
      <c r="X329" s="1"/>
      <c r="Y329" s="83" t="str">
        <f>VLOOKUP(LossTable[[#This Row],[Department]],$A$15:$B$40,2,FALSE)</f>
        <v>FP</v>
      </c>
    </row>
    <row r="330" spans="4:25" x14ac:dyDescent="0.25">
      <c r="D330" s="78">
        <v>483407</v>
      </c>
      <c r="E330" s="78">
        <v>280014790</v>
      </c>
      <c r="F330" s="83" t="s">
        <v>15</v>
      </c>
      <c r="G330" s="1" t="s">
        <v>790</v>
      </c>
      <c r="H330" s="1" t="s">
        <v>16</v>
      </c>
      <c r="I330" s="1" t="s">
        <v>791</v>
      </c>
      <c r="J330" s="1">
        <v>2021042.6874333001</v>
      </c>
      <c r="K330" s="1">
        <v>202104268.74333</v>
      </c>
      <c r="L330" s="1">
        <v>0</v>
      </c>
      <c r="M330" s="1">
        <v>0</v>
      </c>
      <c r="N330" s="1" t="s">
        <v>122</v>
      </c>
      <c r="O330" s="1">
        <v>0.31256476</v>
      </c>
      <c r="P330" s="1">
        <v>0.01</v>
      </c>
      <c r="Q330" s="83">
        <v>54.474748439999999</v>
      </c>
      <c r="R330" s="83">
        <v>54.474748439999999</v>
      </c>
      <c r="S330" s="1">
        <v>54.474748439999999</v>
      </c>
      <c r="T330" s="83">
        <v>0</v>
      </c>
      <c r="U330" s="1" t="s">
        <v>122</v>
      </c>
      <c r="V330" s="1" t="s">
        <v>836</v>
      </c>
      <c r="W330" s="1">
        <v>4781.60363426</v>
      </c>
      <c r="X330" s="1"/>
      <c r="Y330" s="83" t="str">
        <f>VLOOKUP(LossTable[[#This Row],[Department]],$A$15:$B$40,2,FALSE)</f>
        <v>Canada</v>
      </c>
    </row>
    <row r="331" spans="4:25" x14ac:dyDescent="0.25">
      <c r="D331" s="78">
        <v>483476</v>
      </c>
      <c r="E331" s="78">
        <v>280014790</v>
      </c>
      <c r="F331" s="83" t="s">
        <v>94</v>
      </c>
      <c r="G331" s="1" t="s">
        <v>785</v>
      </c>
      <c r="H331" s="1" t="s">
        <v>16</v>
      </c>
      <c r="I331" s="1" t="s">
        <v>786</v>
      </c>
      <c r="J331" s="1">
        <v>175000</v>
      </c>
      <c r="K331" s="1">
        <v>3500000</v>
      </c>
      <c r="L331" s="1">
        <v>0</v>
      </c>
      <c r="M331" s="1">
        <v>0</v>
      </c>
      <c r="N331" s="1" t="s">
        <v>787</v>
      </c>
      <c r="O331" s="1">
        <v>0.21</v>
      </c>
      <c r="P331" s="1">
        <v>0.05</v>
      </c>
      <c r="Q331" s="83">
        <v>226.50200000000001</v>
      </c>
      <c r="R331" s="83">
        <v>226.50200000000001</v>
      </c>
      <c r="S331" s="1">
        <v>226.50200000000001</v>
      </c>
      <c r="T331" s="83">
        <v>0</v>
      </c>
      <c r="U331" s="1" t="s">
        <v>122</v>
      </c>
      <c r="V331" s="1" t="s">
        <v>836</v>
      </c>
      <c r="W331" s="1">
        <v>4781.60363426</v>
      </c>
      <c r="X331" s="1"/>
      <c r="Y331" s="83" t="str">
        <f>VLOOKUP(LossTable[[#This Row],[Department]],$A$15:$B$40,2,FALSE)</f>
        <v>TP</v>
      </c>
    </row>
    <row r="332" spans="4:25" x14ac:dyDescent="0.25">
      <c r="D332" s="78">
        <v>483896</v>
      </c>
      <c r="E332" s="78">
        <v>280014790</v>
      </c>
      <c r="F332" s="83" t="s">
        <v>45</v>
      </c>
      <c r="G332" s="1" t="s">
        <v>675</v>
      </c>
      <c r="H332" s="1" t="s">
        <v>14</v>
      </c>
      <c r="I332" s="1" t="s">
        <v>741</v>
      </c>
      <c r="J332" s="1">
        <v>53352382.411124997</v>
      </c>
      <c r="K332" s="1">
        <v>2371216996.0500002</v>
      </c>
      <c r="L332" s="1">
        <v>0</v>
      </c>
      <c r="M332" s="1">
        <v>0</v>
      </c>
      <c r="N332" s="1" t="s">
        <v>14</v>
      </c>
      <c r="O332" s="1">
        <v>0.12172348</v>
      </c>
      <c r="P332" s="1">
        <v>2.2499999999999999E-2</v>
      </c>
      <c r="Q332" s="83">
        <v>90168.135974999997</v>
      </c>
      <c r="R332" s="83">
        <v>90168.135974999997</v>
      </c>
      <c r="S332" s="1">
        <v>90168.135974999997</v>
      </c>
      <c r="T332" s="83">
        <v>0</v>
      </c>
      <c r="U332" s="1" t="s">
        <v>122</v>
      </c>
      <c r="V332" s="1" t="s">
        <v>836</v>
      </c>
      <c r="W332" s="1">
        <v>4781.60363426</v>
      </c>
      <c r="X332" s="1"/>
      <c r="Y332" s="83" t="str">
        <f>VLOOKUP(LossTable[[#This Row],[Department]],$A$15:$B$40,2,FALSE)</f>
        <v>FP</v>
      </c>
    </row>
    <row r="333" spans="4:25" x14ac:dyDescent="0.25">
      <c r="D333" s="78">
        <v>484879</v>
      </c>
      <c r="E333" s="78">
        <v>280014790</v>
      </c>
      <c r="F333" s="83" t="s">
        <v>94</v>
      </c>
      <c r="G333" s="1" t="s">
        <v>808</v>
      </c>
      <c r="H333" s="1" t="s">
        <v>16</v>
      </c>
      <c r="I333" s="1" t="s">
        <v>810</v>
      </c>
      <c r="J333" s="1">
        <v>1690451.1705</v>
      </c>
      <c r="K333" s="1">
        <v>67618046.819999993</v>
      </c>
      <c r="L333" s="1">
        <v>0</v>
      </c>
      <c r="M333" s="1">
        <v>0</v>
      </c>
      <c r="N333" s="1" t="s">
        <v>122</v>
      </c>
      <c r="O333" s="1">
        <v>0.22</v>
      </c>
      <c r="P333" s="1">
        <v>2.5000000000000001E-2</v>
      </c>
      <c r="Q333" s="83">
        <v>48.122250000000001</v>
      </c>
      <c r="R333" s="83">
        <v>48.122250000000001</v>
      </c>
      <c r="S333" s="1">
        <v>48.122250000000001</v>
      </c>
      <c r="T333" s="83">
        <v>0</v>
      </c>
      <c r="U333" s="1" t="s">
        <v>122</v>
      </c>
      <c r="V333" s="1" t="s">
        <v>836</v>
      </c>
      <c r="W333" s="1">
        <v>4781.60363426</v>
      </c>
      <c r="X333" s="1"/>
      <c r="Y333" s="83" t="str">
        <f>VLOOKUP(LossTable[[#This Row],[Department]],$A$15:$B$40,2,FALSE)</f>
        <v>TP</v>
      </c>
    </row>
    <row r="334" spans="4:25" x14ac:dyDescent="0.25">
      <c r="D334" s="78">
        <v>106</v>
      </c>
      <c r="E334" s="78">
        <v>280037801</v>
      </c>
      <c r="F334" s="83" t="s">
        <v>86</v>
      </c>
      <c r="G334" s="1" t="s">
        <v>217</v>
      </c>
      <c r="H334" s="1" t="s">
        <v>16</v>
      </c>
      <c r="I334" s="1" t="s">
        <v>217</v>
      </c>
      <c r="J334" s="1">
        <v>23293518.515325401</v>
      </c>
      <c r="K334" s="1">
        <v>0</v>
      </c>
      <c r="L334" s="1">
        <v>0</v>
      </c>
      <c r="M334" s="1">
        <v>0</v>
      </c>
      <c r="N334" s="1" t="s">
        <v>44</v>
      </c>
      <c r="O334" s="1">
        <v>0</v>
      </c>
      <c r="P334" s="1">
        <v>1</v>
      </c>
      <c r="Q334" s="83">
        <v>80703.934999999998</v>
      </c>
      <c r="R334" s="83">
        <v>80703.934999999998</v>
      </c>
      <c r="S334" s="1">
        <v>80703.934999999998</v>
      </c>
      <c r="T334" s="83">
        <v>0</v>
      </c>
      <c r="U334" s="1" t="s">
        <v>122</v>
      </c>
      <c r="V334" s="1" t="s">
        <v>852</v>
      </c>
      <c r="W334" s="1">
        <v>3949.1976460300002</v>
      </c>
      <c r="X334" s="1"/>
      <c r="Y334" s="83" t="str">
        <f>VLOOKUP(LossTable[[#This Row],[Department]],$A$15:$B$40,2,FALSE)</f>
        <v>FP</v>
      </c>
    </row>
    <row r="335" spans="4:25" x14ac:dyDescent="0.25">
      <c r="D335" s="78">
        <v>118</v>
      </c>
      <c r="E335" s="78">
        <v>280037801</v>
      </c>
      <c r="F335" s="83" t="s">
        <v>42</v>
      </c>
      <c r="G335" s="1" t="s">
        <v>43</v>
      </c>
      <c r="H335" s="1" t="s">
        <v>16</v>
      </c>
      <c r="I335" s="1" t="s">
        <v>43</v>
      </c>
      <c r="J335" s="1">
        <v>154904533.31820899</v>
      </c>
      <c r="K335" s="1">
        <v>0</v>
      </c>
      <c r="L335" s="1">
        <v>0</v>
      </c>
      <c r="M335" s="1">
        <v>0</v>
      </c>
      <c r="N335" s="1" t="s">
        <v>44</v>
      </c>
      <c r="O335" s="1">
        <v>0</v>
      </c>
      <c r="P335" s="1">
        <v>1</v>
      </c>
      <c r="Q335" s="83">
        <v>683.86763900000005</v>
      </c>
      <c r="R335" s="83">
        <v>683.86763900000005</v>
      </c>
      <c r="S335" s="1">
        <v>683.86763900000005</v>
      </c>
      <c r="T335" s="83">
        <v>0</v>
      </c>
      <c r="U335" s="1" t="s">
        <v>122</v>
      </c>
      <c r="V335" s="1" t="s">
        <v>852</v>
      </c>
      <c r="W335" s="1">
        <v>3949.1976460300002</v>
      </c>
      <c r="X335" s="1"/>
      <c r="Y335" s="83" t="str">
        <f>VLOOKUP(LossTable[[#This Row],[Department]],$A$15:$B$40,2,FALSE)</f>
        <v>FP</v>
      </c>
    </row>
    <row r="336" spans="4:25" x14ac:dyDescent="0.25">
      <c r="D336" s="78">
        <v>144</v>
      </c>
      <c r="E336" s="78">
        <v>280037801</v>
      </c>
      <c r="F336" s="83" t="s">
        <v>45</v>
      </c>
      <c r="G336" s="1" t="s">
        <v>46</v>
      </c>
      <c r="H336" s="1" t="s">
        <v>16</v>
      </c>
      <c r="I336" s="1" t="s">
        <v>46</v>
      </c>
      <c r="J336" s="1">
        <v>1313664008</v>
      </c>
      <c r="K336" s="1">
        <v>0</v>
      </c>
      <c r="L336" s="1">
        <v>0</v>
      </c>
      <c r="M336" s="1">
        <v>0</v>
      </c>
      <c r="N336" s="1" t="s">
        <v>44</v>
      </c>
      <c r="O336" s="1">
        <v>0</v>
      </c>
      <c r="P336" s="1">
        <v>1</v>
      </c>
      <c r="Q336" s="83">
        <v>136175.42381099999</v>
      </c>
      <c r="R336" s="83">
        <v>136175.42381099999</v>
      </c>
      <c r="S336" s="1">
        <v>136175.42381099999</v>
      </c>
      <c r="T336" s="83">
        <v>0</v>
      </c>
      <c r="U336" s="1" t="s">
        <v>122</v>
      </c>
      <c r="V336" s="1" t="s">
        <v>852</v>
      </c>
      <c r="W336" s="1">
        <v>3949.1976460300002</v>
      </c>
      <c r="X336" s="1"/>
      <c r="Y336" s="83" t="str">
        <f>VLOOKUP(LossTable[[#This Row],[Department]],$A$15:$B$40,2,FALSE)</f>
        <v>FP</v>
      </c>
    </row>
    <row r="337" spans="4:25" x14ac:dyDescent="0.25">
      <c r="D337" s="78">
        <v>297486</v>
      </c>
      <c r="E337" s="78">
        <v>280037801</v>
      </c>
      <c r="F337" s="83" t="s">
        <v>130</v>
      </c>
      <c r="G337" s="1" t="s">
        <v>138</v>
      </c>
      <c r="H337" s="1" t="s">
        <v>14</v>
      </c>
      <c r="I337" s="1" t="s">
        <v>139</v>
      </c>
      <c r="J337" s="1">
        <v>465335789.79000002</v>
      </c>
      <c r="K337" s="1">
        <v>465335789.79000002</v>
      </c>
      <c r="L337" s="1">
        <v>0</v>
      </c>
      <c r="M337" s="1">
        <v>0</v>
      </c>
      <c r="N337" s="1" t="s">
        <v>14</v>
      </c>
      <c r="O337" s="1">
        <v>1.074493E-2</v>
      </c>
      <c r="P337" s="1">
        <v>1</v>
      </c>
      <c r="Q337" s="83">
        <v>166470.53</v>
      </c>
      <c r="R337" s="83">
        <v>166470.53</v>
      </c>
      <c r="S337" s="1">
        <v>166470.53</v>
      </c>
      <c r="T337" s="83">
        <v>0</v>
      </c>
      <c r="U337" s="1" t="s">
        <v>122</v>
      </c>
      <c r="V337" s="1" t="s">
        <v>852</v>
      </c>
      <c r="W337" s="1">
        <v>3949.1976460300002</v>
      </c>
      <c r="X337" s="1"/>
      <c r="Y337" s="83" t="str">
        <f>VLOOKUP(LossTable[[#This Row],[Department]],$A$15:$B$40,2,FALSE)</f>
        <v>Insurance</v>
      </c>
    </row>
    <row r="338" spans="4:25" x14ac:dyDescent="0.25">
      <c r="D338" s="78">
        <v>326485</v>
      </c>
      <c r="E338" s="78">
        <v>280037801</v>
      </c>
      <c r="F338" s="83" t="s">
        <v>87</v>
      </c>
      <c r="G338" s="1" t="s">
        <v>234</v>
      </c>
      <c r="H338" s="1" t="s">
        <v>14</v>
      </c>
      <c r="I338" s="1" t="s">
        <v>235</v>
      </c>
      <c r="J338" s="1">
        <v>226363672.53999999</v>
      </c>
      <c r="K338" s="1">
        <v>226363672.53999999</v>
      </c>
      <c r="L338" s="1">
        <v>0</v>
      </c>
      <c r="M338" s="1">
        <v>0</v>
      </c>
      <c r="N338" s="1" t="s">
        <v>14</v>
      </c>
      <c r="O338" s="1">
        <v>5.74297E-3</v>
      </c>
      <c r="P338" s="1">
        <v>1</v>
      </c>
      <c r="Q338" s="83">
        <v>171771.86</v>
      </c>
      <c r="R338" s="83">
        <v>171771.86</v>
      </c>
      <c r="S338" s="1">
        <v>171771.86</v>
      </c>
      <c r="T338" s="83">
        <v>0</v>
      </c>
      <c r="U338" s="1" t="s">
        <v>122</v>
      </c>
      <c r="V338" s="1" t="s">
        <v>852</v>
      </c>
      <c r="W338" s="1">
        <v>3949.1976460300002</v>
      </c>
      <c r="X338" s="1"/>
      <c r="Y338" s="83" t="str">
        <f>VLOOKUP(LossTable[[#This Row],[Department]],$A$15:$B$40,2,FALSE)</f>
        <v>Insurance</v>
      </c>
    </row>
    <row r="339" spans="4:25" x14ac:dyDescent="0.25">
      <c r="D339" s="78">
        <v>348467</v>
      </c>
      <c r="E339" s="78">
        <v>280037801</v>
      </c>
      <c r="F339" s="83" t="s">
        <v>87</v>
      </c>
      <c r="G339" s="1" t="s">
        <v>260</v>
      </c>
      <c r="H339" s="1" t="s">
        <v>14</v>
      </c>
      <c r="I339" s="1" t="s">
        <v>261</v>
      </c>
      <c r="J339" s="1">
        <v>7972746.9500000002</v>
      </c>
      <c r="K339" s="1">
        <v>7972746.9500000002</v>
      </c>
      <c r="L339" s="1">
        <v>0</v>
      </c>
      <c r="M339" s="1">
        <v>0</v>
      </c>
      <c r="N339" s="1" t="s">
        <v>14</v>
      </c>
      <c r="O339" s="1">
        <v>6.2713640000000001E-2</v>
      </c>
      <c r="P339" s="1">
        <v>1</v>
      </c>
      <c r="Q339" s="83">
        <v>1691.75</v>
      </c>
      <c r="R339" s="83">
        <v>1691.75</v>
      </c>
      <c r="S339" s="1">
        <v>1691.75</v>
      </c>
      <c r="T339" s="83">
        <v>0</v>
      </c>
      <c r="U339" s="1" t="s">
        <v>122</v>
      </c>
      <c r="V339" s="1" t="s">
        <v>852</v>
      </c>
      <c r="W339" s="1">
        <v>3949.1976460300002</v>
      </c>
      <c r="X339" s="1"/>
      <c r="Y339" s="83" t="str">
        <f>VLOOKUP(LossTable[[#This Row],[Department]],$A$15:$B$40,2,FALSE)</f>
        <v>Insurance</v>
      </c>
    </row>
    <row r="340" spans="4:25" x14ac:dyDescent="0.25">
      <c r="D340" s="78">
        <v>358590</v>
      </c>
      <c r="E340" s="78">
        <v>280037801</v>
      </c>
      <c r="F340" s="83" t="s">
        <v>127</v>
      </c>
      <c r="G340" s="1" t="s">
        <v>258</v>
      </c>
      <c r="H340" s="1" t="s">
        <v>14</v>
      </c>
      <c r="I340" s="1" t="s">
        <v>259</v>
      </c>
      <c r="J340" s="1">
        <v>45172943.490000002</v>
      </c>
      <c r="K340" s="1">
        <v>45172943.490000002</v>
      </c>
      <c r="L340" s="1">
        <v>0</v>
      </c>
      <c r="M340" s="1">
        <v>0</v>
      </c>
      <c r="N340" s="1" t="s">
        <v>14</v>
      </c>
      <c r="O340" s="1">
        <v>1.77097E-3</v>
      </c>
      <c r="P340" s="1">
        <v>1</v>
      </c>
      <c r="Q340" s="83">
        <v>1214.73</v>
      </c>
      <c r="R340" s="83">
        <v>1214.73</v>
      </c>
      <c r="S340" s="1">
        <v>1214.73</v>
      </c>
      <c r="T340" s="83">
        <v>0</v>
      </c>
      <c r="U340" s="1" t="s">
        <v>122</v>
      </c>
      <c r="V340" s="1" t="s">
        <v>852</v>
      </c>
      <c r="W340" s="1">
        <v>3949.1976460300002</v>
      </c>
      <c r="X340" s="1"/>
      <c r="Y340" s="83" t="str">
        <f>VLOOKUP(LossTable[[#This Row],[Department]],$A$15:$B$40,2,FALSE)</f>
        <v>Insurance</v>
      </c>
    </row>
    <row r="341" spans="4:25" x14ac:dyDescent="0.25">
      <c r="D341" s="78">
        <v>418693</v>
      </c>
      <c r="E341" s="78">
        <v>280037801</v>
      </c>
      <c r="F341" s="83" t="s">
        <v>94</v>
      </c>
      <c r="G341" s="1" t="s">
        <v>275</v>
      </c>
      <c r="H341" s="1" t="s">
        <v>16</v>
      </c>
      <c r="I341" s="1" t="s">
        <v>292</v>
      </c>
      <c r="J341" s="1">
        <v>150000</v>
      </c>
      <c r="K341" s="1">
        <v>7500000</v>
      </c>
      <c r="L341" s="1">
        <v>0</v>
      </c>
      <c r="M341" s="1">
        <v>0</v>
      </c>
      <c r="N341" s="1" t="s">
        <v>293</v>
      </c>
      <c r="O341" s="1">
        <v>0.48</v>
      </c>
      <c r="P341" s="1">
        <v>0.02</v>
      </c>
      <c r="Q341" s="83">
        <v>2083.6972000000001</v>
      </c>
      <c r="R341" s="83">
        <v>2083.6972000000001</v>
      </c>
      <c r="S341" s="1">
        <v>2083.6972000000001</v>
      </c>
      <c r="T341" s="83">
        <v>0</v>
      </c>
      <c r="U341" s="1" t="s">
        <v>122</v>
      </c>
      <c r="V341" s="1" t="s">
        <v>852</v>
      </c>
      <c r="W341" s="1">
        <v>3949.1976460300002</v>
      </c>
      <c r="X341" s="1"/>
      <c r="Y341" s="83" t="str">
        <f>VLOOKUP(LossTable[[#This Row],[Department]],$A$15:$B$40,2,FALSE)</f>
        <v>TP</v>
      </c>
    </row>
    <row r="342" spans="4:25" x14ac:dyDescent="0.25">
      <c r="D342" s="78">
        <v>420177</v>
      </c>
      <c r="E342" s="78">
        <v>280037801</v>
      </c>
      <c r="F342" s="83" t="s">
        <v>94</v>
      </c>
      <c r="G342" s="1" t="s">
        <v>170</v>
      </c>
      <c r="H342" s="1" t="s">
        <v>16</v>
      </c>
      <c r="I342" s="1" t="s">
        <v>299</v>
      </c>
      <c r="J342" s="1">
        <v>1162775.0745000001</v>
      </c>
      <c r="K342" s="1">
        <v>25839446.100000001</v>
      </c>
      <c r="L342" s="1">
        <v>0</v>
      </c>
      <c r="M342" s="1">
        <v>0</v>
      </c>
      <c r="N342" s="1" t="s">
        <v>300</v>
      </c>
      <c r="O342" s="1">
        <v>0.25999266999999998</v>
      </c>
      <c r="P342" s="1">
        <v>4.4999999999999998E-2</v>
      </c>
      <c r="Q342" s="83">
        <v>294.03989999999999</v>
      </c>
      <c r="R342" s="83">
        <v>294.03989999999999</v>
      </c>
      <c r="S342" s="1">
        <v>294.03989999999999</v>
      </c>
      <c r="T342" s="83">
        <v>0</v>
      </c>
      <c r="U342" s="1" t="s">
        <v>122</v>
      </c>
      <c r="V342" s="1" t="s">
        <v>852</v>
      </c>
      <c r="W342" s="1">
        <v>3949.1976460300002</v>
      </c>
      <c r="X342" s="1"/>
      <c r="Y342" s="83" t="str">
        <f>VLOOKUP(LossTable[[#This Row],[Department]],$A$15:$B$40,2,FALSE)</f>
        <v>TP</v>
      </c>
    </row>
    <row r="343" spans="4:25" x14ac:dyDescent="0.25">
      <c r="D343" s="78">
        <v>426935</v>
      </c>
      <c r="E343" s="78">
        <v>280037801</v>
      </c>
      <c r="F343" s="83" t="s">
        <v>94</v>
      </c>
      <c r="G343" s="1" t="s">
        <v>163</v>
      </c>
      <c r="H343" s="1" t="s">
        <v>16</v>
      </c>
      <c r="I343" s="1" t="s">
        <v>164</v>
      </c>
      <c r="J343" s="1">
        <v>312500</v>
      </c>
      <c r="K343" s="1">
        <v>2500000</v>
      </c>
      <c r="L343" s="1">
        <v>0</v>
      </c>
      <c r="M343" s="1">
        <v>0</v>
      </c>
      <c r="N343" s="1" t="s">
        <v>165</v>
      </c>
      <c r="O343" s="1">
        <v>0.25</v>
      </c>
      <c r="P343" s="1">
        <v>0.125</v>
      </c>
      <c r="Q343" s="83">
        <v>16.23</v>
      </c>
      <c r="R343" s="83">
        <v>16.23</v>
      </c>
      <c r="S343" s="1">
        <v>16.23</v>
      </c>
      <c r="T343" s="83">
        <v>0</v>
      </c>
      <c r="U343" s="1" t="s">
        <v>122</v>
      </c>
      <c r="V343" s="1" t="s">
        <v>852</v>
      </c>
      <c r="W343" s="1">
        <v>3949.1976460300002</v>
      </c>
      <c r="X343" s="1"/>
      <c r="Y343" s="83" t="str">
        <f>VLOOKUP(LossTable[[#This Row],[Department]],$A$15:$B$40,2,FALSE)</f>
        <v>TP</v>
      </c>
    </row>
    <row r="344" spans="4:25" x14ac:dyDescent="0.25">
      <c r="D344" s="78">
        <v>429399</v>
      </c>
      <c r="E344" s="78">
        <v>280037801</v>
      </c>
      <c r="F344" s="83" t="s">
        <v>45</v>
      </c>
      <c r="G344" s="1" t="s">
        <v>296</v>
      </c>
      <c r="H344" s="1" t="s">
        <v>16</v>
      </c>
      <c r="I344" s="1" t="s">
        <v>297</v>
      </c>
      <c r="J344" s="1">
        <v>15000000</v>
      </c>
      <c r="K344" s="1">
        <v>500000000</v>
      </c>
      <c r="L344" s="1">
        <v>0</v>
      </c>
      <c r="M344" s="1">
        <v>0</v>
      </c>
      <c r="N344" s="1" t="s">
        <v>298</v>
      </c>
      <c r="O344" s="1">
        <v>2.1080000000000002E-2</v>
      </c>
      <c r="P344" s="1">
        <v>0.03</v>
      </c>
      <c r="Q344" s="83">
        <v>512.93939999999998</v>
      </c>
      <c r="R344" s="83">
        <v>512.93939999999998</v>
      </c>
      <c r="S344" s="1">
        <v>512.93939999999998</v>
      </c>
      <c r="T344" s="83">
        <v>0</v>
      </c>
      <c r="U344" s="1" t="s">
        <v>122</v>
      </c>
      <c r="V344" s="1" t="s">
        <v>852</v>
      </c>
      <c r="W344" s="1">
        <v>3949.1976460300002</v>
      </c>
      <c r="X344" s="1"/>
      <c r="Y344" s="83" t="str">
        <f>VLOOKUP(LossTable[[#This Row],[Department]],$A$15:$B$40,2,FALSE)</f>
        <v>FP</v>
      </c>
    </row>
    <row r="345" spans="4:25" x14ac:dyDescent="0.25">
      <c r="D345" s="78">
        <v>431334</v>
      </c>
      <c r="E345" s="78">
        <v>280037801</v>
      </c>
      <c r="F345" s="83" t="s">
        <v>94</v>
      </c>
      <c r="G345" s="1" t="s">
        <v>255</v>
      </c>
      <c r="H345" s="1" t="s">
        <v>16</v>
      </c>
      <c r="I345" s="1" t="s">
        <v>353</v>
      </c>
      <c r="J345" s="1">
        <v>3000000</v>
      </c>
      <c r="K345" s="1">
        <v>20000000</v>
      </c>
      <c r="L345" s="1">
        <v>0</v>
      </c>
      <c r="M345" s="1">
        <v>0</v>
      </c>
      <c r="N345" s="1" t="s">
        <v>354</v>
      </c>
      <c r="O345" s="1">
        <v>0.4</v>
      </c>
      <c r="P345" s="1">
        <v>0.15</v>
      </c>
      <c r="Q345" s="83">
        <v>1864.11</v>
      </c>
      <c r="R345" s="83">
        <v>1864.11</v>
      </c>
      <c r="S345" s="1">
        <v>1864.11</v>
      </c>
      <c r="T345" s="83">
        <v>0</v>
      </c>
      <c r="U345" s="1" t="s">
        <v>122</v>
      </c>
      <c r="V345" s="1" t="s">
        <v>852</v>
      </c>
      <c r="W345" s="1">
        <v>3949.1976460300002</v>
      </c>
      <c r="X345" s="1"/>
      <c r="Y345" s="83" t="str">
        <f>VLOOKUP(LossTable[[#This Row],[Department]],$A$15:$B$40,2,FALSE)</f>
        <v>TP</v>
      </c>
    </row>
    <row r="346" spans="4:25" x14ac:dyDescent="0.25">
      <c r="D346" s="78">
        <v>432222</v>
      </c>
      <c r="E346" s="78">
        <v>280037801</v>
      </c>
      <c r="F346" s="83" t="s">
        <v>45</v>
      </c>
      <c r="G346" s="1" t="s">
        <v>363</v>
      </c>
      <c r="H346" s="1" t="s">
        <v>16</v>
      </c>
      <c r="I346" s="1" t="s">
        <v>364</v>
      </c>
      <c r="J346" s="1">
        <v>20000000</v>
      </c>
      <c r="K346" s="1">
        <v>200000000</v>
      </c>
      <c r="L346" s="1">
        <v>0</v>
      </c>
      <c r="M346" s="1">
        <v>0</v>
      </c>
      <c r="N346" s="1" t="s">
        <v>365</v>
      </c>
      <c r="O346" s="1">
        <v>4.6383510000000003E-2</v>
      </c>
      <c r="P346" s="1">
        <v>0.1</v>
      </c>
      <c r="Q346" s="83">
        <v>7993.6880000000001</v>
      </c>
      <c r="R346" s="83">
        <v>7993.6880000000001</v>
      </c>
      <c r="S346" s="1">
        <v>7993.6880000000001</v>
      </c>
      <c r="T346" s="83">
        <v>0</v>
      </c>
      <c r="U346" s="1" t="s">
        <v>122</v>
      </c>
      <c r="V346" s="1" t="s">
        <v>852</v>
      </c>
      <c r="W346" s="1">
        <v>3949.1976460300002</v>
      </c>
      <c r="X346" s="1"/>
      <c r="Y346" s="83" t="str">
        <f>VLOOKUP(LossTable[[#This Row],[Department]],$A$15:$B$40,2,FALSE)</f>
        <v>FP</v>
      </c>
    </row>
    <row r="347" spans="4:25" x14ac:dyDescent="0.25">
      <c r="D347" s="78">
        <v>432267</v>
      </c>
      <c r="E347" s="78">
        <v>280037801</v>
      </c>
      <c r="F347" s="83" t="s">
        <v>94</v>
      </c>
      <c r="G347" s="1" t="s">
        <v>287</v>
      </c>
      <c r="H347" s="1" t="s">
        <v>16</v>
      </c>
      <c r="I347" s="1" t="s">
        <v>288</v>
      </c>
      <c r="J347" s="1">
        <v>750000</v>
      </c>
      <c r="K347" s="1">
        <v>15000000</v>
      </c>
      <c r="L347" s="1">
        <v>0</v>
      </c>
      <c r="M347" s="1">
        <v>0</v>
      </c>
      <c r="N347" s="1" t="s">
        <v>274</v>
      </c>
      <c r="O347" s="1">
        <v>0.29499999999999998</v>
      </c>
      <c r="P347" s="1">
        <v>0.05</v>
      </c>
      <c r="Q347" s="83">
        <v>27.277999999999999</v>
      </c>
      <c r="R347" s="83">
        <v>27.277999999999999</v>
      </c>
      <c r="S347" s="1">
        <v>27.277999999999999</v>
      </c>
      <c r="T347" s="83">
        <v>0</v>
      </c>
      <c r="U347" s="1" t="s">
        <v>122</v>
      </c>
      <c r="V347" s="1" t="s">
        <v>852</v>
      </c>
      <c r="W347" s="1">
        <v>3949.1976460300002</v>
      </c>
      <c r="X347" s="1"/>
      <c r="Y347" s="83" t="str">
        <f>VLOOKUP(LossTable[[#This Row],[Department]],$A$15:$B$40,2,FALSE)</f>
        <v>TP</v>
      </c>
    </row>
    <row r="348" spans="4:25" x14ac:dyDescent="0.25">
      <c r="D348" s="78">
        <v>433027</v>
      </c>
      <c r="E348" s="78">
        <v>280037801</v>
      </c>
      <c r="F348" s="83" t="s">
        <v>94</v>
      </c>
      <c r="G348" s="1" t="s">
        <v>367</v>
      </c>
      <c r="H348" s="1" t="s">
        <v>16</v>
      </c>
      <c r="I348" s="1" t="s">
        <v>368</v>
      </c>
      <c r="J348" s="1">
        <v>2000000</v>
      </c>
      <c r="K348" s="1">
        <v>20000000</v>
      </c>
      <c r="L348" s="1">
        <v>0</v>
      </c>
      <c r="M348" s="1">
        <v>0</v>
      </c>
      <c r="N348" s="1" t="s">
        <v>248</v>
      </c>
      <c r="O348" s="1">
        <v>0.58858761999999998</v>
      </c>
      <c r="P348" s="1">
        <v>0.1</v>
      </c>
      <c r="Q348" s="83">
        <v>51965.269</v>
      </c>
      <c r="R348" s="83">
        <v>51965.269</v>
      </c>
      <c r="S348" s="1">
        <v>51965.269</v>
      </c>
      <c r="T348" s="83">
        <v>0</v>
      </c>
      <c r="U348" s="1" t="s">
        <v>122</v>
      </c>
      <c r="V348" s="1" t="s">
        <v>852</v>
      </c>
      <c r="W348" s="1">
        <v>3949.1976460300002</v>
      </c>
      <c r="X348" s="1"/>
      <c r="Y348" s="83" t="str">
        <f>VLOOKUP(LossTable[[#This Row],[Department]],$A$15:$B$40,2,FALSE)</f>
        <v>TP</v>
      </c>
    </row>
    <row r="349" spans="4:25" x14ac:dyDescent="0.25">
      <c r="D349" s="78">
        <v>433117</v>
      </c>
      <c r="E349" s="78">
        <v>280037801</v>
      </c>
      <c r="F349" s="83" t="s">
        <v>45</v>
      </c>
      <c r="G349" s="1" t="s">
        <v>304</v>
      </c>
      <c r="H349" s="1" t="s">
        <v>14</v>
      </c>
      <c r="I349" s="1" t="s">
        <v>305</v>
      </c>
      <c r="J349" s="1">
        <v>42089350.185000002</v>
      </c>
      <c r="K349" s="1">
        <v>168357400.74000001</v>
      </c>
      <c r="L349" s="1">
        <v>0</v>
      </c>
      <c r="M349" s="1">
        <v>0</v>
      </c>
      <c r="N349" s="1" t="s">
        <v>14</v>
      </c>
      <c r="O349" s="1">
        <v>0.18977484999999999</v>
      </c>
      <c r="P349" s="1">
        <v>0.25</v>
      </c>
      <c r="Q349" s="83">
        <v>13119.325000000001</v>
      </c>
      <c r="R349" s="83">
        <v>13119.325000000001</v>
      </c>
      <c r="S349" s="1">
        <v>13119.325000000001</v>
      </c>
      <c r="T349" s="83">
        <v>0</v>
      </c>
      <c r="U349" s="1" t="s">
        <v>122</v>
      </c>
      <c r="V349" s="1" t="s">
        <v>852</v>
      </c>
      <c r="W349" s="1">
        <v>3949.1976460300002</v>
      </c>
      <c r="X349" s="1"/>
      <c r="Y349" s="83" t="str">
        <f>VLOOKUP(LossTable[[#This Row],[Department]],$A$15:$B$40,2,FALSE)</f>
        <v>FP</v>
      </c>
    </row>
    <row r="350" spans="4:25" x14ac:dyDescent="0.25">
      <c r="D350" s="78">
        <v>434017</v>
      </c>
      <c r="E350" s="78">
        <v>280037801</v>
      </c>
      <c r="F350" s="83" t="s">
        <v>94</v>
      </c>
      <c r="G350" s="1" t="s">
        <v>301</v>
      </c>
      <c r="H350" s="1" t="s">
        <v>16</v>
      </c>
      <c r="I350" s="1" t="s">
        <v>369</v>
      </c>
      <c r="J350" s="1">
        <v>337500</v>
      </c>
      <c r="K350" s="1">
        <v>4500000</v>
      </c>
      <c r="L350" s="1">
        <v>0</v>
      </c>
      <c r="M350" s="1">
        <v>0</v>
      </c>
      <c r="N350" s="1" t="s">
        <v>370</v>
      </c>
      <c r="O350" s="1">
        <v>0.30999969999999999</v>
      </c>
      <c r="P350" s="1">
        <v>7.4999999999999997E-2</v>
      </c>
      <c r="Q350" s="83">
        <v>231.36975000000001</v>
      </c>
      <c r="R350" s="83">
        <v>231.36975000000001</v>
      </c>
      <c r="S350" s="1">
        <v>231.36975000000001</v>
      </c>
      <c r="T350" s="83">
        <v>0</v>
      </c>
      <c r="U350" s="1" t="s">
        <v>122</v>
      </c>
      <c r="V350" s="1" t="s">
        <v>852</v>
      </c>
      <c r="W350" s="1">
        <v>3949.1976460300002</v>
      </c>
      <c r="X350" s="1"/>
      <c r="Y350" s="83" t="str">
        <f>VLOOKUP(LossTable[[#This Row],[Department]],$A$15:$B$40,2,FALSE)</f>
        <v>TP</v>
      </c>
    </row>
    <row r="351" spans="4:25" x14ac:dyDescent="0.25">
      <c r="D351" s="78">
        <v>434259</v>
      </c>
      <c r="E351" s="78">
        <v>280037801</v>
      </c>
      <c r="F351" s="83" t="s">
        <v>94</v>
      </c>
      <c r="G351" s="1" t="s">
        <v>309</v>
      </c>
      <c r="H351" s="1" t="s">
        <v>14</v>
      </c>
      <c r="I351" s="1" t="s">
        <v>310</v>
      </c>
      <c r="J351" s="1">
        <v>875000</v>
      </c>
      <c r="K351" s="1">
        <v>35000000</v>
      </c>
      <c r="L351" s="1">
        <v>0</v>
      </c>
      <c r="M351" s="1">
        <v>0</v>
      </c>
      <c r="N351" s="1" t="s">
        <v>311</v>
      </c>
      <c r="O351" s="1">
        <v>3.97226846</v>
      </c>
      <c r="P351" s="1">
        <v>2.5000000000000001E-2</v>
      </c>
      <c r="Q351" s="83">
        <v>179541.0055</v>
      </c>
      <c r="R351" s="83">
        <v>179541.0055</v>
      </c>
      <c r="S351" s="1">
        <v>179541.0055</v>
      </c>
      <c r="T351" s="83">
        <v>0</v>
      </c>
      <c r="U351" s="1" t="s">
        <v>122</v>
      </c>
      <c r="V351" s="1" t="s">
        <v>852</v>
      </c>
      <c r="W351" s="1">
        <v>3949.1976460300002</v>
      </c>
      <c r="X351" s="1"/>
      <c r="Y351" s="83" t="str">
        <f>VLOOKUP(LossTable[[#This Row],[Department]],$A$15:$B$40,2,FALSE)</f>
        <v>TP</v>
      </c>
    </row>
    <row r="352" spans="4:25" x14ac:dyDescent="0.25">
      <c r="D352" s="78">
        <v>434658</v>
      </c>
      <c r="E352" s="78">
        <v>280037801</v>
      </c>
      <c r="F352" s="83" t="s">
        <v>94</v>
      </c>
      <c r="G352" s="1" t="s">
        <v>321</v>
      </c>
      <c r="H352" s="1" t="s">
        <v>16</v>
      </c>
      <c r="I352" s="1" t="s">
        <v>322</v>
      </c>
      <c r="J352" s="1">
        <v>450000</v>
      </c>
      <c r="K352" s="1">
        <v>15000000</v>
      </c>
      <c r="L352" s="1">
        <v>0</v>
      </c>
      <c r="M352" s="1">
        <v>0</v>
      </c>
      <c r="N352" s="1" t="s">
        <v>323</v>
      </c>
      <c r="O352" s="1">
        <v>0.88001543999999998</v>
      </c>
      <c r="P352" s="1">
        <v>0.03</v>
      </c>
      <c r="Q352" s="83">
        <v>134.33009999999999</v>
      </c>
      <c r="R352" s="83">
        <v>134.33009999999999</v>
      </c>
      <c r="S352" s="1">
        <v>134.33009999999999</v>
      </c>
      <c r="T352" s="83">
        <v>0</v>
      </c>
      <c r="U352" s="1" t="s">
        <v>122</v>
      </c>
      <c r="V352" s="1" t="s">
        <v>852</v>
      </c>
      <c r="W352" s="1">
        <v>3949.1976460300002</v>
      </c>
      <c r="X352" s="1"/>
      <c r="Y352" s="83" t="str">
        <f>VLOOKUP(LossTable[[#This Row],[Department]],$A$15:$B$40,2,FALSE)</f>
        <v>TP</v>
      </c>
    </row>
    <row r="353" spans="4:25" x14ac:dyDescent="0.25">
      <c r="D353" s="78">
        <v>434862</v>
      </c>
      <c r="E353" s="78">
        <v>280037801</v>
      </c>
      <c r="F353" s="83" t="s">
        <v>94</v>
      </c>
      <c r="G353" s="1" t="s">
        <v>384</v>
      </c>
      <c r="H353" s="1" t="s">
        <v>14</v>
      </c>
      <c r="I353" s="1" t="s">
        <v>385</v>
      </c>
      <c r="J353" s="1">
        <v>6975000</v>
      </c>
      <c r="K353" s="1">
        <v>465000000</v>
      </c>
      <c r="L353" s="1">
        <v>0</v>
      </c>
      <c r="M353" s="1">
        <v>0</v>
      </c>
      <c r="N353" s="1" t="s">
        <v>386</v>
      </c>
      <c r="O353" s="1">
        <v>0.99832902999999995</v>
      </c>
      <c r="P353" s="1">
        <v>1.4999999999999999E-2</v>
      </c>
      <c r="Q353" s="83">
        <v>322035.76964999997</v>
      </c>
      <c r="R353" s="83">
        <v>322035.76964999997</v>
      </c>
      <c r="S353" s="1">
        <v>322035.76964999997</v>
      </c>
      <c r="T353" s="83">
        <v>0</v>
      </c>
      <c r="U353" s="1" t="s">
        <v>122</v>
      </c>
      <c r="V353" s="1" t="s">
        <v>852</v>
      </c>
      <c r="W353" s="1">
        <v>3949.1976460300002</v>
      </c>
      <c r="X353" s="1"/>
      <c r="Y353" s="83" t="str">
        <f>VLOOKUP(LossTable[[#This Row],[Department]],$A$15:$B$40,2,FALSE)</f>
        <v>TP</v>
      </c>
    </row>
    <row r="354" spans="4:25" x14ac:dyDescent="0.25">
      <c r="D354" s="78">
        <v>436137</v>
      </c>
      <c r="E354" s="78">
        <v>280037801</v>
      </c>
      <c r="F354" s="83" t="s">
        <v>94</v>
      </c>
      <c r="G354" s="1" t="s">
        <v>436</v>
      </c>
      <c r="H354" s="1" t="s">
        <v>14</v>
      </c>
      <c r="I354" s="1" t="s">
        <v>437</v>
      </c>
      <c r="J354" s="1">
        <v>2100000</v>
      </c>
      <c r="K354" s="1">
        <v>70000000</v>
      </c>
      <c r="L354" s="1">
        <v>0</v>
      </c>
      <c r="M354" s="1">
        <v>0</v>
      </c>
      <c r="N354" s="1" t="s">
        <v>122</v>
      </c>
      <c r="O354" s="1">
        <v>2.3679456700000001</v>
      </c>
      <c r="P354" s="1">
        <v>0.03</v>
      </c>
      <c r="Q354" s="83">
        <v>22723.306799999998</v>
      </c>
      <c r="R354" s="83">
        <v>22723.306799999998</v>
      </c>
      <c r="S354" s="1">
        <v>22723.306799999998</v>
      </c>
      <c r="T354" s="83">
        <v>0</v>
      </c>
      <c r="U354" s="1" t="s">
        <v>122</v>
      </c>
      <c r="V354" s="1" t="s">
        <v>852</v>
      </c>
      <c r="W354" s="1">
        <v>3949.1976460300002</v>
      </c>
      <c r="X354" s="1"/>
      <c r="Y354" s="83" t="str">
        <f>VLOOKUP(LossTable[[#This Row],[Department]],$A$15:$B$40,2,FALSE)</f>
        <v>TP</v>
      </c>
    </row>
    <row r="355" spans="4:25" x14ac:dyDescent="0.25">
      <c r="D355" s="78">
        <v>436194</v>
      </c>
      <c r="E355" s="78">
        <v>280037801</v>
      </c>
      <c r="F355" s="83" t="s">
        <v>94</v>
      </c>
      <c r="G355" s="1" t="s">
        <v>349</v>
      </c>
      <c r="H355" s="1" t="s">
        <v>16</v>
      </c>
      <c r="I355" s="1" t="s">
        <v>350</v>
      </c>
      <c r="J355" s="1">
        <v>3000000</v>
      </c>
      <c r="K355" s="1">
        <v>20000000</v>
      </c>
      <c r="L355" s="1">
        <v>0</v>
      </c>
      <c r="M355" s="1">
        <v>0</v>
      </c>
      <c r="N355" s="1" t="s">
        <v>122</v>
      </c>
      <c r="O355" s="1">
        <v>1.0509273699999999</v>
      </c>
      <c r="P355" s="1">
        <v>0.15</v>
      </c>
      <c r="Q355" s="83">
        <v>2005.671</v>
      </c>
      <c r="R355" s="83">
        <v>2005.671</v>
      </c>
      <c r="S355" s="1">
        <v>2005.671</v>
      </c>
      <c r="T355" s="83">
        <v>0</v>
      </c>
      <c r="U355" s="1" t="s">
        <v>122</v>
      </c>
      <c r="V355" s="1" t="s">
        <v>852</v>
      </c>
      <c r="W355" s="1">
        <v>3949.1976460300002</v>
      </c>
      <c r="X355" s="1"/>
      <c r="Y355" s="83" t="str">
        <f>VLOOKUP(LossTable[[#This Row],[Department]],$A$15:$B$40,2,FALSE)</f>
        <v>TP</v>
      </c>
    </row>
    <row r="356" spans="4:25" x14ac:dyDescent="0.25">
      <c r="D356" s="78">
        <v>436536</v>
      </c>
      <c r="E356" s="78">
        <v>280037801</v>
      </c>
      <c r="F356" s="83" t="s">
        <v>94</v>
      </c>
      <c r="G356" s="1" t="s">
        <v>445</v>
      </c>
      <c r="H356" s="1" t="s">
        <v>16</v>
      </c>
      <c r="I356" s="1" t="s">
        <v>446</v>
      </c>
      <c r="J356" s="1">
        <v>5000000</v>
      </c>
      <c r="K356" s="1">
        <v>50000000</v>
      </c>
      <c r="L356" s="1">
        <v>0</v>
      </c>
      <c r="M356" s="1">
        <v>0</v>
      </c>
      <c r="N356" s="1" t="s">
        <v>122</v>
      </c>
      <c r="O356" s="1">
        <v>0.34</v>
      </c>
      <c r="P356" s="1">
        <v>0.1</v>
      </c>
      <c r="Q356" s="83">
        <v>2961.86</v>
      </c>
      <c r="R356" s="83">
        <v>2961.86</v>
      </c>
      <c r="S356" s="1">
        <v>2961.86</v>
      </c>
      <c r="T356" s="83">
        <v>0</v>
      </c>
      <c r="U356" s="1" t="s">
        <v>122</v>
      </c>
      <c r="V356" s="1" t="s">
        <v>852</v>
      </c>
      <c r="W356" s="1">
        <v>3949.1976460300002</v>
      </c>
      <c r="X356" s="1"/>
      <c r="Y356" s="83" t="str">
        <f>VLOOKUP(LossTable[[#This Row],[Department]],$A$15:$B$40,2,FALSE)</f>
        <v>TP</v>
      </c>
    </row>
    <row r="357" spans="4:25" x14ac:dyDescent="0.25">
      <c r="D357" s="78">
        <v>437538</v>
      </c>
      <c r="E357" s="78">
        <v>280037801</v>
      </c>
      <c r="F357" s="83" t="s">
        <v>45</v>
      </c>
      <c r="G357" s="1" t="s">
        <v>462</v>
      </c>
      <c r="H357" s="1" t="s">
        <v>14</v>
      </c>
      <c r="I357" s="1" t="s">
        <v>463</v>
      </c>
      <c r="J357" s="1">
        <v>1725000</v>
      </c>
      <c r="K357" s="1">
        <v>15000000</v>
      </c>
      <c r="L357" s="1">
        <v>0</v>
      </c>
      <c r="M357" s="1">
        <v>0</v>
      </c>
      <c r="N357" s="1" t="s">
        <v>464</v>
      </c>
      <c r="O357" s="1">
        <v>1.77467347</v>
      </c>
      <c r="P357" s="1">
        <v>0.115</v>
      </c>
      <c r="Q357" s="83">
        <v>16354.9182</v>
      </c>
      <c r="R357" s="83">
        <v>16354.9182</v>
      </c>
      <c r="S357" s="1">
        <v>16354.9182</v>
      </c>
      <c r="T357" s="83">
        <v>0</v>
      </c>
      <c r="U357" s="1" t="s">
        <v>122</v>
      </c>
      <c r="V357" s="1" t="s">
        <v>852</v>
      </c>
      <c r="W357" s="1">
        <v>3949.1976460300002</v>
      </c>
      <c r="X357" s="1"/>
      <c r="Y357" s="83" t="str">
        <f>VLOOKUP(LossTable[[#This Row],[Department]],$A$15:$B$40,2,FALSE)</f>
        <v>FP</v>
      </c>
    </row>
    <row r="358" spans="4:25" x14ac:dyDescent="0.25">
      <c r="D358" s="78">
        <v>438407</v>
      </c>
      <c r="E358" s="78">
        <v>280037801</v>
      </c>
      <c r="F358" s="83" t="s">
        <v>94</v>
      </c>
      <c r="G358" s="1" t="s">
        <v>478</v>
      </c>
      <c r="H358" s="1" t="s">
        <v>14</v>
      </c>
      <c r="I358" s="1" t="s">
        <v>479</v>
      </c>
      <c r="J358" s="1">
        <v>3000000</v>
      </c>
      <c r="K358" s="1">
        <v>200000000</v>
      </c>
      <c r="L358" s="1">
        <v>0</v>
      </c>
      <c r="M358" s="1">
        <v>0</v>
      </c>
      <c r="N358" s="1" t="s">
        <v>142</v>
      </c>
      <c r="O358" s="1">
        <v>1.0506402500000001</v>
      </c>
      <c r="P358" s="1">
        <v>1.4999999999999999E-2</v>
      </c>
      <c r="Q358" s="83">
        <v>81176.157449999999</v>
      </c>
      <c r="R358" s="83">
        <v>81176.157449999999</v>
      </c>
      <c r="S358" s="1">
        <v>81176.157449999999</v>
      </c>
      <c r="T358" s="83">
        <v>0</v>
      </c>
      <c r="U358" s="1" t="s">
        <v>122</v>
      </c>
      <c r="V358" s="1" t="s">
        <v>852</v>
      </c>
      <c r="W358" s="1">
        <v>3949.1976460300002</v>
      </c>
      <c r="X358" s="1"/>
      <c r="Y358" s="83" t="str">
        <f>VLOOKUP(LossTable[[#This Row],[Department]],$A$15:$B$40,2,FALSE)</f>
        <v>TP</v>
      </c>
    </row>
    <row r="359" spans="4:25" x14ac:dyDescent="0.25">
      <c r="D359" s="78">
        <v>439105</v>
      </c>
      <c r="E359" s="78">
        <v>280037801</v>
      </c>
      <c r="F359" s="83" t="s">
        <v>94</v>
      </c>
      <c r="G359" s="1" t="s">
        <v>371</v>
      </c>
      <c r="H359" s="1" t="s">
        <v>14</v>
      </c>
      <c r="I359" s="1" t="s">
        <v>372</v>
      </c>
      <c r="J359" s="1">
        <v>4500000</v>
      </c>
      <c r="K359" s="1">
        <v>30000000</v>
      </c>
      <c r="L359" s="1">
        <v>0</v>
      </c>
      <c r="M359" s="1">
        <v>0</v>
      </c>
      <c r="N359" s="1" t="s">
        <v>373</v>
      </c>
      <c r="O359" s="1">
        <v>1.79433752</v>
      </c>
      <c r="P359" s="1">
        <v>0.15</v>
      </c>
      <c r="Q359" s="83">
        <v>619859.11349999998</v>
      </c>
      <c r="R359" s="83">
        <v>619859.11349999998</v>
      </c>
      <c r="S359" s="1">
        <v>619859.11349999998</v>
      </c>
      <c r="T359" s="83">
        <v>0</v>
      </c>
      <c r="U359" s="1" t="s">
        <v>122</v>
      </c>
      <c r="V359" s="1" t="s">
        <v>852</v>
      </c>
      <c r="W359" s="1">
        <v>3949.1976460300002</v>
      </c>
      <c r="X359" s="1"/>
      <c r="Y359" s="83" t="str">
        <f>VLOOKUP(LossTable[[#This Row],[Department]],$A$15:$B$40,2,FALSE)</f>
        <v>TP</v>
      </c>
    </row>
    <row r="360" spans="4:25" x14ac:dyDescent="0.25">
      <c r="D360" s="78">
        <v>441791</v>
      </c>
      <c r="E360" s="78">
        <v>280037801</v>
      </c>
      <c r="F360" s="83" t="s">
        <v>94</v>
      </c>
      <c r="G360" s="1" t="s">
        <v>380</v>
      </c>
      <c r="H360" s="1" t="s">
        <v>16</v>
      </c>
      <c r="I360" s="1" t="s">
        <v>381</v>
      </c>
      <c r="J360" s="1">
        <v>375000</v>
      </c>
      <c r="K360" s="1">
        <v>30000000</v>
      </c>
      <c r="L360" s="1">
        <v>0</v>
      </c>
      <c r="M360" s="1">
        <v>0</v>
      </c>
      <c r="N360" s="1" t="s">
        <v>122</v>
      </c>
      <c r="O360" s="1">
        <v>0.05</v>
      </c>
      <c r="P360" s="1">
        <v>1.2500000000000001E-2</v>
      </c>
      <c r="Q360" s="83">
        <v>11.134625</v>
      </c>
      <c r="R360" s="83">
        <v>11.134625</v>
      </c>
      <c r="S360" s="1">
        <v>11.134625</v>
      </c>
      <c r="T360" s="83">
        <v>0</v>
      </c>
      <c r="U360" s="1" t="s">
        <v>122</v>
      </c>
      <c r="V360" s="1" t="s">
        <v>852</v>
      </c>
      <c r="W360" s="1">
        <v>3949.1976460300002</v>
      </c>
      <c r="X360" s="1"/>
      <c r="Y360" s="83" t="str">
        <f>VLOOKUP(LossTable[[#This Row],[Department]],$A$15:$B$40,2,FALSE)</f>
        <v>TP</v>
      </c>
    </row>
    <row r="361" spans="4:25" x14ac:dyDescent="0.25">
      <c r="D361" s="78">
        <v>443180</v>
      </c>
      <c r="E361" s="78">
        <v>280037801</v>
      </c>
      <c r="F361" s="83" t="s">
        <v>94</v>
      </c>
      <c r="G361" s="1" t="s">
        <v>425</v>
      </c>
      <c r="H361" s="1" t="s">
        <v>14</v>
      </c>
      <c r="I361" s="1" t="s">
        <v>426</v>
      </c>
      <c r="J361" s="1">
        <v>67500000</v>
      </c>
      <c r="K361" s="1">
        <v>750000000</v>
      </c>
      <c r="L361" s="1">
        <v>0</v>
      </c>
      <c r="M361" s="1">
        <v>0</v>
      </c>
      <c r="N361" s="1" t="s">
        <v>122</v>
      </c>
      <c r="O361" s="1">
        <v>1.93333333</v>
      </c>
      <c r="P361" s="1">
        <v>0.09</v>
      </c>
      <c r="Q361" s="83">
        <v>244412.96040000001</v>
      </c>
      <c r="R361" s="83">
        <v>244412.96040000001</v>
      </c>
      <c r="S361" s="1">
        <v>244412.96040000001</v>
      </c>
      <c r="T361" s="83">
        <v>0</v>
      </c>
      <c r="U361" s="1" t="s">
        <v>122</v>
      </c>
      <c r="V361" s="1" t="s">
        <v>852</v>
      </c>
      <c r="W361" s="1">
        <v>3949.1976460300002</v>
      </c>
      <c r="X361" s="1"/>
      <c r="Y361" s="83" t="str">
        <f>VLOOKUP(LossTable[[#This Row],[Department]],$A$15:$B$40,2,FALSE)</f>
        <v>TP</v>
      </c>
    </row>
    <row r="362" spans="4:25" x14ac:dyDescent="0.25">
      <c r="D362" s="78">
        <v>444583</v>
      </c>
      <c r="E362" s="78">
        <v>280037801</v>
      </c>
      <c r="F362" s="83" t="s">
        <v>94</v>
      </c>
      <c r="G362" s="1" t="s">
        <v>395</v>
      </c>
      <c r="H362" s="1" t="s">
        <v>16</v>
      </c>
      <c r="I362" s="1" t="s">
        <v>451</v>
      </c>
      <c r="J362" s="1">
        <v>280000</v>
      </c>
      <c r="K362" s="1">
        <v>8000000</v>
      </c>
      <c r="L362" s="1">
        <v>0</v>
      </c>
      <c r="M362" s="1">
        <v>0</v>
      </c>
      <c r="N362" s="1" t="s">
        <v>452</v>
      </c>
      <c r="O362" s="1">
        <v>28.749999970000001</v>
      </c>
      <c r="P362" s="1">
        <v>3.5000000000000003E-2</v>
      </c>
      <c r="Q362" s="83">
        <v>20857.94515</v>
      </c>
      <c r="R362" s="83">
        <v>20857.94515</v>
      </c>
      <c r="S362" s="1">
        <v>20857.94515</v>
      </c>
      <c r="T362" s="83">
        <v>0</v>
      </c>
      <c r="U362" s="1" t="s">
        <v>122</v>
      </c>
      <c r="V362" s="1" t="s">
        <v>852</v>
      </c>
      <c r="W362" s="1">
        <v>3949.1976460300002</v>
      </c>
      <c r="X362" s="1"/>
      <c r="Y362" s="83" t="str">
        <f>VLOOKUP(LossTable[[#This Row],[Department]],$A$15:$B$40,2,FALSE)</f>
        <v>TP</v>
      </c>
    </row>
    <row r="363" spans="4:25" x14ac:dyDescent="0.25">
      <c r="D363" s="78">
        <v>445338</v>
      </c>
      <c r="E363" s="78">
        <v>280037801</v>
      </c>
      <c r="F363" s="83" t="s">
        <v>94</v>
      </c>
      <c r="G363" s="1" t="s">
        <v>416</v>
      </c>
      <c r="H363" s="1" t="s">
        <v>16</v>
      </c>
      <c r="I363" s="1" t="s">
        <v>480</v>
      </c>
      <c r="J363" s="1">
        <v>2000000</v>
      </c>
      <c r="K363" s="1">
        <v>80000000</v>
      </c>
      <c r="L363" s="1">
        <v>0</v>
      </c>
      <c r="M363" s="1">
        <v>0</v>
      </c>
      <c r="N363" s="1" t="s">
        <v>481</v>
      </c>
      <c r="O363" s="1">
        <v>3.0000000099999999</v>
      </c>
      <c r="P363" s="1">
        <v>2.5000000000000001E-2</v>
      </c>
      <c r="Q363" s="83">
        <v>14689.89975</v>
      </c>
      <c r="R363" s="83">
        <v>14689.89975</v>
      </c>
      <c r="S363" s="1">
        <v>14689.89975</v>
      </c>
      <c r="T363" s="83">
        <v>0</v>
      </c>
      <c r="U363" s="1" t="s">
        <v>122</v>
      </c>
      <c r="V363" s="1" t="s">
        <v>852</v>
      </c>
      <c r="W363" s="1">
        <v>3949.1976460300002</v>
      </c>
      <c r="X363" s="1"/>
      <c r="Y363" s="83" t="str">
        <f>VLOOKUP(LossTable[[#This Row],[Department]],$A$15:$B$40,2,FALSE)</f>
        <v>TP</v>
      </c>
    </row>
    <row r="364" spans="4:25" x14ac:dyDescent="0.25">
      <c r="D364" s="78">
        <v>445706</v>
      </c>
      <c r="E364" s="78">
        <v>280037801</v>
      </c>
      <c r="F364" s="83" t="s">
        <v>94</v>
      </c>
      <c r="G364" s="1" t="s">
        <v>430</v>
      </c>
      <c r="H364" s="1" t="s">
        <v>16</v>
      </c>
      <c r="I364" s="1" t="s">
        <v>496</v>
      </c>
      <c r="J364" s="1">
        <v>750000</v>
      </c>
      <c r="K364" s="1">
        <v>25000000</v>
      </c>
      <c r="L364" s="1">
        <v>0</v>
      </c>
      <c r="M364" s="1">
        <v>0</v>
      </c>
      <c r="N364" s="1" t="s">
        <v>407</v>
      </c>
      <c r="O364" s="1">
        <v>0.27</v>
      </c>
      <c r="P364" s="1">
        <v>0.03</v>
      </c>
      <c r="Q364" s="83">
        <v>409.03710000000001</v>
      </c>
      <c r="R364" s="83">
        <v>409.03710000000001</v>
      </c>
      <c r="S364" s="1">
        <v>409.03710000000001</v>
      </c>
      <c r="T364" s="83">
        <v>0</v>
      </c>
      <c r="U364" s="1" t="s">
        <v>122</v>
      </c>
      <c r="V364" s="1" t="s">
        <v>852</v>
      </c>
      <c r="W364" s="1">
        <v>3949.1976460300002</v>
      </c>
      <c r="X364" s="1"/>
      <c r="Y364" s="83" t="str">
        <f>VLOOKUP(LossTable[[#This Row],[Department]],$A$15:$B$40,2,FALSE)</f>
        <v>TP</v>
      </c>
    </row>
    <row r="365" spans="4:25" x14ac:dyDescent="0.25">
      <c r="D365" s="78">
        <v>445991</v>
      </c>
      <c r="E365" s="78">
        <v>280037801</v>
      </c>
      <c r="F365" s="83" t="s">
        <v>94</v>
      </c>
      <c r="G365" s="1" t="s">
        <v>440</v>
      </c>
      <c r="H365" s="1" t="s">
        <v>16</v>
      </c>
      <c r="I365" s="1" t="s">
        <v>441</v>
      </c>
      <c r="J365" s="1">
        <v>8500000</v>
      </c>
      <c r="K365" s="1">
        <v>100000000</v>
      </c>
      <c r="L365" s="1">
        <v>0</v>
      </c>
      <c r="M365" s="1">
        <v>0</v>
      </c>
      <c r="N365" s="1" t="s">
        <v>442</v>
      </c>
      <c r="O365" s="1">
        <v>0.15</v>
      </c>
      <c r="P365" s="1">
        <v>8.5000000000000006E-2</v>
      </c>
      <c r="Q365" s="83">
        <v>3052.8413</v>
      </c>
      <c r="R365" s="83">
        <v>3052.8413</v>
      </c>
      <c r="S365" s="1">
        <v>3052.8413</v>
      </c>
      <c r="T365" s="83">
        <v>0</v>
      </c>
      <c r="U365" s="1" t="s">
        <v>122</v>
      </c>
      <c r="V365" s="1" t="s">
        <v>852</v>
      </c>
      <c r="W365" s="1">
        <v>3949.1976460300002</v>
      </c>
      <c r="X365" s="1"/>
      <c r="Y365" s="83" t="str">
        <f>VLOOKUP(LossTable[[#This Row],[Department]],$A$15:$B$40,2,FALSE)</f>
        <v>TP</v>
      </c>
    </row>
    <row r="366" spans="4:25" x14ac:dyDescent="0.25">
      <c r="D366" s="78">
        <v>446803</v>
      </c>
      <c r="E366" s="78">
        <v>280037801</v>
      </c>
      <c r="F366" s="83" t="s">
        <v>94</v>
      </c>
      <c r="G366" s="1" t="s">
        <v>448</v>
      </c>
      <c r="H366" s="1" t="s">
        <v>16</v>
      </c>
      <c r="I366" s="1" t="s">
        <v>513</v>
      </c>
      <c r="J366" s="1">
        <v>1875000</v>
      </c>
      <c r="K366" s="1">
        <v>75000000</v>
      </c>
      <c r="L366" s="1">
        <v>0</v>
      </c>
      <c r="M366" s="1">
        <v>0</v>
      </c>
      <c r="N366" s="1" t="s">
        <v>514</v>
      </c>
      <c r="O366" s="1">
        <v>0.22000162000000001</v>
      </c>
      <c r="P366" s="1">
        <v>2.5000000000000001E-2</v>
      </c>
      <c r="Q366" s="83">
        <v>6980.2102500000001</v>
      </c>
      <c r="R366" s="83">
        <v>6980.2102500000001</v>
      </c>
      <c r="S366" s="1">
        <v>6980.2102500000001</v>
      </c>
      <c r="T366" s="83">
        <v>0</v>
      </c>
      <c r="U366" s="1" t="s">
        <v>122</v>
      </c>
      <c r="V366" s="1" t="s">
        <v>852</v>
      </c>
      <c r="W366" s="1">
        <v>3949.1976460300002</v>
      </c>
      <c r="X366" s="1"/>
      <c r="Y366" s="83" t="str">
        <f>VLOOKUP(LossTable[[#This Row],[Department]],$A$15:$B$40,2,FALSE)</f>
        <v>TP</v>
      </c>
    </row>
    <row r="367" spans="4:25" x14ac:dyDescent="0.25">
      <c r="D367" s="78">
        <v>446929</v>
      </c>
      <c r="E367" s="78">
        <v>280037801</v>
      </c>
      <c r="F367" s="83" t="s">
        <v>94</v>
      </c>
      <c r="G367" s="1" t="s">
        <v>468</v>
      </c>
      <c r="H367" s="1" t="s">
        <v>14</v>
      </c>
      <c r="I367" s="1" t="s">
        <v>469</v>
      </c>
      <c r="J367" s="1">
        <v>13500000</v>
      </c>
      <c r="K367" s="1">
        <v>150000000</v>
      </c>
      <c r="L367" s="1">
        <v>0</v>
      </c>
      <c r="M367" s="1">
        <v>0</v>
      </c>
      <c r="N367" s="1" t="s">
        <v>122</v>
      </c>
      <c r="O367" s="1">
        <v>1.03333333</v>
      </c>
      <c r="P367" s="1">
        <v>0.09</v>
      </c>
      <c r="Q367" s="83">
        <v>83534.255099999995</v>
      </c>
      <c r="R367" s="83">
        <v>83534.255099999995</v>
      </c>
      <c r="S367" s="1">
        <v>83534.255099999995</v>
      </c>
      <c r="T367" s="83">
        <v>0</v>
      </c>
      <c r="U367" s="1" t="s">
        <v>122</v>
      </c>
      <c r="V367" s="1" t="s">
        <v>852</v>
      </c>
      <c r="W367" s="1">
        <v>3949.1976460300002</v>
      </c>
      <c r="X367" s="1"/>
      <c r="Y367" s="83" t="str">
        <f>VLOOKUP(LossTable[[#This Row],[Department]],$A$15:$B$40,2,FALSE)</f>
        <v>TP</v>
      </c>
    </row>
    <row r="368" spans="4:25" x14ac:dyDescent="0.25">
      <c r="D368" s="78">
        <v>446936</v>
      </c>
      <c r="E368" s="78">
        <v>280037801</v>
      </c>
      <c r="F368" s="83" t="s">
        <v>12</v>
      </c>
      <c r="G368" s="1" t="s">
        <v>473</v>
      </c>
      <c r="H368" s="1" t="s">
        <v>16</v>
      </c>
      <c r="I368" s="1" t="s">
        <v>759</v>
      </c>
      <c r="J368" s="1">
        <v>1125000</v>
      </c>
      <c r="K368" s="1">
        <v>15000000</v>
      </c>
      <c r="L368" s="1">
        <v>0</v>
      </c>
      <c r="M368" s="1">
        <v>0</v>
      </c>
      <c r="N368" s="1" t="s">
        <v>760</v>
      </c>
      <c r="O368" s="1">
        <v>0.18668399999999999</v>
      </c>
      <c r="P368" s="1">
        <v>7.4999999999999997E-2</v>
      </c>
      <c r="Q368" s="83">
        <v>612.63750000000005</v>
      </c>
      <c r="R368" s="83">
        <v>612.63750000000005</v>
      </c>
      <c r="S368" s="1">
        <v>612.63750000000005</v>
      </c>
      <c r="T368" s="83">
        <v>0</v>
      </c>
      <c r="U368" s="1" t="s">
        <v>122</v>
      </c>
      <c r="V368" s="1" t="s">
        <v>852</v>
      </c>
      <c r="W368" s="1">
        <v>3949.1976460300002</v>
      </c>
      <c r="X368" s="1"/>
      <c r="Y368" s="83" t="str">
        <f>VLOOKUP(LossTable[[#This Row],[Department]],$A$15:$B$40,2,FALSE)</f>
        <v>Bermuda</v>
      </c>
    </row>
    <row r="369" spans="4:25" x14ac:dyDescent="0.25">
      <c r="D369" s="78">
        <v>448028</v>
      </c>
      <c r="E369" s="78">
        <v>280037801</v>
      </c>
      <c r="F369" s="83" t="s">
        <v>94</v>
      </c>
      <c r="G369" s="1" t="s">
        <v>395</v>
      </c>
      <c r="H369" s="1" t="s">
        <v>16</v>
      </c>
      <c r="I369" s="1" t="s">
        <v>525</v>
      </c>
      <c r="J369" s="1">
        <v>1410737.5386000001</v>
      </c>
      <c r="K369" s="1">
        <v>43407308.880000003</v>
      </c>
      <c r="L369" s="1">
        <v>0</v>
      </c>
      <c r="M369" s="1">
        <v>0</v>
      </c>
      <c r="N369" s="1" t="s">
        <v>526</v>
      </c>
      <c r="O369" s="1">
        <v>0.57999999999999996</v>
      </c>
      <c r="P369" s="1">
        <v>3.2500000000000001E-2</v>
      </c>
      <c r="Q369" s="83">
        <v>11318.6021</v>
      </c>
      <c r="R369" s="83">
        <v>11318.6021</v>
      </c>
      <c r="S369" s="1">
        <v>11318.6021</v>
      </c>
      <c r="T369" s="83">
        <v>0</v>
      </c>
      <c r="U369" s="1" t="s">
        <v>122</v>
      </c>
      <c r="V369" s="1" t="s">
        <v>852</v>
      </c>
      <c r="W369" s="1">
        <v>3949.1976460300002</v>
      </c>
      <c r="X369" s="1"/>
      <c r="Y369" s="83" t="str">
        <f>VLOOKUP(LossTable[[#This Row],[Department]],$A$15:$B$40,2,FALSE)</f>
        <v>TP</v>
      </c>
    </row>
    <row r="370" spans="4:25" x14ac:dyDescent="0.25">
      <c r="D370" s="78">
        <v>448237</v>
      </c>
      <c r="E370" s="78">
        <v>280037801</v>
      </c>
      <c r="F370" s="83" t="s">
        <v>45</v>
      </c>
      <c r="G370" s="1" t="s">
        <v>553</v>
      </c>
      <c r="H370" s="1" t="s">
        <v>16</v>
      </c>
      <c r="I370" s="1" t="s">
        <v>554</v>
      </c>
      <c r="J370" s="1">
        <v>750000</v>
      </c>
      <c r="K370" s="1">
        <v>10000000</v>
      </c>
      <c r="L370" s="1">
        <v>0</v>
      </c>
      <c r="M370" s="1">
        <v>0</v>
      </c>
      <c r="N370" s="1" t="s">
        <v>315</v>
      </c>
      <c r="O370" s="1">
        <v>0.27500000000000002</v>
      </c>
      <c r="P370" s="1">
        <v>7.4999999999999997E-2</v>
      </c>
      <c r="Q370" s="83">
        <v>206.22524999999999</v>
      </c>
      <c r="R370" s="83">
        <v>206.22524999999999</v>
      </c>
      <c r="S370" s="1">
        <v>206.22524999999999</v>
      </c>
      <c r="T370" s="83">
        <v>0</v>
      </c>
      <c r="U370" s="1" t="s">
        <v>122</v>
      </c>
      <c r="V370" s="1" t="s">
        <v>852</v>
      </c>
      <c r="W370" s="1">
        <v>3949.1976460300002</v>
      </c>
      <c r="X370" s="1"/>
      <c r="Y370" s="83" t="str">
        <f>VLOOKUP(LossTable[[#This Row],[Department]],$A$15:$B$40,2,FALSE)</f>
        <v>FP</v>
      </c>
    </row>
    <row r="371" spans="4:25" x14ac:dyDescent="0.25">
      <c r="D371" s="78">
        <v>456760</v>
      </c>
      <c r="E371" s="78">
        <v>280037801</v>
      </c>
      <c r="F371" s="83" t="s">
        <v>45</v>
      </c>
      <c r="G371" s="1" t="s">
        <v>577</v>
      </c>
      <c r="H371" s="1" t="s">
        <v>16</v>
      </c>
      <c r="I371" s="1" t="s">
        <v>578</v>
      </c>
      <c r="J371" s="1">
        <v>5094000</v>
      </c>
      <c r="K371" s="1">
        <v>25470000</v>
      </c>
      <c r="L371" s="1">
        <v>0</v>
      </c>
      <c r="M371" s="1">
        <v>0</v>
      </c>
      <c r="N371" s="1" t="s">
        <v>579</v>
      </c>
      <c r="O371" s="1">
        <v>0.42</v>
      </c>
      <c r="P371" s="1">
        <v>0.2</v>
      </c>
      <c r="Q371" s="83">
        <v>112.58799999999999</v>
      </c>
      <c r="R371" s="83">
        <v>112.58799999999999</v>
      </c>
      <c r="S371" s="1">
        <v>112.58799999999999</v>
      </c>
      <c r="T371" s="83">
        <v>0</v>
      </c>
      <c r="U371" s="1" t="s">
        <v>122</v>
      </c>
      <c r="V371" s="1" t="s">
        <v>852</v>
      </c>
      <c r="W371" s="1">
        <v>3949.1976460300002</v>
      </c>
      <c r="X371" s="1"/>
      <c r="Y371" s="83" t="str">
        <f>VLOOKUP(LossTable[[#This Row],[Department]],$A$15:$B$40,2,FALSE)</f>
        <v>FP</v>
      </c>
    </row>
    <row r="372" spans="4:25" x14ac:dyDescent="0.25">
      <c r="D372" s="78">
        <v>468532</v>
      </c>
      <c r="E372" s="78">
        <v>280037801</v>
      </c>
      <c r="F372" s="83" t="s">
        <v>95</v>
      </c>
      <c r="G372" s="1" t="s">
        <v>638</v>
      </c>
      <c r="H372" s="1" t="s">
        <v>14</v>
      </c>
      <c r="I372" s="1" t="s">
        <v>639</v>
      </c>
      <c r="J372" s="1">
        <v>39658812.313482799</v>
      </c>
      <c r="K372" s="1">
        <v>721069314.79059601</v>
      </c>
      <c r="L372" s="1">
        <v>0</v>
      </c>
      <c r="M372" s="1">
        <v>0</v>
      </c>
      <c r="N372" s="1" t="s">
        <v>122</v>
      </c>
      <c r="O372" s="1">
        <v>0.65165550000000005</v>
      </c>
      <c r="P372" s="1">
        <v>5.5E-2</v>
      </c>
      <c r="Q372" s="83">
        <v>49724.281584030003</v>
      </c>
      <c r="R372" s="83">
        <v>49724.281584030003</v>
      </c>
      <c r="S372" s="1">
        <v>49724.281584030003</v>
      </c>
      <c r="T372" s="83">
        <v>0</v>
      </c>
      <c r="U372" s="1" t="s">
        <v>122</v>
      </c>
      <c r="V372" s="1" t="s">
        <v>852</v>
      </c>
      <c r="W372" s="1">
        <v>3949.1976460300002</v>
      </c>
      <c r="X372" s="1"/>
      <c r="Y372" s="83" t="str">
        <f>VLOOKUP(LossTable[[#This Row],[Department]],$A$15:$B$40,2,FALSE)</f>
        <v>Dublin</v>
      </c>
    </row>
    <row r="373" spans="4:25" x14ac:dyDescent="0.25">
      <c r="D373" s="78">
        <v>468836</v>
      </c>
      <c r="E373" s="78">
        <v>280037801</v>
      </c>
      <c r="F373" s="83" t="s">
        <v>94</v>
      </c>
      <c r="G373" s="1" t="s">
        <v>582</v>
      </c>
      <c r="H373" s="1" t="s">
        <v>16</v>
      </c>
      <c r="I373" s="1" t="s">
        <v>635</v>
      </c>
      <c r="J373" s="1">
        <v>300000</v>
      </c>
      <c r="K373" s="1">
        <v>6000000</v>
      </c>
      <c r="L373" s="1">
        <v>0</v>
      </c>
      <c r="M373" s="1">
        <v>0</v>
      </c>
      <c r="N373" s="1" t="s">
        <v>122</v>
      </c>
      <c r="O373" s="1">
        <v>6.9995166700000002</v>
      </c>
      <c r="P373" s="1">
        <v>0.05</v>
      </c>
      <c r="Q373" s="83">
        <v>2782.8325</v>
      </c>
      <c r="R373" s="83">
        <v>2782.8325</v>
      </c>
      <c r="S373" s="1">
        <v>2782.8325</v>
      </c>
      <c r="T373" s="83">
        <v>0</v>
      </c>
      <c r="U373" s="1" t="s">
        <v>122</v>
      </c>
      <c r="V373" s="1" t="s">
        <v>852</v>
      </c>
      <c r="W373" s="1">
        <v>3949.1976460300002</v>
      </c>
      <c r="X373" s="1"/>
      <c r="Y373" s="83" t="str">
        <f>VLOOKUP(LossTable[[#This Row],[Department]],$A$15:$B$40,2,FALSE)</f>
        <v>TP</v>
      </c>
    </row>
    <row r="374" spans="4:25" x14ac:dyDescent="0.25">
      <c r="D374" s="78">
        <v>475297</v>
      </c>
      <c r="E374" s="78">
        <v>280037801</v>
      </c>
      <c r="F374" s="83" t="s">
        <v>94</v>
      </c>
      <c r="G374" s="1" t="s">
        <v>792</v>
      </c>
      <c r="H374" s="1" t="s">
        <v>16</v>
      </c>
      <c r="I374" s="1" t="s">
        <v>793</v>
      </c>
      <c r="J374" s="1">
        <v>562500</v>
      </c>
      <c r="K374" s="1">
        <v>7500000</v>
      </c>
      <c r="L374" s="1">
        <v>0</v>
      </c>
      <c r="M374" s="1">
        <v>0</v>
      </c>
      <c r="N374" s="1" t="s">
        <v>122</v>
      </c>
      <c r="O374" s="1">
        <v>0.43333333000000002</v>
      </c>
      <c r="P374" s="1">
        <v>7.4999999999999997E-2</v>
      </c>
      <c r="Q374" s="83">
        <v>30.231000000000002</v>
      </c>
      <c r="R374" s="83">
        <v>30.231000000000002</v>
      </c>
      <c r="S374" s="1">
        <v>30.231000000000002</v>
      </c>
      <c r="T374" s="83">
        <v>0</v>
      </c>
      <c r="U374" s="1" t="s">
        <v>122</v>
      </c>
      <c r="V374" s="1" t="s">
        <v>852</v>
      </c>
      <c r="W374" s="1">
        <v>3949.1976460300002</v>
      </c>
      <c r="X374" s="1"/>
      <c r="Y374" s="83" t="str">
        <f>VLOOKUP(LossTable[[#This Row],[Department]],$A$15:$B$40,2,FALSE)</f>
        <v>TP</v>
      </c>
    </row>
    <row r="375" spans="4:25" x14ac:dyDescent="0.25">
      <c r="D375" s="78">
        <v>475589</v>
      </c>
      <c r="E375" s="78">
        <v>280037801</v>
      </c>
      <c r="F375" s="83" t="s">
        <v>94</v>
      </c>
      <c r="G375" s="1" t="s">
        <v>623</v>
      </c>
      <c r="H375" s="1" t="s">
        <v>14</v>
      </c>
      <c r="I375" s="1" t="s">
        <v>624</v>
      </c>
      <c r="J375" s="1">
        <v>10500000</v>
      </c>
      <c r="K375" s="1">
        <v>105000000</v>
      </c>
      <c r="L375" s="1">
        <v>0</v>
      </c>
      <c r="M375" s="1">
        <v>0</v>
      </c>
      <c r="N375" s="1" t="s">
        <v>122</v>
      </c>
      <c r="O375" s="1">
        <v>0.45362531</v>
      </c>
      <c r="P375" s="1">
        <v>0.1</v>
      </c>
      <c r="Q375" s="83">
        <v>34989.737000000001</v>
      </c>
      <c r="R375" s="83">
        <v>34989.737000000001</v>
      </c>
      <c r="S375" s="1">
        <v>34989.737000000001</v>
      </c>
      <c r="T375" s="83">
        <v>0</v>
      </c>
      <c r="U375" s="1" t="s">
        <v>122</v>
      </c>
      <c r="V375" s="1" t="s">
        <v>852</v>
      </c>
      <c r="W375" s="1">
        <v>3949.1976460300002</v>
      </c>
      <c r="X375" s="1"/>
      <c r="Y375" s="83" t="str">
        <f>VLOOKUP(LossTable[[#This Row],[Department]],$A$15:$B$40,2,FALSE)</f>
        <v>TP</v>
      </c>
    </row>
    <row r="376" spans="4:25" x14ac:dyDescent="0.25">
      <c r="D376" s="78">
        <v>476959</v>
      </c>
      <c r="E376" s="78">
        <v>280037801</v>
      </c>
      <c r="F376" s="83" t="s">
        <v>94</v>
      </c>
      <c r="G376" s="1" t="s">
        <v>629</v>
      </c>
      <c r="H376" s="1" t="s">
        <v>14</v>
      </c>
      <c r="I376" s="1" t="s">
        <v>630</v>
      </c>
      <c r="J376" s="1">
        <v>7000000</v>
      </c>
      <c r="K376" s="1">
        <v>35000000</v>
      </c>
      <c r="L376" s="1">
        <v>0</v>
      </c>
      <c r="M376" s="1">
        <v>0</v>
      </c>
      <c r="N376" s="1" t="s">
        <v>122</v>
      </c>
      <c r="O376" s="1">
        <v>1.71428571</v>
      </c>
      <c r="P376" s="1">
        <v>0.2</v>
      </c>
      <c r="Q376" s="83">
        <v>30870.544000000002</v>
      </c>
      <c r="R376" s="83">
        <v>30870.544000000002</v>
      </c>
      <c r="S376" s="1">
        <v>30870.544000000002</v>
      </c>
      <c r="T376" s="83">
        <v>0</v>
      </c>
      <c r="U376" s="1" t="s">
        <v>122</v>
      </c>
      <c r="V376" s="1" t="s">
        <v>852</v>
      </c>
      <c r="W376" s="1">
        <v>3949.1976460300002</v>
      </c>
      <c r="X376" s="1"/>
      <c r="Y376" s="83" t="str">
        <f>VLOOKUP(LossTable[[#This Row],[Department]],$A$15:$B$40,2,FALSE)</f>
        <v>TP</v>
      </c>
    </row>
    <row r="377" spans="4:25" x14ac:dyDescent="0.25">
      <c r="D377" s="78">
        <v>479986</v>
      </c>
      <c r="E377" s="78">
        <v>280037801</v>
      </c>
      <c r="F377" s="83" t="s">
        <v>94</v>
      </c>
      <c r="G377" s="1" t="s">
        <v>661</v>
      </c>
      <c r="H377" s="1" t="s">
        <v>16</v>
      </c>
      <c r="I377" s="1" t="s">
        <v>777</v>
      </c>
      <c r="J377" s="1">
        <v>1000000</v>
      </c>
      <c r="K377" s="1">
        <v>10000000</v>
      </c>
      <c r="L377" s="1">
        <v>0</v>
      </c>
      <c r="M377" s="1">
        <v>0</v>
      </c>
      <c r="N377" s="1" t="s">
        <v>271</v>
      </c>
      <c r="O377" s="1">
        <v>0.255</v>
      </c>
      <c r="P377" s="1">
        <v>0.1</v>
      </c>
      <c r="Q377" s="83">
        <v>61.243000000000002</v>
      </c>
      <c r="R377" s="83">
        <v>61.243000000000002</v>
      </c>
      <c r="S377" s="1">
        <v>61.243000000000002</v>
      </c>
      <c r="T377" s="83">
        <v>0</v>
      </c>
      <c r="U377" s="1" t="s">
        <v>122</v>
      </c>
      <c r="V377" s="1" t="s">
        <v>852</v>
      </c>
      <c r="W377" s="1">
        <v>3949.1976460300002</v>
      </c>
      <c r="X377" s="1"/>
      <c r="Y377" s="83" t="str">
        <f>VLOOKUP(LossTable[[#This Row],[Department]],$A$15:$B$40,2,FALSE)</f>
        <v>TP</v>
      </c>
    </row>
    <row r="378" spans="4:25" x14ac:dyDescent="0.25">
      <c r="D378" s="78">
        <v>480746</v>
      </c>
      <c r="E378" s="78">
        <v>280037801</v>
      </c>
      <c r="F378" s="83" t="s">
        <v>45</v>
      </c>
      <c r="G378" s="1" t="s">
        <v>669</v>
      </c>
      <c r="H378" s="1" t="s">
        <v>16</v>
      </c>
      <c r="I378" s="1" t="s">
        <v>670</v>
      </c>
      <c r="J378" s="1">
        <v>300000</v>
      </c>
      <c r="K378" s="1">
        <v>3000000</v>
      </c>
      <c r="L378" s="1">
        <v>0</v>
      </c>
      <c r="M378" s="1">
        <v>0</v>
      </c>
      <c r="N378" s="1" t="s">
        <v>403</v>
      </c>
      <c r="O378" s="1">
        <v>0.55000000000000004</v>
      </c>
      <c r="P378" s="1">
        <v>0.1</v>
      </c>
      <c r="Q378" s="83">
        <v>1139.3920000000001</v>
      </c>
      <c r="R378" s="83">
        <v>1139.3920000000001</v>
      </c>
      <c r="S378" s="1">
        <v>1139.3920000000001</v>
      </c>
      <c r="T378" s="83">
        <v>626.50500001</v>
      </c>
      <c r="U378" s="1" t="s">
        <v>122</v>
      </c>
      <c r="V378" s="1" t="s">
        <v>852</v>
      </c>
      <c r="W378" s="1">
        <v>3949.1976460300002</v>
      </c>
      <c r="X378" s="1"/>
      <c r="Y378" s="83" t="str">
        <f>VLOOKUP(LossTable[[#This Row],[Department]],$A$15:$B$40,2,FALSE)</f>
        <v>FP</v>
      </c>
    </row>
    <row r="379" spans="4:25" x14ac:dyDescent="0.25">
      <c r="D379" s="78">
        <v>482844</v>
      </c>
      <c r="E379" s="78">
        <v>280037801</v>
      </c>
      <c r="F379" s="83" t="s">
        <v>21</v>
      </c>
      <c r="G379" s="1" t="s">
        <v>738</v>
      </c>
      <c r="H379" s="1" t="s">
        <v>14</v>
      </c>
      <c r="I379" s="1" t="s">
        <v>739</v>
      </c>
      <c r="J379" s="1">
        <v>17100000</v>
      </c>
      <c r="K379" s="1">
        <v>1140000000</v>
      </c>
      <c r="L379" s="1">
        <v>0</v>
      </c>
      <c r="M379" s="1">
        <v>0</v>
      </c>
      <c r="N379" s="1" t="s">
        <v>122</v>
      </c>
      <c r="O379" s="1">
        <v>0.33333332999999998</v>
      </c>
      <c r="P379" s="1">
        <v>1.4999999999999999E-2</v>
      </c>
      <c r="Q379" s="83">
        <v>21291.5478</v>
      </c>
      <c r="R379" s="83">
        <v>21291.5478</v>
      </c>
      <c r="S379" s="1">
        <v>21291.5478</v>
      </c>
      <c r="T379" s="83">
        <v>0</v>
      </c>
      <c r="U379" s="1" t="s">
        <v>122</v>
      </c>
      <c r="V379" s="1" t="s">
        <v>852</v>
      </c>
      <c r="W379" s="1">
        <v>3949.1976460300002</v>
      </c>
      <c r="X379" s="1"/>
      <c r="Y379" s="83" t="str">
        <f>VLOOKUP(LossTable[[#This Row],[Department]],$A$15:$B$40,2,FALSE)</f>
        <v>London</v>
      </c>
    </row>
    <row r="380" spans="4:25" x14ac:dyDescent="0.25">
      <c r="D380" s="78">
        <v>483561</v>
      </c>
      <c r="E380" s="78">
        <v>280037801</v>
      </c>
      <c r="F380" s="83" t="s">
        <v>45</v>
      </c>
      <c r="G380" s="1" t="s">
        <v>772</v>
      </c>
      <c r="H380" s="1" t="s">
        <v>16</v>
      </c>
      <c r="I380" s="1" t="s">
        <v>773</v>
      </c>
      <c r="J380" s="1">
        <v>2250000</v>
      </c>
      <c r="K380" s="1">
        <v>30000000</v>
      </c>
      <c r="L380" s="1">
        <v>0</v>
      </c>
      <c r="M380" s="1">
        <v>0</v>
      </c>
      <c r="N380" s="1" t="s">
        <v>376</v>
      </c>
      <c r="O380" s="1">
        <v>1.43333333</v>
      </c>
      <c r="P380" s="1">
        <v>7.4999999999999997E-2</v>
      </c>
      <c r="Q380" s="83">
        <v>489.84449999999998</v>
      </c>
      <c r="R380" s="83">
        <v>489.84449999999998</v>
      </c>
      <c r="S380" s="1">
        <v>489.84449999999998</v>
      </c>
      <c r="T380" s="83">
        <v>0</v>
      </c>
      <c r="U380" s="1" t="s">
        <v>122</v>
      </c>
      <c r="V380" s="1" t="s">
        <v>852</v>
      </c>
      <c r="W380" s="1">
        <v>3949.1976460300002</v>
      </c>
      <c r="X380" s="1"/>
      <c r="Y380" s="83" t="str">
        <f>VLOOKUP(LossTable[[#This Row],[Department]],$A$15:$B$40,2,FALSE)</f>
        <v>FP</v>
      </c>
    </row>
    <row r="381" spans="4:25" x14ac:dyDescent="0.25">
      <c r="D381" s="78">
        <v>483896</v>
      </c>
      <c r="E381" s="78">
        <v>280037801</v>
      </c>
      <c r="F381" s="83" t="s">
        <v>45</v>
      </c>
      <c r="G381" s="1" t="s">
        <v>675</v>
      </c>
      <c r="H381" s="1" t="s">
        <v>14</v>
      </c>
      <c r="I381" s="1" t="s">
        <v>741</v>
      </c>
      <c r="J381" s="1">
        <v>53352382.411124997</v>
      </c>
      <c r="K381" s="1">
        <v>2371216996.0500002</v>
      </c>
      <c r="L381" s="1">
        <v>0</v>
      </c>
      <c r="M381" s="1">
        <v>0</v>
      </c>
      <c r="N381" s="1" t="s">
        <v>14</v>
      </c>
      <c r="O381" s="1">
        <v>0.12172348</v>
      </c>
      <c r="P381" s="1">
        <v>2.2499999999999999E-2</v>
      </c>
      <c r="Q381" s="83">
        <v>71490.513825000002</v>
      </c>
      <c r="R381" s="83">
        <v>71490.513825000002</v>
      </c>
      <c r="S381" s="1">
        <v>71490.513825000002</v>
      </c>
      <c r="T381" s="83">
        <v>0</v>
      </c>
      <c r="U381" s="1" t="s">
        <v>122</v>
      </c>
      <c r="V381" s="1" t="s">
        <v>852</v>
      </c>
      <c r="W381" s="1">
        <v>3949.1976460300002</v>
      </c>
      <c r="X381" s="1"/>
      <c r="Y381" s="83" t="str">
        <f>VLOOKUP(LossTable[[#This Row],[Department]],$A$15:$B$40,2,FALSE)</f>
        <v>FP</v>
      </c>
    </row>
    <row r="382" spans="4:25" x14ac:dyDescent="0.25">
      <c r="D382" s="78">
        <v>484924</v>
      </c>
      <c r="E382" s="78">
        <v>280037801</v>
      </c>
      <c r="F382" s="83" t="s">
        <v>94</v>
      </c>
      <c r="G382" s="1" t="s">
        <v>774</v>
      </c>
      <c r="H382" s="1" t="s">
        <v>16</v>
      </c>
      <c r="I382" s="1" t="s">
        <v>775</v>
      </c>
      <c r="J382" s="1">
        <v>1125000</v>
      </c>
      <c r="K382" s="1">
        <v>7500000</v>
      </c>
      <c r="L382" s="1">
        <v>0</v>
      </c>
      <c r="M382" s="1">
        <v>0</v>
      </c>
      <c r="N382" s="1" t="s">
        <v>776</v>
      </c>
      <c r="O382" s="1">
        <v>0.17499999999999999</v>
      </c>
      <c r="P382" s="1">
        <v>0.15</v>
      </c>
      <c r="Q382" s="83">
        <v>5.2545000000000002</v>
      </c>
      <c r="R382" s="83">
        <v>5.2545000000000002</v>
      </c>
      <c r="S382" s="1">
        <v>5.2545000000000002</v>
      </c>
      <c r="T382" s="83">
        <v>0</v>
      </c>
      <c r="U382" s="1" t="s">
        <v>122</v>
      </c>
      <c r="V382" s="1" t="s">
        <v>852</v>
      </c>
      <c r="W382" s="1">
        <v>3949.1976460300002</v>
      </c>
      <c r="X382" s="1"/>
      <c r="Y382" s="83" t="str">
        <f>VLOOKUP(LossTable[[#This Row],[Department]],$A$15:$B$40,2,FALSE)</f>
        <v>TP</v>
      </c>
    </row>
    <row r="383" spans="4:25" x14ac:dyDescent="0.25">
      <c r="D383" s="78">
        <v>485546</v>
      </c>
      <c r="E383" s="78">
        <v>280037801</v>
      </c>
      <c r="F383" s="83" t="s">
        <v>94</v>
      </c>
      <c r="G383" s="1" t="s">
        <v>747</v>
      </c>
      <c r="H383" s="1" t="s">
        <v>14</v>
      </c>
      <c r="I383" s="1" t="s">
        <v>748</v>
      </c>
      <c r="J383" s="1">
        <v>8750000</v>
      </c>
      <c r="K383" s="1">
        <v>50000000</v>
      </c>
      <c r="L383" s="1">
        <v>0</v>
      </c>
      <c r="M383" s="1">
        <v>0</v>
      </c>
      <c r="N383" s="1" t="s">
        <v>166</v>
      </c>
      <c r="O383" s="1">
        <v>0.51867832000000003</v>
      </c>
      <c r="P383" s="1">
        <v>0.17499999999999999</v>
      </c>
      <c r="Q383" s="83">
        <v>29380.429749999999</v>
      </c>
      <c r="R383" s="83">
        <v>29380.429749999999</v>
      </c>
      <c r="S383" s="1">
        <v>29380.429749999999</v>
      </c>
      <c r="T383" s="83">
        <v>0</v>
      </c>
      <c r="U383" s="1" t="s">
        <v>122</v>
      </c>
      <c r="V383" s="1" t="s">
        <v>852</v>
      </c>
      <c r="W383" s="1">
        <v>3949.1976460300002</v>
      </c>
      <c r="X383" s="1"/>
      <c r="Y383" s="83" t="str">
        <f>VLOOKUP(LossTable[[#This Row],[Department]],$A$15:$B$40,2,FALSE)</f>
        <v>TP</v>
      </c>
    </row>
    <row r="384" spans="4:25" x14ac:dyDescent="0.25">
      <c r="D384" s="78">
        <v>104</v>
      </c>
      <c r="E384" s="78">
        <v>280014790</v>
      </c>
      <c r="F384" s="83" t="s">
        <v>86</v>
      </c>
      <c r="G384" s="1" t="s">
        <v>217</v>
      </c>
      <c r="H384" s="1" t="s">
        <v>16</v>
      </c>
      <c r="I384" s="1" t="s">
        <v>217</v>
      </c>
      <c r="J384" s="1">
        <v>124695899.280228</v>
      </c>
      <c r="K384" s="1">
        <v>0</v>
      </c>
      <c r="L384" s="1">
        <v>0</v>
      </c>
      <c r="M384" s="1">
        <v>0</v>
      </c>
      <c r="N384" s="1" t="s">
        <v>44</v>
      </c>
      <c r="O384" s="1">
        <v>0</v>
      </c>
      <c r="P384" s="1">
        <v>1</v>
      </c>
      <c r="Q384" s="83">
        <v>5027.3196859999998</v>
      </c>
      <c r="R384" s="83">
        <v>5027.3196859999998</v>
      </c>
      <c r="S384" s="1">
        <v>5027.3196859999998</v>
      </c>
      <c r="T384" s="83">
        <v>0</v>
      </c>
      <c r="U384" s="1" t="s">
        <v>122</v>
      </c>
      <c r="V384" s="1" t="s">
        <v>836</v>
      </c>
      <c r="W384" s="1">
        <v>4781.60363426</v>
      </c>
      <c r="X384" s="1"/>
      <c r="Y384" s="83" t="str">
        <f>VLOOKUP(LossTable[[#This Row],[Department]],$A$15:$B$40,2,FALSE)</f>
        <v>FP</v>
      </c>
    </row>
    <row r="385" spans="4:25" x14ac:dyDescent="0.25">
      <c r="D385" s="78">
        <v>111</v>
      </c>
      <c r="E385" s="78">
        <v>280014790</v>
      </c>
      <c r="F385" s="83" t="s">
        <v>42</v>
      </c>
      <c r="G385" s="1" t="s">
        <v>43</v>
      </c>
      <c r="H385" s="1" t="s">
        <v>16</v>
      </c>
      <c r="I385" s="1" t="s">
        <v>43</v>
      </c>
      <c r="J385" s="1">
        <v>494435487.81273699</v>
      </c>
      <c r="K385" s="1">
        <v>0</v>
      </c>
      <c r="L385" s="1">
        <v>0</v>
      </c>
      <c r="M385" s="1">
        <v>0</v>
      </c>
      <c r="N385" s="1" t="s">
        <v>44</v>
      </c>
      <c r="O385" s="1">
        <v>0</v>
      </c>
      <c r="P385" s="1">
        <v>1</v>
      </c>
      <c r="Q385" s="83">
        <v>5337.9408999999996</v>
      </c>
      <c r="R385" s="83">
        <v>5337.9408999999996</v>
      </c>
      <c r="S385" s="1">
        <v>5337.9408999999996</v>
      </c>
      <c r="T385" s="83">
        <v>0</v>
      </c>
      <c r="U385" s="1" t="s">
        <v>122</v>
      </c>
      <c r="V385" s="1" t="s">
        <v>836</v>
      </c>
      <c r="W385" s="1">
        <v>4781.60363426</v>
      </c>
      <c r="X385" s="1"/>
      <c r="Y385" s="83" t="str">
        <f>VLOOKUP(LossTable[[#This Row],[Department]],$A$15:$B$40,2,FALSE)</f>
        <v>FP</v>
      </c>
    </row>
    <row r="386" spans="4:25" x14ac:dyDescent="0.25">
      <c r="D386" s="78">
        <v>118</v>
      </c>
      <c r="E386" s="78">
        <v>280014790</v>
      </c>
      <c r="F386" s="83" t="s">
        <v>42</v>
      </c>
      <c r="G386" s="1" t="s">
        <v>43</v>
      </c>
      <c r="H386" s="1" t="s">
        <v>16</v>
      </c>
      <c r="I386" s="1" t="s">
        <v>43</v>
      </c>
      <c r="J386" s="1">
        <v>154904533.31820899</v>
      </c>
      <c r="K386" s="1">
        <v>0</v>
      </c>
      <c r="L386" s="1">
        <v>0</v>
      </c>
      <c r="M386" s="1">
        <v>0</v>
      </c>
      <c r="N386" s="1" t="s">
        <v>44</v>
      </c>
      <c r="O386" s="1">
        <v>0</v>
      </c>
      <c r="P386" s="1">
        <v>1</v>
      </c>
      <c r="Q386" s="83">
        <v>308.379255</v>
      </c>
      <c r="R386" s="83">
        <v>308.379255</v>
      </c>
      <c r="S386" s="1">
        <v>308.379255</v>
      </c>
      <c r="T386" s="83">
        <v>0</v>
      </c>
      <c r="U386" s="1" t="s">
        <v>122</v>
      </c>
      <c r="V386" s="1" t="s">
        <v>836</v>
      </c>
      <c r="W386" s="1">
        <v>4781.60363426</v>
      </c>
      <c r="X386" s="1"/>
      <c r="Y386" s="83" t="str">
        <f>VLOOKUP(LossTable[[#This Row],[Department]],$A$15:$B$40,2,FALSE)</f>
        <v>FP</v>
      </c>
    </row>
    <row r="387" spans="4:25" x14ac:dyDescent="0.25">
      <c r="D387" s="78">
        <v>123</v>
      </c>
      <c r="E387" s="78">
        <v>280014790</v>
      </c>
      <c r="F387" s="83" t="s">
        <v>92</v>
      </c>
      <c r="G387" s="1" t="s">
        <v>220</v>
      </c>
      <c r="H387" s="1" t="s">
        <v>16</v>
      </c>
      <c r="I387" s="1" t="s">
        <v>220</v>
      </c>
      <c r="J387" s="1">
        <v>60795147.652807899</v>
      </c>
      <c r="K387" s="1">
        <v>0</v>
      </c>
      <c r="L387" s="1">
        <v>0</v>
      </c>
      <c r="M387" s="1">
        <v>0</v>
      </c>
      <c r="N387" s="1" t="s">
        <v>44</v>
      </c>
      <c r="O387" s="1">
        <v>0</v>
      </c>
      <c r="P387" s="1">
        <v>1</v>
      </c>
      <c r="Q387" s="83">
        <v>185.790539</v>
      </c>
      <c r="R387" s="83">
        <v>185.790539</v>
      </c>
      <c r="S387" s="1">
        <v>185.790539</v>
      </c>
      <c r="T387" s="83">
        <v>0</v>
      </c>
      <c r="U387" s="1" t="s">
        <v>122</v>
      </c>
      <c r="V387" s="1" t="s">
        <v>836</v>
      </c>
      <c r="W387" s="1">
        <v>4781.60363426</v>
      </c>
      <c r="X387" s="1"/>
      <c r="Y387" s="83" t="str">
        <f>VLOOKUP(LossTable[[#This Row],[Department]],$A$15:$B$40,2,FALSE)</f>
        <v>FP</v>
      </c>
    </row>
    <row r="388" spans="4:25" x14ac:dyDescent="0.25">
      <c r="D388" s="78">
        <v>142</v>
      </c>
      <c r="E388" s="78">
        <v>280014790</v>
      </c>
      <c r="F388" s="83" t="s">
        <v>45</v>
      </c>
      <c r="G388" s="1" t="s">
        <v>46</v>
      </c>
      <c r="H388" s="1" t="s">
        <v>16</v>
      </c>
      <c r="I388" s="1" t="s">
        <v>46</v>
      </c>
      <c r="J388" s="1">
        <v>103566650</v>
      </c>
      <c r="K388" s="1">
        <v>0</v>
      </c>
      <c r="L388" s="1">
        <v>0</v>
      </c>
      <c r="M388" s="1">
        <v>0</v>
      </c>
      <c r="N388" s="1" t="s">
        <v>44</v>
      </c>
      <c r="O388" s="1">
        <v>0</v>
      </c>
      <c r="P388" s="1">
        <v>1</v>
      </c>
      <c r="Q388" s="83">
        <v>6340.389056</v>
      </c>
      <c r="R388" s="83">
        <v>6340.389056</v>
      </c>
      <c r="S388" s="1">
        <v>6340.389056</v>
      </c>
      <c r="T388" s="83">
        <v>0</v>
      </c>
      <c r="U388" s="1" t="s">
        <v>122</v>
      </c>
      <c r="V388" s="1" t="s">
        <v>836</v>
      </c>
      <c r="W388" s="1">
        <v>4781.60363426</v>
      </c>
      <c r="X388" s="1"/>
      <c r="Y388" s="83" t="str">
        <f>VLOOKUP(LossTable[[#This Row],[Department]],$A$15:$B$40,2,FALSE)</f>
        <v>FP</v>
      </c>
    </row>
    <row r="389" spans="4:25" x14ac:dyDescent="0.25">
      <c r="D389" s="78">
        <v>139885</v>
      </c>
      <c r="E389" s="78">
        <v>280014790</v>
      </c>
      <c r="F389" s="83" t="s">
        <v>87</v>
      </c>
      <c r="G389" s="1" t="s">
        <v>123</v>
      </c>
      <c r="H389" s="1" t="s">
        <v>14</v>
      </c>
      <c r="I389" s="1" t="s">
        <v>124</v>
      </c>
      <c r="J389" s="1">
        <v>1127187540.1500001</v>
      </c>
      <c r="K389" s="1">
        <v>1127187540.1500001</v>
      </c>
      <c r="L389" s="1">
        <v>0</v>
      </c>
      <c r="M389" s="1">
        <v>0</v>
      </c>
      <c r="N389" s="1" t="s">
        <v>14</v>
      </c>
      <c r="O389" s="1">
        <v>0.10623199</v>
      </c>
      <c r="P389" s="1">
        <v>1</v>
      </c>
      <c r="Q389" s="83">
        <v>1699063.55</v>
      </c>
      <c r="R389" s="83">
        <v>1699063.55</v>
      </c>
      <c r="S389" s="1">
        <v>1699063.55</v>
      </c>
      <c r="T389" s="83">
        <v>0</v>
      </c>
      <c r="U389" s="1" t="s">
        <v>122</v>
      </c>
      <c r="V389" s="1" t="s">
        <v>836</v>
      </c>
      <c r="W389" s="1">
        <v>4781.60363426</v>
      </c>
      <c r="X389" s="1"/>
      <c r="Y389" s="83" t="str">
        <f>VLOOKUP(LossTable[[#This Row],[Department]],$A$15:$B$40,2,FALSE)</f>
        <v>Insurance</v>
      </c>
    </row>
    <row r="390" spans="4:25" x14ac:dyDescent="0.25">
      <c r="D390" s="78">
        <v>276751</v>
      </c>
      <c r="E390" s="78">
        <v>280014790</v>
      </c>
      <c r="F390" s="83" t="s">
        <v>87</v>
      </c>
      <c r="G390" s="1" t="s">
        <v>241</v>
      </c>
      <c r="H390" s="1" t="s">
        <v>14</v>
      </c>
      <c r="I390" s="1" t="s">
        <v>222</v>
      </c>
      <c r="J390" s="1">
        <v>118073386.87</v>
      </c>
      <c r="K390" s="1">
        <v>118073386.87</v>
      </c>
      <c r="L390" s="1">
        <v>0</v>
      </c>
      <c r="M390" s="1">
        <v>0</v>
      </c>
      <c r="N390" s="1" t="s">
        <v>14</v>
      </c>
      <c r="O390" s="1">
        <v>0.11010101999999999</v>
      </c>
      <c r="P390" s="1">
        <v>1</v>
      </c>
      <c r="Q390" s="83">
        <v>46166.69</v>
      </c>
      <c r="R390" s="83">
        <v>46166.69</v>
      </c>
      <c r="S390" s="1">
        <v>46166.69</v>
      </c>
      <c r="T390" s="83">
        <v>0</v>
      </c>
      <c r="U390" s="1" t="s">
        <v>122</v>
      </c>
      <c r="V390" s="1" t="s">
        <v>836</v>
      </c>
      <c r="W390" s="1">
        <v>4781.60363426</v>
      </c>
      <c r="X390" s="1"/>
      <c r="Y390" s="83" t="str">
        <f>VLOOKUP(LossTable[[#This Row],[Department]],$A$15:$B$40,2,FALSE)</f>
        <v>Insurance</v>
      </c>
    </row>
    <row r="391" spans="4:25" x14ac:dyDescent="0.25">
      <c r="D391" s="78">
        <v>288829</v>
      </c>
      <c r="E391" s="78">
        <v>280014790</v>
      </c>
      <c r="F391" s="83" t="s">
        <v>87</v>
      </c>
      <c r="G391" s="1" t="s">
        <v>843</v>
      </c>
      <c r="H391" s="1" t="s">
        <v>14</v>
      </c>
      <c r="I391" s="1" t="s">
        <v>222</v>
      </c>
      <c r="J391" s="1">
        <v>13173969.359999999</v>
      </c>
      <c r="K391" s="1">
        <v>13173969.359999999</v>
      </c>
      <c r="L391" s="1">
        <v>0</v>
      </c>
      <c r="M391" s="1">
        <v>0</v>
      </c>
      <c r="N391" s="1" t="s">
        <v>14</v>
      </c>
      <c r="O391" s="1">
        <v>2.2772199999999999E-3</v>
      </c>
      <c r="P391" s="1">
        <v>1</v>
      </c>
      <c r="Q391" s="83">
        <v>235.07</v>
      </c>
      <c r="R391" s="83">
        <v>235.07</v>
      </c>
      <c r="S391" s="1">
        <v>235.07</v>
      </c>
      <c r="T391" s="83">
        <v>0</v>
      </c>
      <c r="U391" s="1" t="s">
        <v>122</v>
      </c>
      <c r="V391" s="1" t="s">
        <v>836</v>
      </c>
      <c r="W391" s="1">
        <v>4781.60363426</v>
      </c>
      <c r="X391" s="1"/>
      <c r="Y391" s="83" t="str">
        <f>VLOOKUP(LossTable[[#This Row],[Department]],$A$15:$B$40,2,FALSE)</f>
        <v>Insurance</v>
      </c>
    </row>
    <row r="392" spans="4:25" x14ac:dyDescent="0.25">
      <c r="D392" s="78">
        <v>326485</v>
      </c>
      <c r="E392" s="78">
        <v>280014790</v>
      </c>
      <c r="F392" s="83" t="s">
        <v>87</v>
      </c>
      <c r="G392" s="1" t="s">
        <v>234</v>
      </c>
      <c r="H392" s="1" t="s">
        <v>14</v>
      </c>
      <c r="I392" s="1" t="s">
        <v>235</v>
      </c>
      <c r="J392" s="1">
        <v>226363672.53999999</v>
      </c>
      <c r="K392" s="1">
        <v>226363672.53999999</v>
      </c>
      <c r="L392" s="1">
        <v>0</v>
      </c>
      <c r="M392" s="1">
        <v>0</v>
      </c>
      <c r="N392" s="1" t="s">
        <v>14</v>
      </c>
      <c r="O392" s="1">
        <v>5.74297E-3</v>
      </c>
      <c r="P392" s="1">
        <v>1</v>
      </c>
      <c r="Q392" s="83">
        <v>284937.17</v>
      </c>
      <c r="R392" s="83">
        <v>284937.17</v>
      </c>
      <c r="S392" s="1">
        <v>284937.17</v>
      </c>
      <c r="T392" s="83">
        <v>0</v>
      </c>
      <c r="U392" s="1" t="s">
        <v>122</v>
      </c>
      <c r="V392" s="1" t="s">
        <v>836</v>
      </c>
      <c r="W392" s="1">
        <v>4781.60363426</v>
      </c>
      <c r="X392" s="1"/>
      <c r="Y392" s="83" t="str">
        <f>VLOOKUP(LossTable[[#This Row],[Department]],$A$15:$B$40,2,FALSE)</f>
        <v>Insurance</v>
      </c>
    </row>
    <row r="393" spans="4:25" x14ac:dyDescent="0.25">
      <c r="D393" s="78">
        <v>329411</v>
      </c>
      <c r="E393" s="78">
        <v>280014790</v>
      </c>
      <c r="F393" s="83" t="s">
        <v>100</v>
      </c>
      <c r="G393" s="1" t="s">
        <v>118</v>
      </c>
      <c r="H393" s="1" t="s">
        <v>14</v>
      </c>
      <c r="I393" s="1" t="s">
        <v>119</v>
      </c>
      <c r="J393" s="1">
        <v>-53237924.369999997</v>
      </c>
      <c r="K393" s="1">
        <v>-53237924.369999997</v>
      </c>
      <c r="L393" s="1">
        <v>0</v>
      </c>
      <c r="M393" s="1">
        <v>0</v>
      </c>
      <c r="N393" s="1" t="s">
        <v>14</v>
      </c>
      <c r="O393" s="1">
        <v>0</v>
      </c>
      <c r="P393" s="1">
        <v>1</v>
      </c>
      <c r="Q393" s="83">
        <v>0</v>
      </c>
      <c r="R393" s="83">
        <v>0</v>
      </c>
      <c r="S393" s="1">
        <v>-223008.31</v>
      </c>
      <c r="T393" s="83">
        <v>0</v>
      </c>
      <c r="U393" s="1" t="s">
        <v>122</v>
      </c>
      <c r="V393" s="1" t="s">
        <v>836</v>
      </c>
      <c r="W393" s="1">
        <v>4781.60363426</v>
      </c>
      <c r="X393" s="1"/>
      <c r="Y393" s="83" t="str">
        <f>VLOOKUP(LossTable[[#This Row],[Department]],$A$15:$B$40,2,FALSE)</f>
        <v>EI Recovery^</v>
      </c>
    </row>
    <row r="394" spans="4:25" x14ac:dyDescent="0.25">
      <c r="D394" s="78">
        <v>388129</v>
      </c>
      <c r="E394" s="78">
        <v>280014790</v>
      </c>
      <c r="F394" s="83" t="s">
        <v>87</v>
      </c>
      <c r="G394" s="1" t="s">
        <v>228</v>
      </c>
      <c r="H394" s="1" t="s">
        <v>14</v>
      </c>
      <c r="I394" s="1" t="s">
        <v>229</v>
      </c>
      <c r="J394" s="1">
        <v>281765820.48000002</v>
      </c>
      <c r="K394" s="1">
        <v>281765820.48000002</v>
      </c>
      <c r="L394" s="1">
        <v>0</v>
      </c>
      <c r="M394" s="1">
        <v>0</v>
      </c>
      <c r="N394" s="1" t="s">
        <v>14</v>
      </c>
      <c r="O394" s="1">
        <v>2.1294279999999999E-2</v>
      </c>
      <c r="P394" s="1">
        <v>1</v>
      </c>
      <c r="Q394" s="83">
        <v>488481.91</v>
      </c>
      <c r="R394" s="83">
        <v>488481.91</v>
      </c>
      <c r="S394" s="1">
        <v>488481.91</v>
      </c>
      <c r="T394" s="83">
        <v>0</v>
      </c>
      <c r="U394" s="1" t="s">
        <v>122</v>
      </c>
      <c r="V394" s="1" t="s">
        <v>836</v>
      </c>
      <c r="W394" s="1">
        <v>4781.60363426</v>
      </c>
      <c r="X394" s="1"/>
      <c r="Y394" s="83" t="str">
        <f>VLOOKUP(LossTable[[#This Row],[Department]],$A$15:$B$40,2,FALSE)</f>
        <v>Insurance</v>
      </c>
    </row>
    <row r="395" spans="4:25" x14ac:dyDescent="0.25">
      <c r="D395" s="78">
        <v>426935</v>
      </c>
      <c r="E395" s="78">
        <v>280014790</v>
      </c>
      <c r="F395" s="83" t="s">
        <v>94</v>
      </c>
      <c r="G395" s="1" t="s">
        <v>163</v>
      </c>
      <c r="H395" s="1" t="s">
        <v>16</v>
      </c>
      <c r="I395" s="1" t="s">
        <v>164</v>
      </c>
      <c r="J395" s="1">
        <v>312500</v>
      </c>
      <c r="K395" s="1">
        <v>2500000</v>
      </c>
      <c r="L395" s="1">
        <v>0</v>
      </c>
      <c r="M395" s="1">
        <v>0</v>
      </c>
      <c r="N395" s="1" t="s">
        <v>165</v>
      </c>
      <c r="O395" s="1">
        <v>0.25</v>
      </c>
      <c r="P395" s="1">
        <v>0.125</v>
      </c>
      <c r="Q395" s="83">
        <v>55.712499999999999</v>
      </c>
      <c r="R395" s="83">
        <v>55.712499999999999</v>
      </c>
      <c r="S395" s="1">
        <v>55.712499999999999</v>
      </c>
      <c r="T395" s="83">
        <v>0</v>
      </c>
      <c r="U395" s="1" t="s">
        <v>122</v>
      </c>
      <c r="V395" s="1" t="s">
        <v>836</v>
      </c>
      <c r="W395" s="1">
        <v>4781.60363426</v>
      </c>
      <c r="X395" s="1"/>
      <c r="Y395" s="83" t="str">
        <f>VLOOKUP(LossTable[[#This Row],[Department]],$A$15:$B$40,2,FALSE)</f>
        <v>TP</v>
      </c>
    </row>
    <row r="396" spans="4:25" x14ac:dyDescent="0.25">
      <c r="D396" s="78">
        <v>427334</v>
      </c>
      <c r="E396" s="78">
        <v>280014790</v>
      </c>
      <c r="F396" s="83" t="s">
        <v>94</v>
      </c>
      <c r="G396" s="1" t="s">
        <v>236</v>
      </c>
      <c r="H396" s="1" t="s">
        <v>14</v>
      </c>
      <c r="I396" s="1" t="s">
        <v>237</v>
      </c>
      <c r="J396" s="1">
        <v>3920000</v>
      </c>
      <c r="K396" s="1">
        <v>39200000</v>
      </c>
      <c r="L396" s="1">
        <v>0</v>
      </c>
      <c r="M396" s="1">
        <v>0</v>
      </c>
      <c r="N396" s="1" t="s">
        <v>238</v>
      </c>
      <c r="O396" s="1">
        <v>0.5000502</v>
      </c>
      <c r="P396" s="1">
        <v>0.1</v>
      </c>
      <c r="Q396" s="83">
        <v>653162.22600000002</v>
      </c>
      <c r="R396" s="83">
        <v>653162.22600000002</v>
      </c>
      <c r="S396" s="1">
        <v>653162.22600000002</v>
      </c>
      <c r="T396" s="83">
        <v>0</v>
      </c>
      <c r="U396" s="1" t="s">
        <v>122</v>
      </c>
      <c r="V396" s="1" t="s">
        <v>836</v>
      </c>
      <c r="W396" s="1">
        <v>4781.60363426</v>
      </c>
      <c r="X396" s="1"/>
      <c r="Y396" s="83" t="str">
        <f>VLOOKUP(LossTable[[#This Row],[Department]],$A$15:$B$40,2,FALSE)</f>
        <v>TP</v>
      </c>
    </row>
    <row r="397" spans="4:25" x14ac:dyDescent="0.25">
      <c r="D397" s="78">
        <v>427823</v>
      </c>
      <c r="E397" s="78">
        <v>280014790</v>
      </c>
      <c r="F397" s="83" t="s">
        <v>94</v>
      </c>
      <c r="G397" s="1" t="s">
        <v>180</v>
      </c>
      <c r="H397" s="1" t="s">
        <v>14</v>
      </c>
      <c r="I397" s="1" t="s">
        <v>181</v>
      </c>
      <c r="J397" s="1">
        <v>2750000</v>
      </c>
      <c r="K397" s="1">
        <v>110000000</v>
      </c>
      <c r="L397" s="1">
        <v>0</v>
      </c>
      <c r="M397" s="1">
        <v>0</v>
      </c>
      <c r="N397" s="1" t="s">
        <v>182</v>
      </c>
      <c r="O397" s="1">
        <v>0.9</v>
      </c>
      <c r="P397" s="1">
        <v>2.5000000000000001E-2</v>
      </c>
      <c r="Q397" s="83">
        <v>40189.2575</v>
      </c>
      <c r="R397" s="83">
        <v>40189.2575</v>
      </c>
      <c r="S397" s="1">
        <v>40189.2575</v>
      </c>
      <c r="T397" s="83">
        <v>0</v>
      </c>
      <c r="U397" s="1" t="s">
        <v>122</v>
      </c>
      <c r="V397" s="1" t="s">
        <v>836</v>
      </c>
      <c r="W397" s="1">
        <v>4781.60363426</v>
      </c>
      <c r="X397" s="1"/>
      <c r="Y397" s="83" t="str">
        <f>VLOOKUP(LossTable[[#This Row],[Department]],$A$15:$B$40,2,FALSE)</f>
        <v>TP</v>
      </c>
    </row>
    <row r="398" spans="4:25" x14ac:dyDescent="0.25">
      <c r="D398" s="78">
        <v>431320</v>
      </c>
      <c r="E398" s="78">
        <v>280014790</v>
      </c>
      <c r="F398" s="83" t="s">
        <v>94</v>
      </c>
      <c r="G398" s="1" t="s">
        <v>269</v>
      </c>
      <c r="H398" s="1" t="s">
        <v>16</v>
      </c>
      <c r="I398" s="1" t="s">
        <v>342</v>
      </c>
      <c r="J398" s="1">
        <v>542972.55599999998</v>
      </c>
      <c r="K398" s="1">
        <v>6033028.4000000004</v>
      </c>
      <c r="L398" s="1">
        <v>0</v>
      </c>
      <c r="M398" s="1">
        <v>0</v>
      </c>
      <c r="N398" s="1" t="s">
        <v>343</v>
      </c>
      <c r="O398" s="1">
        <v>0.24025046</v>
      </c>
      <c r="P398" s="1">
        <v>0.09</v>
      </c>
      <c r="Q398" s="83">
        <v>29.593800000000002</v>
      </c>
      <c r="R398" s="83">
        <v>29.593800000000002</v>
      </c>
      <c r="S398" s="1">
        <v>29.593800000000002</v>
      </c>
      <c r="T398" s="83">
        <v>0</v>
      </c>
      <c r="U398" s="1" t="s">
        <v>122</v>
      </c>
      <c r="V398" s="1" t="s">
        <v>836</v>
      </c>
      <c r="W398" s="1">
        <v>4781.60363426</v>
      </c>
      <c r="X398" s="1"/>
      <c r="Y398" s="83" t="str">
        <f>VLOOKUP(LossTable[[#This Row],[Department]],$A$15:$B$40,2,FALSE)</f>
        <v>TP</v>
      </c>
    </row>
    <row r="399" spans="4:25" x14ac:dyDescent="0.25">
      <c r="D399" s="78">
        <v>431332</v>
      </c>
      <c r="E399" s="78">
        <v>280014790</v>
      </c>
      <c r="F399" s="83" t="s">
        <v>94</v>
      </c>
      <c r="G399" s="1" t="s">
        <v>255</v>
      </c>
      <c r="H399" s="1" t="s">
        <v>16</v>
      </c>
      <c r="I399" s="1" t="s">
        <v>256</v>
      </c>
      <c r="J399" s="1">
        <v>1000000</v>
      </c>
      <c r="K399" s="1">
        <v>10000000</v>
      </c>
      <c r="L399" s="1">
        <v>0</v>
      </c>
      <c r="M399" s="1">
        <v>0</v>
      </c>
      <c r="N399" s="1" t="s">
        <v>257</v>
      </c>
      <c r="O399" s="1">
        <v>0.32499810000000001</v>
      </c>
      <c r="P399" s="1">
        <v>0.1</v>
      </c>
      <c r="Q399" s="83">
        <v>1078.8810000000001</v>
      </c>
      <c r="R399" s="83">
        <v>1078.8810000000001</v>
      </c>
      <c r="S399" s="1">
        <v>1078.8810000000001</v>
      </c>
      <c r="T399" s="83">
        <v>0</v>
      </c>
      <c r="U399" s="1" t="s">
        <v>122</v>
      </c>
      <c r="V399" s="1" t="s">
        <v>836</v>
      </c>
      <c r="W399" s="1">
        <v>4781.60363426</v>
      </c>
      <c r="X399" s="1"/>
      <c r="Y399" s="83" t="str">
        <f>VLOOKUP(LossTable[[#This Row],[Department]],$A$15:$B$40,2,FALSE)</f>
        <v>TP</v>
      </c>
    </row>
    <row r="400" spans="4:25" x14ac:dyDescent="0.25">
      <c r="D400" s="78">
        <v>433027</v>
      </c>
      <c r="E400" s="78">
        <v>280014790</v>
      </c>
      <c r="F400" s="83" t="s">
        <v>94</v>
      </c>
      <c r="G400" s="1" t="s">
        <v>367</v>
      </c>
      <c r="H400" s="1" t="s">
        <v>16</v>
      </c>
      <c r="I400" s="1" t="s">
        <v>368</v>
      </c>
      <c r="J400" s="1">
        <v>2000000</v>
      </c>
      <c r="K400" s="1">
        <v>20000000</v>
      </c>
      <c r="L400" s="1">
        <v>0</v>
      </c>
      <c r="M400" s="1">
        <v>0</v>
      </c>
      <c r="N400" s="1" t="s">
        <v>248</v>
      </c>
      <c r="O400" s="1">
        <v>0.58858761999999998</v>
      </c>
      <c r="P400" s="1">
        <v>0.1</v>
      </c>
      <c r="Q400" s="83">
        <v>65125.368000000002</v>
      </c>
      <c r="R400" s="83">
        <v>65125.368000000002</v>
      </c>
      <c r="S400" s="1">
        <v>65125.368000000002</v>
      </c>
      <c r="T400" s="83">
        <v>0</v>
      </c>
      <c r="U400" s="1" t="s">
        <v>122</v>
      </c>
      <c r="V400" s="1" t="s">
        <v>836</v>
      </c>
      <c r="W400" s="1">
        <v>4781.60363426</v>
      </c>
      <c r="X400" s="1"/>
      <c r="Y400" s="83" t="str">
        <f>VLOOKUP(LossTable[[#This Row],[Department]],$A$15:$B$40,2,FALSE)</f>
        <v>TP</v>
      </c>
    </row>
    <row r="401" spans="4:25" x14ac:dyDescent="0.25">
      <c r="D401" s="78">
        <v>434017</v>
      </c>
      <c r="E401" s="78">
        <v>280014790</v>
      </c>
      <c r="F401" s="83" t="s">
        <v>94</v>
      </c>
      <c r="G401" s="1" t="s">
        <v>301</v>
      </c>
      <c r="H401" s="1" t="s">
        <v>16</v>
      </c>
      <c r="I401" s="1" t="s">
        <v>369</v>
      </c>
      <c r="J401" s="1">
        <v>337500</v>
      </c>
      <c r="K401" s="1">
        <v>4500000</v>
      </c>
      <c r="L401" s="1">
        <v>0</v>
      </c>
      <c r="M401" s="1">
        <v>0</v>
      </c>
      <c r="N401" s="1" t="s">
        <v>370</v>
      </c>
      <c r="O401" s="1">
        <v>0.30999969999999999</v>
      </c>
      <c r="P401" s="1">
        <v>7.4999999999999997E-2</v>
      </c>
      <c r="Q401" s="83">
        <v>700.15800000000002</v>
      </c>
      <c r="R401" s="83">
        <v>700.15800000000002</v>
      </c>
      <c r="S401" s="1">
        <v>700.15800000000002</v>
      </c>
      <c r="T401" s="83">
        <v>0</v>
      </c>
      <c r="U401" s="1" t="s">
        <v>122</v>
      </c>
      <c r="V401" s="1" t="s">
        <v>836</v>
      </c>
      <c r="W401" s="1">
        <v>4781.60363426</v>
      </c>
      <c r="X401" s="1"/>
      <c r="Y401" s="83" t="str">
        <f>VLOOKUP(LossTable[[#This Row],[Department]],$A$15:$B$40,2,FALSE)</f>
        <v>TP</v>
      </c>
    </row>
    <row r="402" spans="4:25" x14ac:dyDescent="0.25">
      <c r="D402" s="78">
        <v>434181</v>
      </c>
      <c r="E402" s="78">
        <v>280014790</v>
      </c>
      <c r="F402" s="83" t="s">
        <v>94</v>
      </c>
      <c r="G402" s="1" t="s">
        <v>382</v>
      </c>
      <c r="H402" s="1" t="s">
        <v>16</v>
      </c>
      <c r="I402" s="1" t="s">
        <v>390</v>
      </c>
      <c r="J402" s="1">
        <v>3300000</v>
      </c>
      <c r="K402" s="1">
        <v>30000000</v>
      </c>
      <c r="L402" s="1">
        <v>0</v>
      </c>
      <c r="M402" s="1">
        <v>0</v>
      </c>
      <c r="N402" s="1" t="s">
        <v>391</v>
      </c>
      <c r="O402" s="1">
        <v>0.17666667</v>
      </c>
      <c r="P402" s="1">
        <v>0.11</v>
      </c>
      <c r="Q402" s="83">
        <v>24258.846699999998</v>
      </c>
      <c r="R402" s="83">
        <v>24258.846699999998</v>
      </c>
      <c r="S402" s="1">
        <v>24258.846699999998</v>
      </c>
      <c r="T402" s="83">
        <v>0</v>
      </c>
      <c r="U402" s="1" t="s">
        <v>122</v>
      </c>
      <c r="V402" s="1" t="s">
        <v>836</v>
      </c>
      <c r="W402" s="1">
        <v>4781.60363426</v>
      </c>
      <c r="X402" s="1"/>
      <c r="Y402" s="83" t="str">
        <f>VLOOKUP(LossTable[[#This Row],[Department]],$A$15:$B$40,2,FALSE)</f>
        <v>TP</v>
      </c>
    </row>
    <row r="403" spans="4:25" x14ac:dyDescent="0.25">
      <c r="D403" s="78">
        <v>435399</v>
      </c>
      <c r="E403" s="78">
        <v>280014790</v>
      </c>
      <c r="F403" s="83" t="s">
        <v>94</v>
      </c>
      <c r="G403" s="1" t="s">
        <v>411</v>
      </c>
      <c r="H403" s="1" t="s">
        <v>16</v>
      </c>
      <c r="I403" s="1" t="s">
        <v>412</v>
      </c>
      <c r="J403" s="1">
        <v>1125000</v>
      </c>
      <c r="K403" s="1">
        <v>7500000</v>
      </c>
      <c r="L403" s="1">
        <v>0</v>
      </c>
      <c r="M403" s="1">
        <v>0</v>
      </c>
      <c r="N403" s="1" t="s">
        <v>413</v>
      </c>
      <c r="O403" s="1">
        <v>0.42335519999999999</v>
      </c>
      <c r="P403" s="1">
        <v>0.15</v>
      </c>
      <c r="Q403" s="83">
        <v>16289.0445</v>
      </c>
      <c r="R403" s="83">
        <v>16289.0445</v>
      </c>
      <c r="S403" s="1">
        <v>16289.0445</v>
      </c>
      <c r="T403" s="83">
        <v>0</v>
      </c>
      <c r="U403" s="1" t="s">
        <v>122</v>
      </c>
      <c r="V403" s="1" t="s">
        <v>836</v>
      </c>
      <c r="W403" s="1">
        <v>4781.60363426</v>
      </c>
      <c r="X403" s="1"/>
      <c r="Y403" s="83" t="str">
        <f>VLOOKUP(LossTable[[#This Row],[Department]],$A$15:$B$40,2,FALSE)</f>
        <v>TP</v>
      </c>
    </row>
    <row r="404" spans="4:25" x14ac:dyDescent="0.25">
      <c r="D404" s="78">
        <v>436002</v>
      </c>
      <c r="E404" s="78">
        <v>280014790</v>
      </c>
      <c r="F404" s="83" t="s">
        <v>94</v>
      </c>
      <c r="G404" s="1" t="s">
        <v>174</v>
      </c>
      <c r="H404" s="1" t="s">
        <v>14</v>
      </c>
      <c r="I404" s="1" t="s">
        <v>175</v>
      </c>
      <c r="J404" s="1">
        <v>2500000</v>
      </c>
      <c r="K404" s="1">
        <v>250000000</v>
      </c>
      <c r="L404" s="1">
        <v>0</v>
      </c>
      <c r="M404" s="1">
        <v>0</v>
      </c>
      <c r="N404" s="1" t="s">
        <v>150</v>
      </c>
      <c r="O404" s="1">
        <v>1.49105895</v>
      </c>
      <c r="P404" s="1">
        <v>0.01</v>
      </c>
      <c r="Q404" s="83">
        <v>34338.101000000002</v>
      </c>
      <c r="R404" s="83">
        <v>34338.101000000002</v>
      </c>
      <c r="S404" s="1">
        <v>34338.101000000002</v>
      </c>
      <c r="T404" s="83">
        <v>0</v>
      </c>
      <c r="U404" s="1" t="s">
        <v>122</v>
      </c>
      <c r="V404" s="1" t="s">
        <v>836</v>
      </c>
      <c r="W404" s="1">
        <v>4781.60363426</v>
      </c>
      <c r="X404" s="1"/>
      <c r="Y404" s="83" t="str">
        <f>VLOOKUP(LossTable[[#This Row],[Department]],$A$15:$B$40,2,FALSE)</f>
        <v>TP</v>
      </c>
    </row>
    <row r="405" spans="4:25" x14ac:dyDescent="0.25">
      <c r="D405" s="78">
        <v>437538</v>
      </c>
      <c r="E405" s="78">
        <v>280014790</v>
      </c>
      <c r="F405" s="83" t="s">
        <v>45</v>
      </c>
      <c r="G405" s="1" t="s">
        <v>462</v>
      </c>
      <c r="H405" s="1" t="s">
        <v>14</v>
      </c>
      <c r="I405" s="1" t="s">
        <v>463</v>
      </c>
      <c r="J405" s="1">
        <v>1725000</v>
      </c>
      <c r="K405" s="1">
        <v>15000000</v>
      </c>
      <c r="L405" s="1">
        <v>0</v>
      </c>
      <c r="M405" s="1">
        <v>0</v>
      </c>
      <c r="N405" s="1" t="s">
        <v>464</v>
      </c>
      <c r="O405" s="1">
        <v>1.77467347</v>
      </c>
      <c r="P405" s="1">
        <v>0.115</v>
      </c>
      <c r="Q405" s="83">
        <v>19961.19745</v>
      </c>
      <c r="R405" s="83">
        <v>19961.19745</v>
      </c>
      <c r="S405" s="1">
        <v>19961.19745</v>
      </c>
      <c r="T405" s="83">
        <v>0</v>
      </c>
      <c r="U405" s="1" t="s">
        <v>122</v>
      </c>
      <c r="V405" s="1" t="s">
        <v>836</v>
      </c>
      <c r="W405" s="1">
        <v>4781.60363426</v>
      </c>
      <c r="X405" s="1"/>
      <c r="Y405" s="83" t="str">
        <f>VLOOKUP(LossTable[[#This Row],[Department]],$A$15:$B$40,2,FALSE)</f>
        <v>FP</v>
      </c>
    </row>
    <row r="406" spans="4:25" x14ac:dyDescent="0.25">
      <c r="D406" s="78">
        <v>437854</v>
      </c>
      <c r="E406" s="78">
        <v>280014790</v>
      </c>
      <c r="F406" s="83" t="s">
        <v>94</v>
      </c>
      <c r="G406" s="1" t="s">
        <v>427</v>
      </c>
      <c r="H406" s="1" t="s">
        <v>16</v>
      </c>
      <c r="I406" s="1" t="s">
        <v>428</v>
      </c>
      <c r="J406" s="1">
        <v>500000</v>
      </c>
      <c r="K406" s="1">
        <v>20000000</v>
      </c>
      <c r="L406" s="1">
        <v>0</v>
      </c>
      <c r="M406" s="1">
        <v>0</v>
      </c>
      <c r="N406" s="1" t="s">
        <v>429</v>
      </c>
      <c r="O406" s="1">
        <v>0.6</v>
      </c>
      <c r="P406" s="1">
        <v>2.5000000000000001E-2</v>
      </c>
      <c r="Q406" s="83">
        <v>207.63374999999999</v>
      </c>
      <c r="R406" s="83">
        <v>207.63374999999999</v>
      </c>
      <c r="S406" s="1">
        <v>207.63374999999999</v>
      </c>
      <c r="T406" s="83">
        <v>0</v>
      </c>
      <c r="U406" s="1" t="s">
        <v>122</v>
      </c>
      <c r="V406" s="1" t="s">
        <v>836</v>
      </c>
      <c r="W406" s="1">
        <v>4781.60363426</v>
      </c>
      <c r="X406" s="1"/>
      <c r="Y406" s="83" t="str">
        <f>VLOOKUP(LossTable[[#This Row],[Department]],$A$15:$B$40,2,FALSE)</f>
        <v>TP</v>
      </c>
    </row>
    <row r="407" spans="4:25" x14ac:dyDescent="0.25">
      <c r="D407" s="78">
        <v>437880</v>
      </c>
      <c r="E407" s="78">
        <v>280014790</v>
      </c>
      <c r="F407" s="83" t="s">
        <v>45</v>
      </c>
      <c r="G407" s="1" t="s">
        <v>355</v>
      </c>
      <c r="H407" s="1" t="s">
        <v>16</v>
      </c>
      <c r="I407" s="1" t="s">
        <v>366</v>
      </c>
      <c r="J407" s="1">
        <v>5000000</v>
      </c>
      <c r="K407" s="1">
        <v>20000000</v>
      </c>
      <c r="L407" s="1">
        <v>0</v>
      </c>
      <c r="M407" s="1">
        <v>0</v>
      </c>
      <c r="N407" s="1" t="s">
        <v>325</v>
      </c>
      <c r="O407" s="1">
        <v>1.6250000000000001E-2</v>
      </c>
      <c r="P407" s="1">
        <v>0.25</v>
      </c>
      <c r="Q407" s="83">
        <v>402.83749999999998</v>
      </c>
      <c r="R407" s="83">
        <v>402.83749999999998</v>
      </c>
      <c r="S407" s="1">
        <v>402.83749999999998</v>
      </c>
      <c r="T407" s="83">
        <v>0</v>
      </c>
      <c r="U407" s="1" t="s">
        <v>122</v>
      </c>
      <c r="V407" s="1" t="s">
        <v>836</v>
      </c>
      <c r="W407" s="1">
        <v>4781.60363426</v>
      </c>
      <c r="X407" s="1"/>
      <c r="Y407" s="83" t="str">
        <f>VLOOKUP(LossTable[[#This Row],[Department]],$A$15:$B$40,2,FALSE)</f>
        <v>FP</v>
      </c>
    </row>
    <row r="408" spans="4:25" x14ac:dyDescent="0.25">
      <c r="D408" s="78">
        <v>438407</v>
      </c>
      <c r="E408" s="78">
        <v>280014790</v>
      </c>
      <c r="F408" s="83" t="s">
        <v>94</v>
      </c>
      <c r="G408" s="1" t="s">
        <v>478</v>
      </c>
      <c r="H408" s="1" t="s">
        <v>14</v>
      </c>
      <c r="I408" s="1" t="s">
        <v>479</v>
      </c>
      <c r="J408" s="1">
        <v>3000000</v>
      </c>
      <c r="K408" s="1">
        <v>200000000</v>
      </c>
      <c r="L408" s="1">
        <v>0</v>
      </c>
      <c r="M408" s="1">
        <v>0</v>
      </c>
      <c r="N408" s="1" t="s">
        <v>142</v>
      </c>
      <c r="O408" s="1">
        <v>1.0506402500000001</v>
      </c>
      <c r="P408" s="1">
        <v>1.4999999999999999E-2</v>
      </c>
      <c r="Q408" s="83">
        <v>113174.64449999999</v>
      </c>
      <c r="R408" s="83">
        <v>113174.64449999999</v>
      </c>
      <c r="S408" s="1">
        <v>113174.64449999999</v>
      </c>
      <c r="T408" s="83">
        <v>0</v>
      </c>
      <c r="U408" s="1" t="s">
        <v>122</v>
      </c>
      <c r="V408" s="1" t="s">
        <v>836</v>
      </c>
      <c r="W408" s="1">
        <v>4781.60363426</v>
      </c>
      <c r="X408" s="1"/>
      <c r="Y408" s="83" t="str">
        <f>VLOOKUP(LossTable[[#This Row],[Department]],$A$15:$B$40,2,FALSE)</f>
        <v>TP</v>
      </c>
    </row>
    <row r="409" spans="4:25" x14ac:dyDescent="0.25">
      <c r="D409" s="78">
        <v>439105</v>
      </c>
      <c r="E409" s="78">
        <v>280014790</v>
      </c>
      <c r="F409" s="83" t="s">
        <v>94</v>
      </c>
      <c r="G409" s="1" t="s">
        <v>371</v>
      </c>
      <c r="H409" s="1" t="s">
        <v>14</v>
      </c>
      <c r="I409" s="1" t="s">
        <v>372</v>
      </c>
      <c r="J409" s="1">
        <v>4500000</v>
      </c>
      <c r="K409" s="1">
        <v>30000000</v>
      </c>
      <c r="L409" s="1">
        <v>0</v>
      </c>
      <c r="M409" s="1">
        <v>0</v>
      </c>
      <c r="N409" s="1" t="s">
        <v>373</v>
      </c>
      <c r="O409" s="1">
        <v>1.79433752</v>
      </c>
      <c r="P409" s="1">
        <v>0.15</v>
      </c>
      <c r="Q409" s="83">
        <v>753902.36849999998</v>
      </c>
      <c r="R409" s="83">
        <v>753902.36849999998</v>
      </c>
      <c r="S409" s="1">
        <v>753902.36849999998</v>
      </c>
      <c r="T409" s="83">
        <v>0</v>
      </c>
      <c r="U409" s="1" t="s">
        <v>122</v>
      </c>
      <c r="V409" s="1" t="s">
        <v>836</v>
      </c>
      <c r="W409" s="1">
        <v>4781.60363426</v>
      </c>
      <c r="X409" s="1"/>
      <c r="Y409" s="83" t="str">
        <f>VLOOKUP(LossTable[[#This Row],[Department]],$A$15:$B$40,2,FALSE)</f>
        <v>TP</v>
      </c>
    </row>
    <row r="410" spans="4:25" x14ac:dyDescent="0.25">
      <c r="D410" s="78">
        <v>441789</v>
      </c>
      <c r="E410" s="78">
        <v>280014790</v>
      </c>
      <c r="F410" s="83" t="s">
        <v>94</v>
      </c>
      <c r="G410" s="1" t="s">
        <v>380</v>
      </c>
      <c r="H410" s="1" t="s">
        <v>16</v>
      </c>
      <c r="I410" s="1" t="s">
        <v>447</v>
      </c>
      <c r="J410" s="1">
        <v>375000</v>
      </c>
      <c r="K410" s="1">
        <v>30000000</v>
      </c>
      <c r="L410" s="1">
        <v>0</v>
      </c>
      <c r="M410" s="1">
        <v>0</v>
      </c>
      <c r="N410" s="1" t="s">
        <v>122</v>
      </c>
      <c r="O410" s="1">
        <v>0.33333332999999998</v>
      </c>
      <c r="P410" s="1">
        <v>1.2500000000000001E-2</v>
      </c>
      <c r="Q410" s="83">
        <v>324.99900000000002</v>
      </c>
      <c r="R410" s="83">
        <v>324.99900000000002</v>
      </c>
      <c r="S410" s="1">
        <v>324.99900000000002</v>
      </c>
      <c r="T410" s="83">
        <v>0</v>
      </c>
      <c r="U410" s="1" t="s">
        <v>122</v>
      </c>
      <c r="V410" s="1" t="s">
        <v>836</v>
      </c>
      <c r="W410" s="1">
        <v>4781.60363426</v>
      </c>
      <c r="X410" s="1"/>
      <c r="Y410" s="83" t="str">
        <f>VLOOKUP(LossTable[[#This Row],[Department]],$A$15:$B$40,2,FALSE)</f>
        <v>TP</v>
      </c>
    </row>
    <row r="411" spans="4:25" x14ac:dyDescent="0.25">
      <c r="D411" s="78">
        <v>445970</v>
      </c>
      <c r="E411" s="78">
        <v>280014790</v>
      </c>
      <c r="F411" s="83" t="s">
        <v>94</v>
      </c>
      <c r="G411" s="1" t="s">
        <v>470</v>
      </c>
      <c r="H411" s="1" t="s">
        <v>16</v>
      </c>
      <c r="I411" s="1" t="s">
        <v>476</v>
      </c>
      <c r="J411" s="1">
        <v>1000000</v>
      </c>
      <c r="K411" s="1">
        <v>20000000</v>
      </c>
      <c r="L411" s="1">
        <v>0</v>
      </c>
      <c r="M411" s="1">
        <v>0</v>
      </c>
      <c r="N411" s="1" t="s">
        <v>477</v>
      </c>
      <c r="O411" s="1">
        <v>7.9989749999999998E-2</v>
      </c>
      <c r="P411" s="1">
        <v>0.05</v>
      </c>
      <c r="Q411" s="83">
        <v>1228.0899999999999</v>
      </c>
      <c r="R411" s="83">
        <v>1228.0899999999999</v>
      </c>
      <c r="S411" s="1">
        <v>1228.0899999999999</v>
      </c>
      <c r="T411" s="83">
        <v>0</v>
      </c>
      <c r="U411" s="1" t="s">
        <v>122</v>
      </c>
      <c r="V411" s="1" t="s">
        <v>836</v>
      </c>
      <c r="W411" s="1">
        <v>4781.60363426</v>
      </c>
      <c r="X411" s="1"/>
      <c r="Y411" s="83" t="str">
        <f>VLOOKUP(LossTable[[#This Row],[Department]],$A$15:$B$40,2,FALSE)</f>
        <v>TP</v>
      </c>
    </row>
    <row r="412" spans="4:25" x14ac:dyDescent="0.25">
      <c r="D412" s="78">
        <v>446929</v>
      </c>
      <c r="E412" s="78">
        <v>280014790</v>
      </c>
      <c r="F412" s="83" t="s">
        <v>94</v>
      </c>
      <c r="G412" s="1" t="s">
        <v>468</v>
      </c>
      <c r="H412" s="1" t="s">
        <v>14</v>
      </c>
      <c r="I412" s="1" t="s">
        <v>469</v>
      </c>
      <c r="J412" s="1">
        <v>13500000</v>
      </c>
      <c r="K412" s="1">
        <v>150000000</v>
      </c>
      <c r="L412" s="1">
        <v>0</v>
      </c>
      <c r="M412" s="1">
        <v>0</v>
      </c>
      <c r="N412" s="1" t="s">
        <v>122</v>
      </c>
      <c r="O412" s="1">
        <v>1.03333333</v>
      </c>
      <c r="P412" s="1">
        <v>0.09</v>
      </c>
      <c r="Q412" s="83">
        <v>89949.659400000004</v>
      </c>
      <c r="R412" s="83">
        <v>89949.659400000004</v>
      </c>
      <c r="S412" s="1">
        <v>89949.659400000004</v>
      </c>
      <c r="T412" s="83">
        <v>0</v>
      </c>
      <c r="U412" s="1" t="s">
        <v>122</v>
      </c>
      <c r="V412" s="1" t="s">
        <v>836</v>
      </c>
      <c r="W412" s="1">
        <v>4781.60363426</v>
      </c>
      <c r="X412" s="1"/>
      <c r="Y412" s="83" t="str">
        <f>VLOOKUP(LossTable[[#This Row],[Department]],$A$15:$B$40,2,FALSE)</f>
        <v>TP</v>
      </c>
    </row>
    <row r="413" spans="4:25" x14ac:dyDescent="0.25">
      <c r="D413" s="78">
        <v>448038</v>
      </c>
      <c r="E413" s="78">
        <v>280014790</v>
      </c>
      <c r="F413" s="83" t="s">
        <v>12</v>
      </c>
      <c r="G413" s="1" t="s">
        <v>508</v>
      </c>
      <c r="H413" s="1" t="s">
        <v>16</v>
      </c>
      <c r="I413" s="1" t="s">
        <v>509</v>
      </c>
      <c r="J413" s="1">
        <v>7500000</v>
      </c>
      <c r="K413" s="1">
        <v>150000000</v>
      </c>
      <c r="L413" s="1">
        <v>0</v>
      </c>
      <c r="M413" s="1">
        <v>0</v>
      </c>
      <c r="N413" s="1" t="s">
        <v>510</v>
      </c>
      <c r="O413" s="1">
        <v>0.09</v>
      </c>
      <c r="P413" s="1">
        <v>0.05</v>
      </c>
      <c r="Q413" s="83">
        <v>11153.263499999999</v>
      </c>
      <c r="R413" s="83">
        <v>11153.263499999999</v>
      </c>
      <c r="S413" s="1">
        <v>11153.263499999999</v>
      </c>
      <c r="T413" s="83">
        <v>0</v>
      </c>
      <c r="U413" s="1" t="s">
        <v>122</v>
      </c>
      <c r="V413" s="1" t="s">
        <v>836</v>
      </c>
      <c r="W413" s="1">
        <v>4781.60363426</v>
      </c>
      <c r="X413" s="1"/>
      <c r="Y413" s="83" t="str">
        <f>VLOOKUP(LossTable[[#This Row],[Department]],$A$15:$B$40,2,FALSE)</f>
        <v>Bermuda</v>
      </c>
    </row>
    <row r="414" spans="4:25" x14ac:dyDescent="0.25">
      <c r="D414" s="78">
        <v>449403</v>
      </c>
      <c r="E414" s="78">
        <v>280014790</v>
      </c>
      <c r="F414" s="83" t="s">
        <v>45</v>
      </c>
      <c r="G414" s="1" t="s">
        <v>559</v>
      </c>
      <c r="H414" s="1" t="s">
        <v>16</v>
      </c>
      <c r="I414" s="1" t="s">
        <v>560</v>
      </c>
      <c r="J414" s="1">
        <v>5625000</v>
      </c>
      <c r="K414" s="1">
        <v>37500000</v>
      </c>
      <c r="L414" s="1">
        <v>0</v>
      </c>
      <c r="M414" s="1">
        <v>0</v>
      </c>
      <c r="N414" s="1" t="s">
        <v>561</v>
      </c>
      <c r="O414" s="1">
        <v>0.10044488</v>
      </c>
      <c r="P414" s="1">
        <v>0.15</v>
      </c>
      <c r="Q414" s="83">
        <v>38713.144500000002</v>
      </c>
      <c r="R414" s="83">
        <v>38713.144500000002</v>
      </c>
      <c r="S414" s="1">
        <v>38713.144500000002</v>
      </c>
      <c r="T414" s="83">
        <v>0</v>
      </c>
      <c r="U414" s="1" t="s">
        <v>122</v>
      </c>
      <c r="V414" s="1" t="s">
        <v>836</v>
      </c>
      <c r="W414" s="1">
        <v>4781.60363426</v>
      </c>
      <c r="X414" s="1"/>
      <c r="Y414" s="83" t="str">
        <f>VLOOKUP(LossTable[[#This Row],[Department]],$A$15:$B$40,2,FALSE)</f>
        <v>FP</v>
      </c>
    </row>
    <row r="415" spans="4:25" x14ac:dyDescent="0.25">
      <c r="D415" s="78">
        <v>454564</v>
      </c>
      <c r="E415" s="78">
        <v>280014790</v>
      </c>
      <c r="F415" s="83" t="s">
        <v>94</v>
      </c>
      <c r="G415" s="1" t="s">
        <v>569</v>
      </c>
      <c r="H415" s="1" t="s">
        <v>14</v>
      </c>
      <c r="I415" s="1" t="s">
        <v>570</v>
      </c>
      <c r="J415" s="1">
        <v>4950000</v>
      </c>
      <c r="K415" s="1">
        <v>99000000</v>
      </c>
      <c r="L415" s="1">
        <v>0</v>
      </c>
      <c r="M415" s="1">
        <v>0</v>
      </c>
      <c r="N415" s="1" t="s">
        <v>571</v>
      </c>
      <c r="O415" s="1">
        <v>0.66666667000000002</v>
      </c>
      <c r="P415" s="1">
        <v>0.05</v>
      </c>
      <c r="Q415" s="83">
        <v>8448.384</v>
      </c>
      <c r="R415" s="83">
        <v>8448.384</v>
      </c>
      <c r="S415" s="1">
        <v>8448.384</v>
      </c>
      <c r="T415" s="83">
        <v>0</v>
      </c>
      <c r="U415" s="1" t="s">
        <v>122</v>
      </c>
      <c r="V415" s="1" t="s">
        <v>836</v>
      </c>
      <c r="W415" s="1">
        <v>4781.60363426</v>
      </c>
      <c r="X415" s="1"/>
      <c r="Y415" s="83" t="str">
        <f>VLOOKUP(LossTable[[#This Row],[Department]],$A$15:$B$40,2,FALSE)</f>
        <v>TP</v>
      </c>
    </row>
    <row r="416" spans="4:25" x14ac:dyDescent="0.25">
      <c r="D416" s="78">
        <v>459057</v>
      </c>
      <c r="E416" s="78">
        <v>280014790</v>
      </c>
      <c r="F416" s="83" t="s">
        <v>12</v>
      </c>
      <c r="G416" s="1" t="s">
        <v>829</v>
      </c>
      <c r="H416" s="1" t="s">
        <v>14</v>
      </c>
      <c r="I416" s="1" t="s">
        <v>830</v>
      </c>
      <c r="J416" s="1">
        <v>2438994.2000000002</v>
      </c>
      <c r="K416" s="1">
        <v>24389942</v>
      </c>
      <c r="L416" s="1">
        <v>0</v>
      </c>
      <c r="M416" s="1">
        <v>0</v>
      </c>
      <c r="N416" s="1" t="s">
        <v>831</v>
      </c>
      <c r="O416" s="1">
        <v>1.1275139599999999</v>
      </c>
      <c r="P416" s="1">
        <v>0.1</v>
      </c>
      <c r="Q416" s="83">
        <v>483.63</v>
      </c>
      <c r="R416" s="83">
        <v>483.63</v>
      </c>
      <c r="S416" s="1">
        <v>483.63</v>
      </c>
      <c r="T416" s="83">
        <v>0</v>
      </c>
      <c r="U416" s="1" t="s">
        <v>122</v>
      </c>
      <c r="V416" s="1" t="s">
        <v>836</v>
      </c>
      <c r="W416" s="1">
        <v>4781.60363426</v>
      </c>
      <c r="X416" s="1"/>
      <c r="Y416" s="83" t="str">
        <f>VLOOKUP(LossTable[[#This Row],[Department]],$A$15:$B$40,2,FALSE)</f>
        <v>Bermuda</v>
      </c>
    </row>
    <row r="417" spans="4:25" x14ac:dyDescent="0.25">
      <c r="D417" s="78">
        <v>468836</v>
      </c>
      <c r="E417" s="78">
        <v>280014790</v>
      </c>
      <c r="F417" s="83" t="s">
        <v>94</v>
      </c>
      <c r="G417" s="1" t="s">
        <v>582</v>
      </c>
      <c r="H417" s="1" t="s">
        <v>16</v>
      </c>
      <c r="I417" s="1" t="s">
        <v>635</v>
      </c>
      <c r="J417" s="1">
        <v>300000</v>
      </c>
      <c r="K417" s="1">
        <v>6000000</v>
      </c>
      <c r="L417" s="1">
        <v>0</v>
      </c>
      <c r="M417" s="1">
        <v>0</v>
      </c>
      <c r="N417" s="1" t="s">
        <v>122</v>
      </c>
      <c r="O417" s="1">
        <v>6.9995166700000002</v>
      </c>
      <c r="P417" s="1">
        <v>0.05</v>
      </c>
      <c r="Q417" s="83">
        <v>4345.3405000000002</v>
      </c>
      <c r="R417" s="83">
        <v>4345.3405000000002</v>
      </c>
      <c r="S417" s="1">
        <v>4345.3405000000002</v>
      </c>
      <c r="T417" s="83">
        <v>0</v>
      </c>
      <c r="U417" s="1" t="s">
        <v>122</v>
      </c>
      <c r="V417" s="1" t="s">
        <v>836</v>
      </c>
      <c r="W417" s="1">
        <v>4781.60363426</v>
      </c>
      <c r="X417" s="1"/>
      <c r="Y417" s="83" t="str">
        <f>VLOOKUP(LossTable[[#This Row],[Department]],$A$15:$B$40,2,FALSE)</f>
        <v>TP</v>
      </c>
    </row>
    <row r="418" spans="4:25" x14ac:dyDescent="0.25">
      <c r="D418" s="78">
        <v>105</v>
      </c>
      <c r="E418" s="78">
        <v>280066590</v>
      </c>
      <c r="F418" s="83" t="s">
        <v>86</v>
      </c>
      <c r="G418" s="1" t="s">
        <v>217</v>
      </c>
      <c r="H418" s="1" t="s">
        <v>16</v>
      </c>
      <c r="I418" s="1" t="s">
        <v>217</v>
      </c>
      <c r="J418" s="1">
        <v>212006444.00703099</v>
      </c>
      <c r="K418" s="1">
        <v>0</v>
      </c>
      <c r="L418" s="1">
        <v>0</v>
      </c>
      <c r="M418" s="1">
        <v>0</v>
      </c>
      <c r="N418" s="1" t="s">
        <v>44</v>
      </c>
      <c r="O418" s="1">
        <v>0</v>
      </c>
      <c r="P418" s="1">
        <v>1</v>
      </c>
      <c r="Q418" s="83">
        <v>1197.057288</v>
      </c>
      <c r="R418" s="83">
        <v>1197.057288</v>
      </c>
      <c r="S418" s="1">
        <v>1197.057288</v>
      </c>
      <c r="T418" s="83">
        <v>0</v>
      </c>
      <c r="U418" s="1" t="s">
        <v>122</v>
      </c>
      <c r="V418" s="1" t="s">
        <v>837</v>
      </c>
      <c r="W418" s="1">
        <v>3280.0940773799998</v>
      </c>
      <c r="X418" s="1"/>
      <c r="Y418" s="83" t="str">
        <f>VLOOKUP(LossTable[[#This Row],[Department]],$A$15:$B$40,2,FALSE)</f>
        <v>FP</v>
      </c>
    </row>
    <row r="419" spans="4:25" x14ac:dyDescent="0.25">
      <c r="D419" s="78">
        <v>117</v>
      </c>
      <c r="E419" s="78">
        <v>280066590</v>
      </c>
      <c r="F419" s="83" t="s">
        <v>42</v>
      </c>
      <c r="G419" s="1" t="s">
        <v>43</v>
      </c>
      <c r="H419" s="1" t="s">
        <v>16</v>
      </c>
      <c r="I419" s="1" t="s">
        <v>43</v>
      </c>
      <c r="J419" s="1">
        <v>166785782.88660601</v>
      </c>
      <c r="K419" s="1">
        <v>0</v>
      </c>
      <c r="L419" s="1">
        <v>0</v>
      </c>
      <c r="M419" s="1">
        <v>0</v>
      </c>
      <c r="N419" s="1" t="s">
        <v>44</v>
      </c>
      <c r="O419" s="1">
        <v>0</v>
      </c>
      <c r="P419" s="1">
        <v>1</v>
      </c>
      <c r="Q419" s="83">
        <v>560.78801599999997</v>
      </c>
      <c r="R419" s="83">
        <v>560.78801599999997</v>
      </c>
      <c r="S419" s="1">
        <v>560.78801599999997</v>
      </c>
      <c r="T419" s="83">
        <v>0</v>
      </c>
      <c r="U419" s="1" t="s">
        <v>122</v>
      </c>
      <c r="V419" s="1" t="s">
        <v>837</v>
      </c>
      <c r="W419" s="1">
        <v>3280.0940773799998</v>
      </c>
      <c r="X419" s="1"/>
      <c r="Y419" s="83" t="str">
        <f>VLOOKUP(LossTable[[#This Row],[Department]],$A$15:$B$40,2,FALSE)</f>
        <v>FP</v>
      </c>
    </row>
    <row r="420" spans="4:25" x14ac:dyDescent="0.25">
      <c r="D420" s="78">
        <v>124</v>
      </c>
      <c r="E420" s="78">
        <v>280066590</v>
      </c>
      <c r="F420" s="83" t="s">
        <v>92</v>
      </c>
      <c r="G420" s="1" t="s">
        <v>220</v>
      </c>
      <c r="H420" s="1" t="s">
        <v>16</v>
      </c>
      <c r="I420" s="1" t="s">
        <v>220</v>
      </c>
      <c r="J420" s="1">
        <v>83656552.490421593</v>
      </c>
      <c r="K420" s="1">
        <v>0</v>
      </c>
      <c r="L420" s="1">
        <v>0</v>
      </c>
      <c r="M420" s="1">
        <v>0</v>
      </c>
      <c r="N420" s="1" t="s">
        <v>44</v>
      </c>
      <c r="O420" s="1">
        <v>0</v>
      </c>
      <c r="P420" s="1">
        <v>1</v>
      </c>
      <c r="Q420" s="83">
        <v>1854.6303949999999</v>
      </c>
      <c r="R420" s="83">
        <v>1854.6303949999999</v>
      </c>
      <c r="S420" s="1">
        <v>1854.6303949999999</v>
      </c>
      <c r="T420" s="83">
        <v>0</v>
      </c>
      <c r="U420" s="1" t="s">
        <v>122</v>
      </c>
      <c r="V420" s="1" t="s">
        <v>837</v>
      </c>
      <c r="W420" s="1">
        <v>3280.0940773799998</v>
      </c>
      <c r="X420" s="1"/>
      <c r="Y420" s="83" t="str">
        <f>VLOOKUP(LossTable[[#This Row],[Department]],$A$15:$B$40,2,FALSE)</f>
        <v>FP</v>
      </c>
    </row>
    <row r="421" spans="4:25" x14ac:dyDescent="0.25">
      <c r="D421" s="78">
        <v>143</v>
      </c>
      <c r="E421" s="78">
        <v>280066590</v>
      </c>
      <c r="F421" s="83" t="s">
        <v>45</v>
      </c>
      <c r="G421" s="1" t="s">
        <v>46</v>
      </c>
      <c r="H421" s="1" t="s">
        <v>16</v>
      </c>
      <c r="I421" s="1" t="s">
        <v>46</v>
      </c>
      <c r="J421" s="1">
        <v>89508914</v>
      </c>
      <c r="K421" s="1">
        <v>0</v>
      </c>
      <c r="L421" s="1">
        <v>0</v>
      </c>
      <c r="M421" s="1">
        <v>0</v>
      </c>
      <c r="N421" s="1" t="s">
        <v>44</v>
      </c>
      <c r="O421" s="1">
        <v>0</v>
      </c>
      <c r="P421" s="1">
        <v>1</v>
      </c>
      <c r="Q421" s="83">
        <v>624.11594000000002</v>
      </c>
      <c r="R421" s="83">
        <v>624.11594000000002</v>
      </c>
      <c r="S421" s="1">
        <v>624.11594000000002</v>
      </c>
      <c r="T421" s="83">
        <v>0</v>
      </c>
      <c r="U421" s="1" t="s">
        <v>122</v>
      </c>
      <c r="V421" s="1" t="s">
        <v>837</v>
      </c>
      <c r="W421" s="1">
        <v>3280.0940773799998</v>
      </c>
      <c r="X421" s="1"/>
      <c r="Y421" s="83" t="str">
        <f>VLOOKUP(LossTable[[#This Row],[Department]],$A$15:$B$40,2,FALSE)</f>
        <v>FP</v>
      </c>
    </row>
    <row r="422" spans="4:25" x14ac:dyDescent="0.25">
      <c r="D422" s="78">
        <v>40373</v>
      </c>
      <c r="E422" s="78">
        <v>280066590</v>
      </c>
      <c r="F422" s="83" t="s">
        <v>133</v>
      </c>
      <c r="G422" s="1" t="s">
        <v>134</v>
      </c>
      <c r="H422" s="1" t="s">
        <v>14</v>
      </c>
      <c r="I422" s="1" t="s">
        <v>135</v>
      </c>
      <c r="J422" s="1">
        <v>1133398288.04</v>
      </c>
      <c r="K422" s="1">
        <v>1133398288.04</v>
      </c>
      <c r="L422" s="1">
        <v>0</v>
      </c>
      <c r="M422" s="1">
        <v>0</v>
      </c>
      <c r="N422" s="1" t="s">
        <v>14</v>
      </c>
      <c r="O422" s="1">
        <v>4.3817799999999997E-2</v>
      </c>
      <c r="P422" s="1">
        <v>1</v>
      </c>
      <c r="Q422" s="83">
        <v>4621.38</v>
      </c>
      <c r="R422" s="83">
        <v>4621.38</v>
      </c>
      <c r="S422" s="1">
        <v>4621.38</v>
      </c>
      <c r="T422" s="83">
        <v>0</v>
      </c>
      <c r="U422" s="1" t="s">
        <v>122</v>
      </c>
      <c r="V422" s="1" t="s">
        <v>837</v>
      </c>
      <c r="W422" s="1">
        <v>3280.0940773799998</v>
      </c>
      <c r="X422" s="1"/>
      <c r="Y422" s="83" t="str">
        <f>VLOOKUP(LossTable[[#This Row],[Department]],$A$15:$B$40,2,FALSE)</f>
        <v>Insurance</v>
      </c>
    </row>
    <row r="423" spans="4:25" x14ac:dyDescent="0.25">
      <c r="D423" s="78">
        <v>197195</v>
      </c>
      <c r="E423" s="78">
        <v>280066590</v>
      </c>
      <c r="F423" s="83" t="s">
        <v>87</v>
      </c>
      <c r="G423" s="1" t="s">
        <v>232</v>
      </c>
      <c r="H423" s="1" t="s">
        <v>14</v>
      </c>
      <c r="I423" s="1" t="s">
        <v>233</v>
      </c>
      <c r="J423" s="1">
        <v>188117955.44999999</v>
      </c>
      <c r="K423" s="1">
        <v>188117955.44999999</v>
      </c>
      <c r="L423" s="1">
        <v>0</v>
      </c>
      <c r="M423" s="1">
        <v>0</v>
      </c>
      <c r="N423" s="1" t="s">
        <v>14</v>
      </c>
      <c r="O423" s="1">
        <v>0.45928629999999998</v>
      </c>
      <c r="P423" s="1">
        <v>1</v>
      </c>
      <c r="Q423" s="83">
        <v>287677.98</v>
      </c>
      <c r="R423" s="83">
        <v>287677.98</v>
      </c>
      <c r="S423" s="1">
        <v>287677.98</v>
      </c>
      <c r="T423" s="83">
        <v>0</v>
      </c>
      <c r="U423" s="1" t="s">
        <v>122</v>
      </c>
      <c r="V423" s="1" t="s">
        <v>837</v>
      </c>
      <c r="W423" s="1">
        <v>3280.0940773799998</v>
      </c>
      <c r="X423" s="1"/>
      <c r="Y423" s="83" t="str">
        <f>VLOOKUP(LossTable[[#This Row],[Department]],$A$15:$B$40,2,FALSE)</f>
        <v>Insurance</v>
      </c>
    </row>
    <row r="424" spans="4:25" x14ac:dyDescent="0.25">
      <c r="D424" s="78">
        <v>358575</v>
      </c>
      <c r="E424" s="78">
        <v>280066590</v>
      </c>
      <c r="F424" s="83" t="s">
        <v>130</v>
      </c>
      <c r="G424" s="1" t="s">
        <v>143</v>
      </c>
      <c r="H424" s="1" t="s">
        <v>14</v>
      </c>
      <c r="I424" s="1" t="s">
        <v>144</v>
      </c>
      <c r="J424" s="1">
        <v>95285572.239999995</v>
      </c>
      <c r="K424" s="1">
        <v>95285572.239999995</v>
      </c>
      <c r="L424" s="1">
        <v>0</v>
      </c>
      <c r="M424" s="1">
        <v>0</v>
      </c>
      <c r="N424" s="1" t="s">
        <v>14</v>
      </c>
      <c r="O424" s="1">
        <v>4.19791E-3</v>
      </c>
      <c r="P424" s="1">
        <v>1</v>
      </c>
      <c r="Q424" s="83">
        <v>61988.47</v>
      </c>
      <c r="R424" s="83">
        <v>61988.47</v>
      </c>
      <c r="S424" s="1">
        <v>61988.47</v>
      </c>
      <c r="T424" s="83">
        <v>0</v>
      </c>
      <c r="U424" s="1" t="s">
        <v>122</v>
      </c>
      <c r="V424" s="1" t="s">
        <v>837</v>
      </c>
      <c r="W424" s="1">
        <v>3280.0940773799998</v>
      </c>
      <c r="X424" s="1"/>
      <c r="Y424" s="83" t="str">
        <f>VLOOKUP(LossTable[[#This Row],[Department]],$A$15:$B$40,2,FALSE)</f>
        <v>Insurance</v>
      </c>
    </row>
    <row r="425" spans="4:25" x14ac:dyDescent="0.25">
      <c r="D425" s="78">
        <v>388306</v>
      </c>
      <c r="E425" s="78">
        <v>280066590</v>
      </c>
      <c r="F425" s="83" t="s">
        <v>100</v>
      </c>
      <c r="G425" s="1" t="s">
        <v>267</v>
      </c>
      <c r="H425" s="1" t="s">
        <v>16</v>
      </c>
      <c r="I425" s="1" t="s">
        <v>268</v>
      </c>
      <c r="J425" s="1">
        <v>-206418014.86000001</v>
      </c>
      <c r="K425" s="1">
        <v>-206418014.86000001</v>
      </c>
      <c r="L425" s="1">
        <v>0</v>
      </c>
      <c r="M425" s="1">
        <v>0</v>
      </c>
      <c r="N425" s="1" t="s">
        <v>254</v>
      </c>
      <c r="O425" s="1">
        <v>0</v>
      </c>
      <c r="P425" s="1">
        <v>1</v>
      </c>
      <c r="Q425" s="83">
        <v>0</v>
      </c>
      <c r="R425" s="83">
        <v>0</v>
      </c>
      <c r="S425" s="1">
        <v>-12051.34</v>
      </c>
      <c r="T425" s="83">
        <v>0</v>
      </c>
      <c r="U425" s="1" t="s">
        <v>122</v>
      </c>
      <c r="V425" s="1" t="s">
        <v>837</v>
      </c>
      <c r="W425" s="1">
        <v>3280.0940773799998</v>
      </c>
      <c r="X425" s="1"/>
      <c r="Y425" s="83" t="str">
        <f>VLOOKUP(LossTable[[#This Row],[Department]],$A$15:$B$40,2,FALSE)</f>
        <v>EI Recovery^</v>
      </c>
    </row>
    <row r="426" spans="4:25" x14ac:dyDescent="0.25">
      <c r="D426" s="78">
        <v>422403</v>
      </c>
      <c r="E426" s="78">
        <v>280066590</v>
      </c>
      <c r="F426" s="83" t="s">
        <v>45</v>
      </c>
      <c r="G426" s="1" t="s">
        <v>316</v>
      </c>
      <c r="H426" s="1" t="s">
        <v>14</v>
      </c>
      <c r="I426" s="1" t="s">
        <v>317</v>
      </c>
      <c r="J426" s="1">
        <v>4500000</v>
      </c>
      <c r="K426" s="1">
        <v>30000000</v>
      </c>
      <c r="L426" s="1">
        <v>0</v>
      </c>
      <c r="M426" s="1">
        <v>0</v>
      </c>
      <c r="N426" s="1" t="s">
        <v>14</v>
      </c>
      <c r="O426" s="1">
        <v>0.15728167000000001</v>
      </c>
      <c r="P426" s="1">
        <v>0.15</v>
      </c>
      <c r="Q426" s="83">
        <v>1061.3834999999999</v>
      </c>
      <c r="R426" s="83">
        <v>1061.3834999999999</v>
      </c>
      <c r="S426" s="1">
        <v>1061.3834999999999</v>
      </c>
      <c r="T426" s="83">
        <v>0</v>
      </c>
      <c r="U426" s="1" t="s">
        <v>122</v>
      </c>
      <c r="V426" s="1" t="s">
        <v>837</v>
      </c>
      <c r="W426" s="1">
        <v>3280.0940773799998</v>
      </c>
      <c r="X426" s="1"/>
      <c r="Y426" s="83" t="str">
        <f>VLOOKUP(LossTable[[#This Row],[Department]],$A$15:$B$40,2,FALSE)</f>
        <v>FP</v>
      </c>
    </row>
    <row r="427" spans="4:25" x14ac:dyDescent="0.25">
      <c r="D427" s="78">
        <v>424585</v>
      </c>
      <c r="E427" s="78">
        <v>280066590</v>
      </c>
      <c r="F427" s="83" t="s">
        <v>94</v>
      </c>
      <c r="G427" s="1" t="s">
        <v>282</v>
      </c>
      <c r="H427" s="1" t="s">
        <v>16</v>
      </c>
      <c r="I427" s="1" t="s">
        <v>283</v>
      </c>
      <c r="J427" s="1">
        <v>1800000</v>
      </c>
      <c r="K427" s="1">
        <v>20000000</v>
      </c>
      <c r="L427" s="1">
        <v>0</v>
      </c>
      <c r="M427" s="1">
        <v>0</v>
      </c>
      <c r="N427" s="1" t="s">
        <v>284</v>
      </c>
      <c r="O427" s="1">
        <v>0.14499999999999999</v>
      </c>
      <c r="P427" s="1">
        <v>0.09</v>
      </c>
      <c r="Q427" s="83">
        <v>762.7509</v>
      </c>
      <c r="R427" s="83">
        <v>762.7509</v>
      </c>
      <c r="S427" s="1">
        <v>762.7509</v>
      </c>
      <c r="T427" s="83">
        <v>0</v>
      </c>
      <c r="U427" s="1" t="s">
        <v>122</v>
      </c>
      <c r="V427" s="1" t="s">
        <v>837</v>
      </c>
      <c r="W427" s="1">
        <v>3280.0940773799998</v>
      </c>
      <c r="X427" s="1"/>
      <c r="Y427" s="83" t="str">
        <f>VLOOKUP(LossTable[[#This Row],[Department]],$A$15:$B$40,2,FALSE)</f>
        <v>TP</v>
      </c>
    </row>
    <row r="428" spans="4:25" x14ac:dyDescent="0.25">
      <c r="D428" s="78">
        <v>426751</v>
      </c>
      <c r="E428" s="78">
        <v>280066590</v>
      </c>
      <c r="F428" s="83" t="s">
        <v>94</v>
      </c>
      <c r="G428" s="1" t="s">
        <v>306</v>
      </c>
      <c r="H428" s="1" t="s">
        <v>16</v>
      </c>
      <c r="I428" s="1" t="s">
        <v>754</v>
      </c>
      <c r="J428" s="1">
        <v>2000000</v>
      </c>
      <c r="K428" s="1">
        <v>20000000</v>
      </c>
      <c r="L428" s="1">
        <v>0</v>
      </c>
      <c r="M428" s="1">
        <v>0</v>
      </c>
      <c r="N428" s="1" t="s">
        <v>477</v>
      </c>
      <c r="O428" s="1">
        <v>0.22499390999999999</v>
      </c>
      <c r="P428" s="1">
        <v>0.1</v>
      </c>
      <c r="Q428" s="83">
        <v>961.77700000000004</v>
      </c>
      <c r="R428" s="83">
        <v>961.77700000000004</v>
      </c>
      <c r="S428" s="1">
        <v>961.77700000000004</v>
      </c>
      <c r="T428" s="83">
        <v>0</v>
      </c>
      <c r="U428" s="1" t="s">
        <v>122</v>
      </c>
      <c r="V428" s="1" t="s">
        <v>837</v>
      </c>
      <c r="W428" s="1">
        <v>3280.0940773799998</v>
      </c>
      <c r="X428" s="1"/>
      <c r="Y428" s="83" t="str">
        <f>VLOOKUP(LossTable[[#This Row],[Department]],$A$15:$B$40,2,FALSE)</f>
        <v>TP</v>
      </c>
    </row>
    <row r="429" spans="4:25" x14ac:dyDescent="0.25">
      <c r="D429" s="78">
        <v>430384</v>
      </c>
      <c r="E429" s="78">
        <v>280066590</v>
      </c>
      <c r="F429" s="83" t="s">
        <v>94</v>
      </c>
      <c r="G429" s="1" t="s">
        <v>313</v>
      </c>
      <c r="H429" s="1" t="s">
        <v>16</v>
      </c>
      <c r="I429" s="1" t="s">
        <v>314</v>
      </c>
      <c r="J429" s="1">
        <v>525000</v>
      </c>
      <c r="K429" s="1">
        <v>10000000</v>
      </c>
      <c r="L429" s="1">
        <v>0</v>
      </c>
      <c r="M429" s="1">
        <v>0</v>
      </c>
      <c r="N429" s="1" t="s">
        <v>315</v>
      </c>
      <c r="O429" s="1">
        <v>0.65</v>
      </c>
      <c r="P429" s="1">
        <v>5.2499999999999998E-2</v>
      </c>
      <c r="Q429" s="83">
        <v>41396.757675000001</v>
      </c>
      <c r="R429" s="83">
        <v>41396.757675000001</v>
      </c>
      <c r="S429" s="1">
        <v>41396.757675000001</v>
      </c>
      <c r="T429" s="83">
        <v>0</v>
      </c>
      <c r="U429" s="1" t="s">
        <v>122</v>
      </c>
      <c r="V429" s="1" t="s">
        <v>837</v>
      </c>
      <c r="W429" s="1">
        <v>3280.0940773799998</v>
      </c>
      <c r="X429" s="1"/>
      <c r="Y429" s="83" t="str">
        <f>VLOOKUP(LossTable[[#This Row],[Department]],$A$15:$B$40,2,FALSE)</f>
        <v>TP</v>
      </c>
    </row>
    <row r="430" spans="4:25" x14ac:dyDescent="0.25">
      <c r="D430" s="78">
        <v>430854</v>
      </c>
      <c r="E430" s="78">
        <v>280066590</v>
      </c>
      <c r="F430" s="83" t="s">
        <v>93</v>
      </c>
      <c r="G430" s="1" t="s">
        <v>333</v>
      </c>
      <c r="H430" s="1" t="s">
        <v>14</v>
      </c>
      <c r="I430" s="1" t="s">
        <v>334</v>
      </c>
      <c r="J430" s="1">
        <v>10000000</v>
      </c>
      <c r="K430" s="1">
        <v>100000000</v>
      </c>
      <c r="L430" s="1">
        <v>0</v>
      </c>
      <c r="M430" s="1">
        <v>0</v>
      </c>
      <c r="N430" s="1" t="s">
        <v>335</v>
      </c>
      <c r="O430" s="1">
        <v>0.49</v>
      </c>
      <c r="P430" s="1">
        <v>0.1</v>
      </c>
      <c r="Q430" s="83">
        <v>2339.63</v>
      </c>
      <c r="R430" s="83">
        <v>2339.63</v>
      </c>
      <c r="S430" s="1">
        <v>2339.63</v>
      </c>
      <c r="T430" s="83">
        <v>0</v>
      </c>
      <c r="U430" s="1" t="s">
        <v>122</v>
      </c>
      <c r="V430" s="1" t="s">
        <v>837</v>
      </c>
      <c r="W430" s="1">
        <v>3280.0940773799998</v>
      </c>
      <c r="X430" s="1"/>
      <c r="Y430" s="83" t="str">
        <f>VLOOKUP(LossTable[[#This Row],[Department]],$A$15:$B$40,2,FALSE)</f>
        <v>MEA</v>
      </c>
    </row>
    <row r="431" spans="4:25" x14ac:dyDescent="0.25">
      <c r="D431" s="78">
        <v>431666</v>
      </c>
      <c r="E431" s="78">
        <v>280066590</v>
      </c>
      <c r="F431" s="83" t="s">
        <v>45</v>
      </c>
      <c r="G431" s="1" t="s">
        <v>264</v>
      </c>
      <c r="H431" s="1" t="s">
        <v>16</v>
      </c>
      <c r="I431" s="1" t="s">
        <v>265</v>
      </c>
      <c r="J431" s="1">
        <v>5913368.0010000002</v>
      </c>
      <c r="K431" s="1">
        <v>32852044.449999999</v>
      </c>
      <c r="L431" s="1">
        <v>0</v>
      </c>
      <c r="M431" s="1">
        <v>0</v>
      </c>
      <c r="N431" s="1" t="s">
        <v>266</v>
      </c>
      <c r="O431" s="1">
        <v>8.7431700000000001E-2</v>
      </c>
      <c r="P431" s="1">
        <v>0.18</v>
      </c>
      <c r="Q431" s="83">
        <v>17446.580999999998</v>
      </c>
      <c r="R431" s="83">
        <v>17446.580999999998</v>
      </c>
      <c r="S431" s="1">
        <v>17446.580999999998</v>
      </c>
      <c r="T431" s="83">
        <v>0</v>
      </c>
      <c r="U431" s="1" t="s">
        <v>122</v>
      </c>
      <c r="V431" s="1" t="s">
        <v>837</v>
      </c>
      <c r="W431" s="1">
        <v>3280.0940773799998</v>
      </c>
      <c r="X431" s="1"/>
      <c r="Y431" s="83" t="str">
        <f>VLOOKUP(LossTable[[#This Row],[Department]],$A$15:$B$40,2,FALSE)</f>
        <v>FP</v>
      </c>
    </row>
    <row r="432" spans="4:25" x14ac:dyDescent="0.25">
      <c r="D432" s="78">
        <v>432034</v>
      </c>
      <c r="E432" s="78">
        <v>280066590</v>
      </c>
      <c r="F432" s="83" t="s">
        <v>94</v>
      </c>
      <c r="G432" s="1" t="s">
        <v>279</v>
      </c>
      <c r="H432" s="1" t="s">
        <v>14</v>
      </c>
      <c r="I432" s="1" t="s">
        <v>280</v>
      </c>
      <c r="J432" s="1">
        <v>16877119</v>
      </c>
      <c r="K432" s="1">
        <v>241101700</v>
      </c>
      <c r="L432" s="1">
        <v>0</v>
      </c>
      <c r="M432" s="1">
        <v>0</v>
      </c>
      <c r="N432" s="1" t="s">
        <v>281</v>
      </c>
      <c r="O432" s="1">
        <v>1.5384615399999999</v>
      </c>
      <c r="P432" s="1">
        <v>7.0000000000000007E-2</v>
      </c>
      <c r="Q432" s="83">
        <v>289406.4572</v>
      </c>
      <c r="R432" s="83">
        <v>289406.4572</v>
      </c>
      <c r="S432" s="1">
        <v>289406.4572</v>
      </c>
      <c r="T432" s="83">
        <v>0</v>
      </c>
      <c r="U432" s="1" t="s">
        <v>122</v>
      </c>
      <c r="V432" s="1" t="s">
        <v>837</v>
      </c>
      <c r="W432" s="1">
        <v>3280.0940773799998</v>
      </c>
      <c r="X432" s="1"/>
      <c r="Y432" s="83" t="str">
        <f>VLOOKUP(LossTable[[#This Row],[Department]],$A$15:$B$40,2,FALSE)</f>
        <v>TP</v>
      </c>
    </row>
    <row r="433" spans="4:25" x14ac:dyDescent="0.25">
      <c r="D433" s="78">
        <v>434724</v>
      </c>
      <c r="E433" s="78">
        <v>280066590</v>
      </c>
      <c r="F433" s="83" t="s">
        <v>94</v>
      </c>
      <c r="G433" s="1" t="s">
        <v>330</v>
      </c>
      <c r="H433" s="1" t="s">
        <v>14</v>
      </c>
      <c r="I433" s="1" t="s">
        <v>331</v>
      </c>
      <c r="J433" s="1">
        <v>3813046.875</v>
      </c>
      <c r="K433" s="1">
        <v>46218750</v>
      </c>
      <c r="L433" s="1">
        <v>0</v>
      </c>
      <c r="M433" s="1">
        <v>0</v>
      </c>
      <c r="N433" s="1" t="s">
        <v>332</v>
      </c>
      <c r="O433" s="1">
        <v>0.8</v>
      </c>
      <c r="P433" s="1">
        <v>8.2500000000000004E-2</v>
      </c>
      <c r="Q433" s="83">
        <v>5051.7983999999997</v>
      </c>
      <c r="R433" s="83">
        <v>5051.7983999999997</v>
      </c>
      <c r="S433" s="1">
        <v>5051.7983999999997</v>
      </c>
      <c r="T433" s="83">
        <v>0</v>
      </c>
      <c r="U433" s="1" t="s">
        <v>122</v>
      </c>
      <c r="V433" s="1" t="s">
        <v>837</v>
      </c>
      <c r="W433" s="1">
        <v>3280.0940773799998</v>
      </c>
      <c r="X433" s="1"/>
      <c r="Y433" s="83" t="str">
        <f>VLOOKUP(LossTable[[#This Row],[Department]],$A$15:$B$40,2,FALSE)</f>
        <v>TP</v>
      </c>
    </row>
    <row r="434" spans="4:25" x14ac:dyDescent="0.25">
      <c r="D434" s="78">
        <v>435695</v>
      </c>
      <c r="E434" s="78">
        <v>280066590</v>
      </c>
      <c r="F434" s="83" t="s">
        <v>94</v>
      </c>
      <c r="G434" s="1" t="s">
        <v>318</v>
      </c>
      <c r="H434" s="1" t="s">
        <v>16</v>
      </c>
      <c r="I434" s="1" t="s">
        <v>319</v>
      </c>
      <c r="J434" s="1">
        <v>6000000</v>
      </c>
      <c r="K434" s="1">
        <v>120000000</v>
      </c>
      <c r="L434" s="1">
        <v>0</v>
      </c>
      <c r="M434" s="1">
        <v>0</v>
      </c>
      <c r="N434" s="1" t="s">
        <v>320</v>
      </c>
      <c r="O434" s="1">
        <v>2.2000000000000002</v>
      </c>
      <c r="P434" s="1">
        <v>0.05</v>
      </c>
      <c r="Q434" s="83">
        <v>9486.0840000000007</v>
      </c>
      <c r="R434" s="83">
        <v>9486.0840000000007</v>
      </c>
      <c r="S434" s="1">
        <v>9486.0840000000007</v>
      </c>
      <c r="T434" s="83">
        <v>0</v>
      </c>
      <c r="U434" s="1" t="s">
        <v>122</v>
      </c>
      <c r="V434" s="1" t="s">
        <v>837</v>
      </c>
      <c r="W434" s="1">
        <v>3280.0940773799998</v>
      </c>
      <c r="X434" s="1"/>
      <c r="Y434" s="83" t="str">
        <f>VLOOKUP(LossTable[[#This Row],[Department]],$A$15:$B$40,2,FALSE)</f>
        <v>TP</v>
      </c>
    </row>
    <row r="435" spans="4:25" x14ac:dyDescent="0.25">
      <c r="D435" s="78">
        <v>441789</v>
      </c>
      <c r="E435" s="78">
        <v>280066590</v>
      </c>
      <c r="F435" s="83" t="s">
        <v>94</v>
      </c>
      <c r="G435" s="1" t="s">
        <v>380</v>
      </c>
      <c r="H435" s="1" t="s">
        <v>16</v>
      </c>
      <c r="I435" s="1" t="s">
        <v>447</v>
      </c>
      <c r="J435" s="1">
        <v>375000</v>
      </c>
      <c r="K435" s="1">
        <v>30000000</v>
      </c>
      <c r="L435" s="1">
        <v>0</v>
      </c>
      <c r="M435" s="1">
        <v>0</v>
      </c>
      <c r="N435" s="1" t="s">
        <v>122</v>
      </c>
      <c r="O435" s="1">
        <v>0.33333332999999998</v>
      </c>
      <c r="P435" s="1">
        <v>1.2500000000000001E-2</v>
      </c>
      <c r="Q435" s="83">
        <v>214.573125</v>
      </c>
      <c r="R435" s="83">
        <v>214.573125</v>
      </c>
      <c r="S435" s="1">
        <v>214.573125</v>
      </c>
      <c r="T435" s="83">
        <v>0</v>
      </c>
      <c r="U435" s="1" t="s">
        <v>122</v>
      </c>
      <c r="V435" s="1" t="s">
        <v>837</v>
      </c>
      <c r="W435" s="1">
        <v>3280.0940773799998</v>
      </c>
      <c r="X435" s="1"/>
      <c r="Y435" s="83" t="str">
        <f>VLOOKUP(LossTable[[#This Row],[Department]],$A$15:$B$40,2,FALSE)</f>
        <v>TP</v>
      </c>
    </row>
    <row r="436" spans="4:25" x14ac:dyDescent="0.25">
      <c r="D436" s="78">
        <v>445806</v>
      </c>
      <c r="E436" s="78">
        <v>280066590</v>
      </c>
      <c r="F436" s="83" t="s">
        <v>94</v>
      </c>
      <c r="G436" s="1" t="s">
        <v>844</v>
      </c>
      <c r="H436" s="1" t="s">
        <v>13</v>
      </c>
      <c r="I436" s="1" t="s">
        <v>845</v>
      </c>
      <c r="J436" s="1">
        <v>2500000</v>
      </c>
      <c r="K436" s="1">
        <v>50000000</v>
      </c>
      <c r="L436" s="1">
        <v>0</v>
      </c>
      <c r="M436" s="1">
        <v>0</v>
      </c>
      <c r="N436" s="1" t="s">
        <v>846</v>
      </c>
      <c r="O436" s="1">
        <v>0.12</v>
      </c>
      <c r="P436" s="1">
        <v>0.05</v>
      </c>
      <c r="Q436" s="83">
        <v>1242642.0475000001</v>
      </c>
      <c r="R436" s="83">
        <v>419363.73370190902</v>
      </c>
      <c r="S436" s="1">
        <v>419363.73370190902</v>
      </c>
      <c r="T436" s="83">
        <v>0</v>
      </c>
      <c r="U436" s="1" t="s">
        <v>122</v>
      </c>
      <c r="V436" s="1" t="s">
        <v>837</v>
      </c>
      <c r="W436" s="1">
        <v>3280.0940773799998</v>
      </c>
      <c r="X436" s="1"/>
      <c r="Y436" s="83" t="str">
        <f>VLOOKUP(LossTable[[#This Row],[Department]],$A$15:$B$40,2,FALSE)</f>
        <v>TP</v>
      </c>
    </row>
    <row r="437" spans="4:25" x14ac:dyDescent="0.25">
      <c r="D437" s="78">
        <v>445970</v>
      </c>
      <c r="E437" s="78">
        <v>280066590</v>
      </c>
      <c r="F437" s="83" t="s">
        <v>94</v>
      </c>
      <c r="G437" s="1" t="s">
        <v>470</v>
      </c>
      <c r="H437" s="1" t="s">
        <v>16</v>
      </c>
      <c r="I437" s="1" t="s">
        <v>476</v>
      </c>
      <c r="J437" s="1">
        <v>1000000</v>
      </c>
      <c r="K437" s="1">
        <v>20000000</v>
      </c>
      <c r="L437" s="1">
        <v>0</v>
      </c>
      <c r="M437" s="1">
        <v>0</v>
      </c>
      <c r="N437" s="1" t="s">
        <v>477</v>
      </c>
      <c r="O437" s="1">
        <v>7.9989749999999998E-2</v>
      </c>
      <c r="P437" s="1">
        <v>0.05</v>
      </c>
      <c r="Q437" s="83">
        <v>772.46950000000004</v>
      </c>
      <c r="R437" s="83">
        <v>772.46950000000004</v>
      </c>
      <c r="S437" s="1">
        <v>772.46950000000004</v>
      </c>
      <c r="T437" s="83">
        <v>0</v>
      </c>
      <c r="U437" s="1" t="s">
        <v>122</v>
      </c>
      <c r="V437" s="1" t="s">
        <v>837</v>
      </c>
      <c r="W437" s="1">
        <v>3280.0940773799998</v>
      </c>
      <c r="X437" s="1"/>
      <c r="Y437" s="83" t="str">
        <f>VLOOKUP(LossTable[[#This Row],[Department]],$A$15:$B$40,2,FALSE)</f>
        <v>TP</v>
      </c>
    </row>
    <row r="438" spans="4:25" x14ac:dyDescent="0.25">
      <c r="D438" s="78">
        <v>446929</v>
      </c>
      <c r="E438" s="78">
        <v>280066590</v>
      </c>
      <c r="F438" s="83" t="s">
        <v>94</v>
      </c>
      <c r="G438" s="1" t="s">
        <v>468</v>
      </c>
      <c r="H438" s="1" t="s">
        <v>14</v>
      </c>
      <c r="I438" s="1" t="s">
        <v>469</v>
      </c>
      <c r="J438" s="1">
        <v>13500000</v>
      </c>
      <c r="K438" s="1">
        <v>150000000</v>
      </c>
      <c r="L438" s="1">
        <v>0</v>
      </c>
      <c r="M438" s="1">
        <v>0</v>
      </c>
      <c r="N438" s="1" t="s">
        <v>122</v>
      </c>
      <c r="O438" s="1">
        <v>1.03333333</v>
      </c>
      <c r="P438" s="1">
        <v>0.09</v>
      </c>
      <c r="Q438" s="83">
        <v>65616.097500000003</v>
      </c>
      <c r="R438" s="83">
        <v>65616.097500000003</v>
      </c>
      <c r="S438" s="1">
        <v>65616.097500000003</v>
      </c>
      <c r="T438" s="83">
        <v>0</v>
      </c>
      <c r="U438" s="1" t="s">
        <v>122</v>
      </c>
      <c r="V438" s="1" t="s">
        <v>837</v>
      </c>
      <c r="W438" s="1">
        <v>3280.0940773799998</v>
      </c>
      <c r="X438" s="1"/>
      <c r="Y438" s="83" t="str">
        <f>VLOOKUP(LossTable[[#This Row],[Department]],$A$15:$B$40,2,FALSE)</f>
        <v>TP</v>
      </c>
    </row>
    <row r="439" spans="4:25" x14ac:dyDescent="0.25">
      <c r="D439" s="78">
        <v>449403</v>
      </c>
      <c r="E439" s="78">
        <v>280066590</v>
      </c>
      <c r="F439" s="83" t="s">
        <v>45</v>
      </c>
      <c r="G439" s="1" t="s">
        <v>559</v>
      </c>
      <c r="H439" s="1" t="s">
        <v>16</v>
      </c>
      <c r="I439" s="1" t="s">
        <v>560</v>
      </c>
      <c r="J439" s="1">
        <v>5625000</v>
      </c>
      <c r="K439" s="1">
        <v>37500000</v>
      </c>
      <c r="L439" s="1">
        <v>0</v>
      </c>
      <c r="M439" s="1">
        <v>0</v>
      </c>
      <c r="N439" s="1" t="s">
        <v>561</v>
      </c>
      <c r="O439" s="1">
        <v>0.10044488</v>
      </c>
      <c r="P439" s="1">
        <v>0.15</v>
      </c>
      <c r="Q439" s="83">
        <v>30430.305</v>
      </c>
      <c r="R439" s="83">
        <v>30430.305</v>
      </c>
      <c r="S439" s="1">
        <v>30430.305</v>
      </c>
      <c r="T439" s="83">
        <v>0</v>
      </c>
      <c r="U439" s="1" t="s">
        <v>122</v>
      </c>
      <c r="V439" s="1" t="s">
        <v>837</v>
      </c>
      <c r="W439" s="1">
        <v>3280.0940773799998</v>
      </c>
      <c r="X439" s="1"/>
      <c r="Y439" s="83" t="str">
        <f>VLOOKUP(LossTable[[#This Row],[Department]],$A$15:$B$40,2,FALSE)</f>
        <v>FP</v>
      </c>
    </row>
    <row r="440" spans="4:25" x14ac:dyDescent="0.25">
      <c r="D440" s="78">
        <v>463040</v>
      </c>
      <c r="E440" s="78">
        <v>280066590</v>
      </c>
      <c r="F440" s="83" t="s">
        <v>94</v>
      </c>
      <c r="G440" s="1" t="s">
        <v>602</v>
      </c>
      <c r="H440" s="1" t="s">
        <v>14</v>
      </c>
      <c r="I440" s="1" t="s">
        <v>603</v>
      </c>
      <c r="J440" s="1">
        <v>8250000</v>
      </c>
      <c r="K440" s="1">
        <v>110000000</v>
      </c>
      <c r="L440" s="1">
        <v>0</v>
      </c>
      <c r="M440" s="1">
        <v>0</v>
      </c>
      <c r="N440" s="1" t="s">
        <v>182</v>
      </c>
      <c r="O440" s="1">
        <v>0.49090908999999999</v>
      </c>
      <c r="P440" s="1">
        <v>7.4999999999999997E-2</v>
      </c>
      <c r="Q440" s="83">
        <v>49037.712</v>
      </c>
      <c r="R440" s="83">
        <v>49037.712</v>
      </c>
      <c r="S440" s="1">
        <v>49037.712</v>
      </c>
      <c r="T440" s="83">
        <v>0</v>
      </c>
      <c r="U440" s="1" t="s">
        <v>122</v>
      </c>
      <c r="V440" s="1" t="s">
        <v>837</v>
      </c>
      <c r="W440" s="1">
        <v>3280.0940773799998</v>
      </c>
      <c r="X440" s="1"/>
      <c r="Y440" s="83" t="str">
        <f>VLOOKUP(LossTable[[#This Row],[Department]],$A$15:$B$40,2,FALSE)</f>
        <v>TP</v>
      </c>
    </row>
    <row r="441" spans="4:25" x14ac:dyDescent="0.25">
      <c r="D441" s="78">
        <v>468496</v>
      </c>
      <c r="E441" s="78">
        <v>280066590</v>
      </c>
      <c r="F441" s="83" t="s">
        <v>21</v>
      </c>
      <c r="G441" s="1" t="s">
        <v>572</v>
      </c>
      <c r="H441" s="1" t="s">
        <v>14</v>
      </c>
      <c r="I441" s="1" t="s">
        <v>573</v>
      </c>
      <c r="J441" s="1">
        <v>7200000</v>
      </c>
      <c r="K441" s="1">
        <v>72000000</v>
      </c>
      <c r="L441" s="1">
        <v>0</v>
      </c>
      <c r="M441" s="1">
        <v>0</v>
      </c>
      <c r="N441" s="1" t="s">
        <v>574</v>
      </c>
      <c r="O441" s="1">
        <v>0.48611111000000001</v>
      </c>
      <c r="P441" s="1">
        <v>0.1</v>
      </c>
      <c r="Q441" s="83">
        <v>3733.1480000000001</v>
      </c>
      <c r="R441" s="83">
        <v>3733.1480000000001</v>
      </c>
      <c r="S441" s="1">
        <v>3733.1480000000001</v>
      </c>
      <c r="T441" s="83">
        <v>0</v>
      </c>
      <c r="U441" s="1" t="s">
        <v>122</v>
      </c>
      <c r="V441" s="1" t="s">
        <v>837</v>
      </c>
      <c r="W441" s="1">
        <v>3280.0940773799998</v>
      </c>
      <c r="X441" s="1"/>
      <c r="Y441" s="83" t="str">
        <f>VLOOKUP(LossTable[[#This Row],[Department]],$A$15:$B$40,2,FALSE)</f>
        <v>London</v>
      </c>
    </row>
    <row r="442" spans="4:25" x14ac:dyDescent="0.25">
      <c r="D442" s="78">
        <v>471433</v>
      </c>
      <c r="E442" s="78">
        <v>280066590</v>
      </c>
      <c r="F442" s="83" t="s">
        <v>45</v>
      </c>
      <c r="G442" s="1" t="s">
        <v>618</v>
      </c>
      <c r="H442" s="1" t="s">
        <v>14</v>
      </c>
      <c r="I442" s="1" t="s">
        <v>619</v>
      </c>
      <c r="J442" s="1">
        <v>9000000</v>
      </c>
      <c r="K442" s="1">
        <v>60000000</v>
      </c>
      <c r="L442" s="1">
        <v>0</v>
      </c>
      <c r="M442" s="1">
        <v>0</v>
      </c>
      <c r="N442" s="1" t="s">
        <v>620</v>
      </c>
      <c r="O442" s="1">
        <v>0.91666667000000002</v>
      </c>
      <c r="P442" s="1">
        <v>0.15</v>
      </c>
      <c r="Q442" s="83">
        <v>26.200500000000002</v>
      </c>
      <c r="R442" s="83">
        <v>26.200500000000002</v>
      </c>
      <c r="S442" s="1">
        <v>26.200500000000002</v>
      </c>
      <c r="T442" s="83">
        <v>0</v>
      </c>
      <c r="U442" s="1" t="s">
        <v>122</v>
      </c>
      <c r="V442" s="1" t="s">
        <v>837</v>
      </c>
      <c r="W442" s="1">
        <v>3280.0940773799998</v>
      </c>
      <c r="X442" s="1"/>
      <c r="Y442" s="83" t="str">
        <f>VLOOKUP(LossTable[[#This Row],[Department]],$A$15:$B$40,2,FALSE)</f>
        <v>FP</v>
      </c>
    </row>
    <row r="443" spans="4:25" x14ac:dyDescent="0.25">
      <c r="D443" s="78">
        <v>471725</v>
      </c>
      <c r="E443" s="78">
        <v>280066590</v>
      </c>
      <c r="F443" s="83" t="s">
        <v>94</v>
      </c>
      <c r="G443" s="1" t="s">
        <v>663</v>
      </c>
      <c r="H443" s="1" t="s">
        <v>16</v>
      </c>
      <c r="I443" s="1" t="s">
        <v>664</v>
      </c>
      <c r="J443" s="1">
        <v>1000000</v>
      </c>
      <c r="K443" s="1">
        <v>50000000</v>
      </c>
      <c r="L443" s="1">
        <v>0</v>
      </c>
      <c r="M443" s="1">
        <v>0</v>
      </c>
      <c r="N443" s="1" t="s">
        <v>122</v>
      </c>
      <c r="O443" s="1">
        <v>0.22163552</v>
      </c>
      <c r="P443" s="1">
        <v>0.02</v>
      </c>
      <c r="Q443" s="83">
        <v>3.1741999999999999</v>
      </c>
      <c r="R443" s="83">
        <v>3.1741999999999999</v>
      </c>
      <c r="S443" s="1">
        <v>3.1741999999999999</v>
      </c>
      <c r="T443" s="83">
        <v>0</v>
      </c>
      <c r="U443" s="1" t="s">
        <v>122</v>
      </c>
      <c r="V443" s="1" t="s">
        <v>837</v>
      </c>
      <c r="W443" s="1">
        <v>3280.0940773799998</v>
      </c>
      <c r="X443" s="1"/>
      <c r="Y443" s="83" t="str">
        <f>VLOOKUP(LossTable[[#This Row],[Department]],$A$15:$B$40,2,FALSE)</f>
        <v>TP</v>
      </c>
    </row>
    <row r="444" spans="4:25" x14ac:dyDescent="0.25">
      <c r="D444" s="78">
        <v>473018</v>
      </c>
      <c r="E444" s="78">
        <v>280066590</v>
      </c>
      <c r="F444" s="83" t="s">
        <v>94</v>
      </c>
      <c r="G444" s="1" t="s">
        <v>604</v>
      </c>
      <c r="H444" s="1" t="s">
        <v>16</v>
      </c>
      <c r="I444" s="1" t="s">
        <v>640</v>
      </c>
      <c r="J444" s="1">
        <v>210000</v>
      </c>
      <c r="K444" s="1">
        <v>12000000</v>
      </c>
      <c r="L444" s="1">
        <v>0</v>
      </c>
      <c r="M444" s="1">
        <v>0</v>
      </c>
      <c r="N444" s="1" t="s">
        <v>122</v>
      </c>
      <c r="O444" s="1">
        <v>1.1531666700000001</v>
      </c>
      <c r="P444" s="1">
        <v>1.7500000000000002E-2</v>
      </c>
      <c r="Q444" s="83">
        <v>59.169600000000003</v>
      </c>
      <c r="R444" s="83">
        <v>59.169600000000003</v>
      </c>
      <c r="S444" s="1">
        <v>59.169600000000003</v>
      </c>
      <c r="T444" s="83">
        <v>0</v>
      </c>
      <c r="U444" s="1" t="s">
        <v>122</v>
      </c>
      <c r="V444" s="1" t="s">
        <v>837</v>
      </c>
      <c r="W444" s="1">
        <v>3280.0940773799998</v>
      </c>
      <c r="X444" s="1"/>
      <c r="Y444" s="83" t="str">
        <f>VLOOKUP(LossTable[[#This Row],[Department]],$A$15:$B$40,2,FALSE)</f>
        <v>TP</v>
      </c>
    </row>
    <row r="445" spans="4:25" x14ac:dyDescent="0.25">
      <c r="D445" s="78">
        <v>475727</v>
      </c>
      <c r="E445" s="78">
        <v>280066590</v>
      </c>
      <c r="F445" s="83" t="s">
        <v>12</v>
      </c>
      <c r="G445" s="1" t="s">
        <v>681</v>
      </c>
      <c r="H445" s="1" t="s">
        <v>14</v>
      </c>
      <c r="I445" s="1" t="s">
        <v>682</v>
      </c>
      <c r="J445" s="1">
        <v>31500000</v>
      </c>
      <c r="K445" s="1">
        <v>900000000</v>
      </c>
      <c r="L445" s="1">
        <v>0</v>
      </c>
      <c r="M445" s="1">
        <v>0</v>
      </c>
      <c r="N445" s="1" t="s">
        <v>122</v>
      </c>
      <c r="O445" s="1">
        <v>0.65800000000000003</v>
      </c>
      <c r="P445" s="1">
        <v>3.5000000000000003E-2</v>
      </c>
      <c r="Q445" s="83">
        <v>230663.65979999999</v>
      </c>
      <c r="R445" s="83">
        <v>230663.65979999999</v>
      </c>
      <c r="S445" s="1">
        <v>230663.65979999999</v>
      </c>
      <c r="T445" s="83">
        <v>0</v>
      </c>
      <c r="U445" s="1" t="s">
        <v>122</v>
      </c>
      <c r="V445" s="1" t="s">
        <v>837</v>
      </c>
      <c r="W445" s="1">
        <v>3280.0940773799998</v>
      </c>
      <c r="X445" s="1"/>
      <c r="Y445" s="83" t="str">
        <f>VLOOKUP(LossTable[[#This Row],[Department]],$A$15:$B$40,2,FALSE)</f>
        <v>Bermuda</v>
      </c>
    </row>
    <row r="446" spans="4:25" x14ac:dyDescent="0.25">
      <c r="D446" s="78">
        <v>476660</v>
      </c>
      <c r="E446" s="78">
        <v>280066590</v>
      </c>
      <c r="F446" s="83" t="s">
        <v>45</v>
      </c>
      <c r="G446" s="1" t="s">
        <v>669</v>
      </c>
      <c r="H446" s="1" t="s">
        <v>16</v>
      </c>
      <c r="I446" s="1" t="s">
        <v>770</v>
      </c>
      <c r="J446" s="1">
        <v>500000</v>
      </c>
      <c r="K446" s="1">
        <v>5000000</v>
      </c>
      <c r="L446" s="1">
        <v>0</v>
      </c>
      <c r="M446" s="1">
        <v>0</v>
      </c>
      <c r="N446" s="1" t="s">
        <v>771</v>
      </c>
      <c r="O446" s="1">
        <v>7.4999999999999997E-2</v>
      </c>
      <c r="P446" s="1">
        <v>0.1</v>
      </c>
      <c r="Q446" s="83">
        <v>1.847</v>
      </c>
      <c r="R446" s="83">
        <v>1.847</v>
      </c>
      <c r="S446" s="1">
        <v>1.847</v>
      </c>
      <c r="T446" s="83">
        <v>0.11391859</v>
      </c>
      <c r="U446" s="1" t="s">
        <v>122</v>
      </c>
      <c r="V446" s="1" t="s">
        <v>837</v>
      </c>
      <c r="W446" s="1">
        <v>3280.0940773799998</v>
      </c>
      <c r="X446" s="1"/>
      <c r="Y446" s="83" t="str">
        <f>VLOOKUP(LossTable[[#This Row],[Department]],$A$15:$B$40,2,FALSE)</f>
        <v>FP</v>
      </c>
    </row>
    <row r="447" spans="4:25" x14ac:dyDescent="0.25">
      <c r="D447" s="78">
        <v>480314</v>
      </c>
      <c r="E447" s="78">
        <v>280066590</v>
      </c>
      <c r="F447" s="83" t="s">
        <v>94</v>
      </c>
      <c r="G447" s="1" t="s">
        <v>713</v>
      </c>
      <c r="H447" s="1" t="s">
        <v>14</v>
      </c>
      <c r="I447" s="1" t="s">
        <v>714</v>
      </c>
      <c r="J447" s="1">
        <v>9800000</v>
      </c>
      <c r="K447" s="1">
        <v>700000000</v>
      </c>
      <c r="L447" s="1">
        <v>0</v>
      </c>
      <c r="M447" s="1">
        <v>0</v>
      </c>
      <c r="N447" s="1" t="s">
        <v>122</v>
      </c>
      <c r="O447" s="1">
        <v>0.8</v>
      </c>
      <c r="P447" s="1">
        <v>1.4E-2</v>
      </c>
      <c r="Q447" s="83">
        <v>125479.24704</v>
      </c>
      <c r="R447" s="83">
        <v>125479.24704</v>
      </c>
      <c r="S447" s="1">
        <v>125479.24704</v>
      </c>
      <c r="T447" s="83">
        <v>0</v>
      </c>
      <c r="U447" s="1" t="s">
        <v>122</v>
      </c>
      <c r="V447" s="1" t="s">
        <v>837</v>
      </c>
      <c r="W447" s="1">
        <v>3280.0940773799998</v>
      </c>
      <c r="X447" s="1"/>
      <c r="Y447" s="83" t="str">
        <f>VLOOKUP(LossTable[[#This Row],[Department]],$A$15:$B$40,2,FALSE)</f>
        <v>TP</v>
      </c>
    </row>
    <row r="448" spans="4:25" x14ac:dyDescent="0.25">
      <c r="D448" s="78">
        <v>480746</v>
      </c>
      <c r="E448" s="78">
        <v>280066590</v>
      </c>
      <c r="F448" s="83" t="s">
        <v>45</v>
      </c>
      <c r="G448" s="1" t="s">
        <v>669</v>
      </c>
      <c r="H448" s="1" t="s">
        <v>16</v>
      </c>
      <c r="I448" s="1" t="s">
        <v>670</v>
      </c>
      <c r="J448" s="1">
        <v>300000</v>
      </c>
      <c r="K448" s="1">
        <v>3000000</v>
      </c>
      <c r="L448" s="1">
        <v>0</v>
      </c>
      <c r="M448" s="1">
        <v>0</v>
      </c>
      <c r="N448" s="1" t="s">
        <v>403</v>
      </c>
      <c r="O448" s="1">
        <v>0.55000000000000004</v>
      </c>
      <c r="P448" s="1">
        <v>0.1</v>
      </c>
      <c r="Q448" s="83">
        <v>279.08300000000003</v>
      </c>
      <c r="R448" s="83">
        <v>279.08300000000003</v>
      </c>
      <c r="S448" s="1">
        <v>279.08300000000003</v>
      </c>
      <c r="T448" s="83">
        <v>153.40650468999999</v>
      </c>
      <c r="U448" s="1" t="s">
        <v>122</v>
      </c>
      <c r="V448" s="1" t="s">
        <v>837</v>
      </c>
      <c r="W448" s="1">
        <v>3280.0940773799998</v>
      </c>
      <c r="X448" s="1"/>
      <c r="Y448" s="83" t="str">
        <f>VLOOKUP(LossTable[[#This Row],[Department]],$A$15:$B$40,2,FALSE)</f>
        <v>FP</v>
      </c>
    </row>
    <row r="449" spans="4:25" x14ac:dyDescent="0.25">
      <c r="D449" s="78">
        <v>483216</v>
      </c>
      <c r="E449" s="78">
        <v>280066590</v>
      </c>
      <c r="F449" s="83" t="s">
        <v>12</v>
      </c>
      <c r="G449" s="1" t="s">
        <v>722</v>
      </c>
      <c r="H449" s="1" t="s">
        <v>14</v>
      </c>
      <c r="I449" s="1" t="s">
        <v>723</v>
      </c>
      <c r="J449" s="1">
        <v>5000000</v>
      </c>
      <c r="K449" s="1">
        <v>100000000</v>
      </c>
      <c r="L449" s="1">
        <v>0</v>
      </c>
      <c r="M449" s="1">
        <v>0</v>
      </c>
      <c r="N449" s="1" t="s">
        <v>122</v>
      </c>
      <c r="O449" s="1">
        <v>0.59799999999999998</v>
      </c>
      <c r="P449" s="1">
        <v>0.05</v>
      </c>
      <c r="Q449" s="83">
        <v>26308.315500000001</v>
      </c>
      <c r="R449" s="83">
        <v>26308.315500000001</v>
      </c>
      <c r="S449" s="1">
        <v>26308.315500000001</v>
      </c>
      <c r="T449" s="83">
        <v>0</v>
      </c>
      <c r="U449" s="1" t="s">
        <v>122</v>
      </c>
      <c r="V449" s="1" t="s">
        <v>837</v>
      </c>
      <c r="W449" s="1">
        <v>3280.0940773799998</v>
      </c>
      <c r="X449" s="1"/>
      <c r="Y449" s="83" t="str">
        <f>VLOOKUP(LossTable[[#This Row],[Department]],$A$15:$B$40,2,FALSE)</f>
        <v>Bermuda</v>
      </c>
    </row>
    <row r="450" spans="4:25" x14ac:dyDescent="0.25">
      <c r="D450" s="78">
        <v>483235</v>
      </c>
      <c r="E450" s="78">
        <v>280066590</v>
      </c>
      <c r="F450" s="83" t="s">
        <v>94</v>
      </c>
      <c r="G450" s="1" t="s">
        <v>803</v>
      </c>
      <c r="H450" s="1" t="s">
        <v>16</v>
      </c>
      <c r="I450" s="1" t="s">
        <v>804</v>
      </c>
      <c r="J450" s="1">
        <v>200000</v>
      </c>
      <c r="K450" s="1">
        <v>8000000</v>
      </c>
      <c r="L450" s="1">
        <v>0</v>
      </c>
      <c r="M450" s="1">
        <v>0</v>
      </c>
      <c r="N450" s="1" t="s">
        <v>122</v>
      </c>
      <c r="O450" s="1">
        <v>0.77500000000000002</v>
      </c>
      <c r="P450" s="1">
        <v>2.5000000000000001E-2</v>
      </c>
      <c r="Q450" s="83">
        <v>6.0644999999999998</v>
      </c>
      <c r="R450" s="83">
        <v>6.0644999999999998</v>
      </c>
      <c r="S450" s="1">
        <v>6.0644999999999998</v>
      </c>
      <c r="T450" s="83">
        <v>0</v>
      </c>
      <c r="U450" s="1" t="s">
        <v>122</v>
      </c>
      <c r="V450" s="1" t="s">
        <v>837</v>
      </c>
      <c r="W450" s="1">
        <v>3280.0940773799998</v>
      </c>
      <c r="X450" s="1"/>
      <c r="Y450" s="83" t="str">
        <f>VLOOKUP(LossTable[[#This Row],[Department]],$A$15:$B$40,2,FALSE)</f>
        <v>TP</v>
      </c>
    </row>
    <row r="451" spans="4:25" x14ac:dyDescent="0.25">
      <c r="D451" s="78">
        <v>485405</v>
      </c>
      <c r="E451" s="78">
        <v>280066590</v>
      </c>
      <c r="F451" s="83" t="s">
        <v>94</v>
      </c>
      <c r="G451" s="1" t="s">
        <v>734</v>
      </c>
      <c r="H451" s="1" t="s">
        <v>14</v>
      </c>
      <c r="I451" s="1" t="s">
        <v>735</v>
      </c>
      <c r="J451" s="1">
        <v>8400000</v>
      </c>
      <c r="K451" s="1">
        <v>280000000</v>
      </c>
      <c r="L451" s="1">
        <v>0</v>
      </c>
      <c r="M451" s="1">
        <v>0</v>
      </c>
      <c r="N451" s="1" t="s">
        <v>122</v>
      </c>
      <c r="O451" s="1">
        <v>1.3674022100000001</v>
      </c>
      <c r="P451" s="1">
        <v>0.03</v>
      </c>
      <c r="Q451" s="83">
        <v>87108.800099999993</v>
      </c>
      <c r="R451" s="83">
        <v>87108.800099999993</v>
      </c>
      <c r="S451" s="1">
        <v>87108.800099999993</v>
      </c>
      <c r="T451" s="83">
        <v>0</v>
      </c>
      <c r="U451" s="1" t="s">
        <v>122</v>
      </c>
      <c r="V451" s="1" t="s">
        <v>837</v>
      </c>
      <c r="W451" s="1">
        <v>3280.0940773799998</v>
      </c>
      <c r="X451" s="1"/>
      <c r="Y451" s="83" t="str">
        <f>VLOOKUP(LossTable[[#This Row],[Department]],$A$15:$B$40,2,FALSE)</f>
        <v>TP</v>
      </c>
    </row>
    <row r="452" spans="4:25" x14ac:dyDescent="0.25">
      <c r="D452" s="78">
        <v>486179</v>
      </c>
      <c r="E452" s="78">
        <v>280066590</v>
      </c>
      <c r="F452" s="83" t="s">
        <v>12</v>
      </c>
      <c r="G452" s="1" t="s">
        <v>752</v>
      </c>
      <c r="H452" s="1" t="s">
        <v>14</v>
      </c>
      <c r="I452" s="1" t="s">
        <v>753</v>
      </c>
      <c r="J452" s="1">
        <v>14700000</v>
      </c>
      <c r="K452" s="1">
        <v>490000000</v>
      </c>
      <c r="L452" s="1">
        <v>0</v>
      </c>
      <c r="M452" s="1">
        <v>0</v>
      </c>
      <c r="N452" s="1" t="s">
        <v>692</v>
      </c>
      <c r="O452" s="1">
        <v>0.46938775999999999</v>
      </c>
      <c r="P452" s="1">
        <v>0.03</v>
      </c>
      <c r="Q452" s="83">
        <v>123171.75750000001</v>
      </c>
      <c r="R452" s="83">
        <v>123171.75750000001</v>
      </c>
      <c r="S452" s="1">
        <v>123171.75750000001</v>
      </c>
      <c r="T452" s="83">
        <v>0</v>
      </c>
      <c r="U452" s="1" t="s">
        <v>122</v>
      </c>
      <c r="V452" s="1" t="s">
        <v>837</v>
      </c>
      <c r="W452" s="1">
        <v>3280.0940773799998</v>
      </c>
      <c r="X452" s="1"/>
      <c r="Y452" s="83" t="str">
        <f>VLOOKUP(LossTable[[#This Row],[Department]],$A$15:$B$40,2,FALSE)</f>
        <v>Bermuda</v>
      </c>
    </row>
    <row r="453" spans="4:25" x14ac:dyDescent="0.25">
      <c r="D453" s="78">
        <v>107</v>
      </c>
      <c r="E453" s="78">
        <v>280037801</v>
      </c>
      <c r="F453" s="83" t="s">
        <v>86</v>
      </c>
      <c r="G453" s="1" t="s">
        <v>217</v>
      </c>
      <c r="H453" s="1" t="s">
        <v>16</v>
      </c>
      <c r="I453" s="1" t="s">
        <v>217</v>
      </c>
      <c r="J453" s="1">
        <v>112658565.33570901</v>
      </c>
      <c r="K453" s="1">
        <v>0</v>
      </c>
      <c r="L453" s="1">
        <v>0</v>
      </c>
      <c r="M453" s="1">
        <v>0</v>
      </c>
      <c r="N453" s="1" t="s">
        <v>44</v>
      </c>
      <c r="O453" s="1">
        <v>0</v>
      </c>
      <c r="P453" s="1">
        <v>1</v>
      </c>
      <c r="Q453" s="83">
        <v>87.559991999999994</v>
      </c>
      <c r="R453" s="83">
        <v>87.559991999999994</v>
      </c>
      <c r="S453" s="1">
        <v>87.559991999999994</v>
      </c>
      <c r="T453" s="83">
        <v>0</v>
      </c>
      <c r="U453" s="1" t="s">
        <v>122</v>
      </c>
      <c r="V453" s="1" t="s">
        <v>852</v>
      </c>
      <c r="W453" s="1">
        <v>3949.1976460300002</v>
      </c>
      <c r="X453" s="1"/>
      <c r="Y453" s="83" t="str">
        <f>VLOOKUP(LossTable[[#This Row],[Department]],$A$15:$B$40,2,FALSE)</f>
        <v>FP</v>
      </c>
    </row>
    <row r="454" spans="4:25" x14ac:dyDescent="0.25">
      <c r="D454" s="78">
        <v>114</v>
      </c>
      <c r="E454" s="78">
        <v>280037801</v>
      </c>
      <c r="F454" s="83" t="s">
        <v>42</v>
      </c>
      <c r="G454" s="1" t="s">
        <v>43</v>
      </c>
      <c r="H454" s="1" t="s">
        <v>16</v>
      </c>
      <c r="I454" s="1" t="s">
        <v>43</v>
      </c>
      <c r="J454" s="1">
        <v>803852369.37632203</v>
      </c>
      <c r="K454" s="1">
        <v>0</v>
      </c>
      <c r="L454" s="1">
        <v>0</v>
      </c>
      <c r="M454" s="1">
        <v>0</v>
      </c>
      <c r="N454" s="1" t="s">
        <v>44</v>
      </c>
      <c r="O454" s="1">
        <v>0</v>
      </c>
      <c r="P454" s="1">
        <v>1</v>
      </c>
      <c r="Q454" s="83">
        <v>206.75819999999999</v>
      </c>
      <c r="R454" s="83">
        <v>206.75819999999999</v>
      </c>
      <c r="S454" s="1">
        <v>206.75819999999999</v>
      </c>
      <c r="T454" s="83">
        <v>0</v>
      </c>
      <c r="U454" s="1" t="s">
        <v>122</v>
      </c>
      <c r="V454" s="1" t="s">
        <v>852</v>
      </c>
      <c r="W454" s="1">
        <v>3949.1976460300002</v>
      </c>
      <c r="X454" s="1"/>
      <c r="Y454" s="83" t="str">
        <f>VLOOKUP(LossTable[[#This Row],[Department]],$A$15:$B$40,2,FALSE)</f>
        <v>FP</v>
      </c>
    </row>
    <row r="455" spans="4:25" x14ac:dyDescent="0.25">
      <c r="D455" s="78">
        <v>126</v>
      </c>
      <c r="E455" s="78">
        <v>280037801</v>
      </c>
      <c r="F455" s="83" t="s">
        <v>92</v>
      </c>
      <c r="G455" s="1" t="s">
        <v>220</v>
      </c>
      <c r="H455" s="1" t="s">
        <v>16</v>
      </c>
      <c r="I455" s="1" t="s">
        <v>220</v>
      </c>
      <c r="J455" s="1">
        <v>48587349.7713634</v>
      </c>
      <c r="K455" s="1">
        <v>0</v>
      </c>
      <c r="L455" s="1">
        <v>0</v>
      </c>
      <c r="M455" s="1">
        <v>0</v>
      </c>
      <c r="N455" s="1" t="s">
        <v>44</v>
      </c>
      <c r="O455" s="1">
        <v>0</v>
      </c>
      <c r="P455" s="1">
        <v>1</v>
      </c>
      <c r="Q455" s="83">
        <v>378.96783599999998</v>
      </c>
      <c r="R455" s="83">
        <v>378.96783599999998</v>
      </c>
      <c r="S455" s="1">
        <v>378.96783599999998</v>
      </c>
      <c r="T455" s="83">
        <v>0</v>
      </c>
      <c r="U455" s="1" t="s">
        <v>122</v>
      </c>
      <c r="V455" s="1" t="s">
        <v>852</v>
      </c>
      <c r="W455" s="1">
        <v>3949.1976460300002</v>
      </c>
      <c r="X455" s="1"/>
      <c r="Y455" s="83" t="str">
        <f>VLOOKUP(LossTable[[#This Row],[Department]],$A$15:$B$40,2,FALSE)</f>
        <v>FP</v>
      </c>
    </row>
    <row r="456" spans="4:25" x14ac:dyDescent="0.25">
      <c r="D456" s="78">
        <v>145</v>
      </c>
      <c r="E456" s="78">
        <v>280037801</v>
      </c>
      <c r="F456" s="83" t="s">
        <v>45</v>
      </c>
      <c r="G456" s="1" t="s">
        <v>46</v>
      </c>
      <c r="H456" s="1" t="s">
        <v>16</v>
      </c>
      <c r="I456" s="1" t="s">
        <v>46</v>
      </c>
      <c r="J456" s="1">
        <v>1930756483</v>
      </c>
      <c r="K456" s="1">
        <v>0</v>
      </c>
      <c r="L456" s="1">
        <v>0</v>
      </c>
      <c r="M456" s="1">
        <v>0</v>
      </c>
      <c r="N456" s="1" t="s">
        <v>44</v>
      </c>
      <c r="O456" s="1">
        <v>0</v>
      </c>
      <c r="P456" s="1">
        <v>1</v>
      </c>
      <c r="Q456" s="83">
        <v>133528.73061599999</v>
      </c>
      <c r="R456" s="83">
        <v>133528.73061599999</v>
      </c>
      <c r="S456" s="1">
        <v>133528.73061599999</v>
      </c>
      <c r="T456" s="83">
        <v>0</v>
      </c>
      <c r="U456" s="1" t="s">
        <v>122</v>
      </c>
      <c r="V456" s="1" t="s">
        <v>852</v>
      </c>
      <c r="W456" s="1">
        <v>3949.1976460300002</v>
      </c>
      <c r="X456" s="1"/>
      <c r="Y456" s="83" t="str">
        <f>VLOOKUP(LossTable[[#This Row],[Department]],$A$15:$B$40,2,FALSE)</f>
        <v>FP</v>
      </c>
    </row>
    <row r="457" spans="4:25" x14ac:dyDescent="0.25">
      <c r="D457" s="78">
        <v>288756</v>
      </c>
      <c r="E457" s="78">
        <v>280037801</v>
      </c>
      <c r="F457" s="83" t="s">
        <v>87</v>
      </c>
      <c r="G457" s="1" t="s">
        <v>223</v>
      </c>
      <c r="H457" s="1" t="s">
        <v>14</v>
      </c>
      <c r="I457" s="1" t="s">
        <v>222</v>
      </c>
      <c r="J457" s="1">
        <v>1391867.3</v>
      </c>
      <c r="K457" s="1">
        <v>1391867.3</v>
      </c>
      <c r="L457" s="1">
        <v>0</v>
      </c>
      <c r="M457" s="1">
        <v>0</v>
      </c>
      <c r="N457" s="1" t="s">
        <v>14</v>
      </c>
      <c r="O457" s="1">
        <v>3.5922959999999997E-2</v>
      </c>
      <c r="P457" s="1">
        <v>1</v>
      </c>
      <c r="Q457" s="83">
        <v>2.66</v>
      </c>
      <c r="R457" s="83">
        <v>2.66</v>
      </c>
      <c r="S457" s="1">
        <v>2.66</v>
      </c>
      <c r="T457" s="83">
        <v>0</v>
      </c>
      <c r="U457" s="1" t="s">
        <v>122</v>
      </c>
      <c r="V457" s="1" t="s">
        <v>852</v>
      </c>
      <c r="W457" s="1">
        <v>3949.1976460300002</v>
      </c>
      <c r="X457" s="1"/>
      <c r="Y457" s="83" t="str">
        <f>VLOOKUP(LossTable[[#This Row],[Department]],$A$15:$B$40,2,FALSE)</f>
        <v>Insurance</v>
      </c>
    </row>
    <row r="458" spans="4:25" x14ac:dyDescent="0.25">
      <c r="D458" s="78">
        <v>326823</v>
      </c>
      <c r="E458" s="78">
        <v>280037801</v>
      </c>
      <c r="F458" s="83" t="s">
        <v>130</v>
      </c>
      <c r="G458" s="1" t="s">
        <v>252</v>
      </c>
      <c r="H458" s="1" t="s">
        <v>16</v>
      </c>
      <c r="I458" s="1" t="s">
        <v>253</v>
      </c>
      <c r="J458" s="1">
        <v>-2092219.9</v>
      </c>
      <c r="K458" s="1">
        <v>-2092219.9</v>
      </c>
      <c r="L458" s="1">
        <v>0</v>
      </c>
      <c r="M458" s="1">
        <v>0</v>
      </c>
      <c r="N458" s="1" t="s">
        <v>254</v>
      </c>
      <c r="O458" s="1">
        <v>0</v>
      </c>
      <c r="P458" s="1">
        <v>1</v>
      </c>
      <c r="Q458" s="83">
        <v>0</v>
      </c>
      <c r="R458" s="83">
        <v>0</v>
      </c>
      <c r="S458" s="1">
        <v>-572.08000000000004</v>
      </c>
      <c r="T458" s="83">
        <v>0</v>
      </c>
      <c r="U458" s="1" t="s">
        <v>122</v>
      </c>
      <c r="V458" s="1" t="s">
        <v>852</v>
      </c>
      <c r="W458" s="1">
        <v>3949.1976460300002</v>
      </c>
      <c r="X458" s="1"/>
      <c r="Y458" s="83" t="str">
        <f>VLOOKUP(LossTable[[#This Row],[Department]],$A$15:$B$40,2,FALSE)</f>
        <v>Insurance</v>
      </c>
    </row>
    <row r="459" spans="4:25" x14ac:dyDescent="0.25">
      <c r="D459" s="78">
        <v>329065</v>
      </c>
      <c r="E459" s="78">
        <v>280037801</v>
      </c>
      <c r="F459" s="83" t="s">
        <v>149</v>
      </c>
      <c r="G459" s="1" t="s">
        <v>225</v>
      </c>
      <c r="H459" s="1" t="s">
        <v>14</v>
      </c>
      <c r="I459" s="1" t="s">
        <v>64</v>
      </c>
      <c r="J459" s="1">
        <v>202012148.33000001</v>
      </c>
      <c r="K459" s="1">
        <v>202012148.33000001</v>
      </c>
      <c r="L459" s="1">
        <v>0</v>
      </c>
      <c r="M459" s="1">
        <v>0</v>
      </c>
      <c r="N459" s="1" t="s">
        <v>14</v>
      </c>
      <c r="O459" s="1">
        <v>3.9601579999999997E-2</v>
      </c>
      <c r="P459" s="1">
        <v>1</v>
      </c>
      <c r="Q459" s="83">
        <v>2275.63</v>
      </c>
      <c r="R459" s="83">
        <v>2275.63</v>
      </c>
      <c r="S459" s="1">
        <v>2275.63</v>
      </c>
      <c r="T459" s="83">
        <v>0</v>
      </c>
      <c r="U459" s="1" t="s">
        <v>122</v>
      </c>
      <c r="V459" s="1" t="s">
        <v>852</v>
      </c>
      <c r="W459" s="1">
        <v>3949.1976460300002</v>
      </c>
      <c r="X459" s="1"/>
      <c r="Y459" s="83" t="str">
        <f>VLOOKUP(LossTable[[#This Row],[Department]],$A$15:$B$40,2,FALSE)</f>
        <v>Insurance</v>
      </c>
    </row>
    <row r="460" spans="4:25" x14ac:dyDescent="0.25">
      <c r="D460" s="78">
        <v>420178</v>
      </c>
      <c r="E460" s="78">
        <v>280037801</v>
      </c>
      <c r="F460" s="83" t="s">
        <v>94</v>
      </c>
      <c r="G460" s="1" t="s">
        <v>170</v>
      </c>
      <c r="H460" s="1" t="s">
        <v>16</v>
      </c>
      <c r="I460" s="1" t="s">
        <v>242</v>
      </c>
      <c r="J460" s="1">
        <v>704434.61609999998</v>
      </c>
      <c r="K460" s="1">
        <v>15654102.58</v>
      </c>
      <c r="L460" s="1">
        <v>0</v>
      </c>
      <c r="M460" s="1">
        <v>0</v>
      </c>
      <c r="N460" s="1" t="s">
        <v>243</v>
      </c>
      <c r="O460" s="1">
        <v>0.21496517000000001</v>
      </c>
      <c r="P460" s="1">
        <v>4.4999999999999998E-2</v>
      </c>
      <c r="Q460" s="83">
        <v>61.594650000000001</v>
      </c>
      <c r="R460" s="83">
        <v>61.594650000000001</v>
      </c>
      <c r="S460" s="1">
        <v>61.594650000000001</v>
      </c>
      <c r="T460" s="83">
        <v>0</v>
      </c>
      <c r="U460" s="1" t="s">
        <v>122</v>
      </c>
      <c r="V460" s="1" t="s">
        <v>852</v>
      </c>
      <c r="W460" s="1">
        <v>3949.1976460300002</v>
      </c>
      <c r="X460" s="1"/>
      <c r="Y460" s="83" t="str">
        <f>VLOOKUP(LossTable[[#This Row],[Department]],$A$15:$B$40,2,FALSE)</f>
        <v>TP</v>
      </c>
    </row>
    <row r="461" spans="4:25" x14ac:dyDescent="0.25">
      <c r="D461" s="78">
        <v>431319</v>
      </c>
      <c r="E461" s="78">
        <v>280037801</v>
      </c>
      <c r="F461" s="83" t="s">
        <v>94</v>
      </c>
      <c r="G461" s="1" t="s">
        <v>269</v>
      </c>
      <c r="H461" s="1" t="s">
        <v>16</v>
      </c>
      <c r="I461" s="1" t="s">
        <v>270</v>
      </c>
      <c r="J461" s="1">
        <v>817989.91020000004</v>
      </c>
      <c r="K461" s="1">
        <v>9088776.7799999993</v>
      </c>
      <c r="L461" s="1">
        <v>0</v>
      </c>
      <c r="M461" s="1">
        <v>0</v>
      </c>
      <c r="N461" s="1" t="s">
        <v>271</v>
      </c>
      <c r="O461" s="1">
        <v>1.07922893</v>
      </c>
      <c r="P461" s="1">
        <v>0.09</v>
      </c>
      <c r="Q461" s="83">
        <v>896.85630000000003</v>
      </c>
      <c r="R461" s="83">
        <v>896.85630000000003</v>
      </c>
      <c r="S461" s="1">
        <v>896.85630000000003</v>
      </c>
      <c r="T461" s="83">
        <v>0</v>
      </c>
      <c r="U461" s="1" t="s">
        <v>122</v>
      </c>
      <c r="V461" s="1" t="s">
        <v>852</v>
      </c>
      <c r="W461" s="1">
        <v>3949.1976460300002</v>
      </c>
      <c r="X461" s="1"/>
      <c r="Y461" s="83" t="str">
        <f>VLOOKUP(LossTable[[#This Row],[Department]],$A$15:$B$40,2,FALSE)</f>
        <v>TP</v>
      </c>
    </row>
    <row r="462" spans="4:25" x14ac:dyDescent="0.25">
      <c r="D462" s="78">
        <v>2</v>
      </c>
      <c r="E462" s="78">
        <v>280014790</v>
      </c>
      <c r="F462" s="83" t="s">
        <v>121</v>
      </c>
      <c r="G462" s="1" t="s">
        <v>26</v>
      </c>
      <c r="H462" s="1" t="s">
        <v>14</v>
      </c>
      <c r="I462" s="1" t="s">
        <v>122</v>
      </c>
      <c r="J462" s="1">
        <v>0</v>
      </c>
      <c r="K462" s="1">
        <v>0</v>
      </c>
      <c r="L462" s="1">
        <v>0</v>
      </c>
      <c r="M462" s="1">
        <v>0</v>
      </c>
      <c r="N462" s="1" t="s">
        <v>122</v>
      </c>
      <c r="O462" s="1">
        <v>0</v>
      </c>
      <c r="P462" s="1">
        <v>1</v>
      </c>
      <c r="Q462" s="83">
        <v>0</v>
      </c>
      <c r="R462" s="83">
        <v>0</v>
      </c>
      <c r="S462" s="1">
        <v>-152403.37031249999</v>
      </c>
      <c r="T462" s="83">
        <v>-13180.733512186</v>
      </c>
      <c r="U462" s="1" t="s">
        <v>122</v>
      </c>
      <c r="V462" s="1" t="s">
        <v>836</v>
      </c>
      <c r="W462" s="1">
        <v>4781.60363426</v>
      </c>
      <c r="X462" s="1"/>
      <c r="Y462" s="83" t="str">
        <f>VLOOKUP(LossTable[[#This Row],[Department]],$A$15:$B$40,2,FALSE)</f>
        <v>AF</v>
      </c>
    </row>
    <row r="463" spans="4:25" x14ac:dyDescent="0.25">
      <c r="D463" s="78">
        <v>109</v>
      </c>
      <c r="E463" s="78">
        <v>280014790</v>
      </c>
      <c r="F463" s="83" t="s">
        <v>86</v>
      </c>
      <c r="G463" s="1" t="s">
        <v>217</v>
      </c>
      <c r="H463" s="1" t="s">
        <v>16</v>
      </c>
      <c r="I463" s="1" t="s">
        <v>217</v>
      </c>
      <c r="J463" s="1">
        <v>87372584.063106105</v>
      </c>
      <c r="K463" s="1">
        <v>0</v>
      </c>
      <c r="L463" s="1">
        <v>0</v>
      </c>
      <c r="M463" s="1">
        <v>0</v>
      </c>
      <c r="N463" s="1" t="s">
        <v>44</v>
      </c>
      <c r="O463" s="1">
        <v>0</v>
      </c>
      <c r="P463" s="1">
        <v>1</v>
      </c>
      <c r="Q463" s="83">
        <v>132655.62963400001</v>
      </c>
      <c r="R463" s="83">
        <v>132655.62963400001</v>
      </c>
      <c r="S463" s="1">
        <v>132655.62963400001</v>
      </c>
      <c r="T463" s="83">
        <v>0</v>
      </c>
      <c r="U463" s="1" t="s">
        <v>122</v>
      </c>
      <c r="V463" s="1" t="s">
        <v>836</v>
      </c>
      <c r="W463" s="1">
        <v>4781.60363426</v>
      </c>
      <c r="X463" s="1"/>
      <c r="Y463" s="83" t="str">
        <f>VLOOKUP(LossTable[[#This Row],[Department]],$A$15:$B$40,2,FALSE)</f>
        <v>FP</v>
      </c>
    </row>
    <row r="464" spans="4:25" x14ac:dyDescent="0.25">
      <c r="D464" s="78">
        <v>116</v>
      </c>
      <c r="E464" s="78">
        <v>280014790</v>
      </c>
      <c r="F464" s="83" t="s">
        <v>42</v>
      </c>
      <c r="G464" s="1" t="s">
        <v>43</v>
      </c>
      <c r="H464" s="1" t="s">
        <v>16</v>
      </c>
      <c r="I464" s="1" t="s">
        <v>43</v>
      </c>
      <c r="J464" s="1">
        <v>88718863.125521794</v>
      </c>
      <c r="K464" s="1">
        <v>0</v>
      </c>
      <c r="L464" s="1">
        <v>0</v>
      </c>
      <c r="M464" s="1">
        <v>0</v>
      </c>
      <c r="N464" s="1" t="s">
        <v>44</v>
      </c>
      <c r="O464" s="1">
        <v>0</v>
      </c>
      <c r="P464" s="1">
        <v>1</v>
      </c>
      <c r="Q464" s="83">
        <v>824.451055</v>
      </c>
      <c r="R464" s="83">
        <v>824.451055</v>
      </c>
      <c r="S464" s="1">
        <v>824.451055</v>
      </c>
      <c r="T464" s="83">
        <v>0</v>
      </c>
      <c r="U464" s="1" t="s">
        <v>122</v>
      </c>
      <c r="V464" s="1" t="s">
        <v>836</v>
      </c>
      <c r="W464" s="1">
        <v>4781.60363426</v>
      </c>
      <c r="X464" s="1"/>
      <c r="Y464" s="83" t="str">
        <f>VLOOKUP(LossTable[[#This Row],[Department]],$A$15:$B$40,2,FALSE)</f>
        <v>FP</v>
      </c>
    </row>
    <row r="465" spans="4:25" x14ac:dyDescent="0.25">
      <c r="D465" s="78">
        <v>128</v>
      </c>
      <c r="E465" s="78">
        <v>280014790</v>
      </c>
      <c r="F465" s="83" t="s">
        <v>92</v>
      </c>
      <c r="G465" s="1" t="s">
        <v>220</v>
      </c>
      <c r="H465" s="1" t="s">
        <v>16</v>
      </c>
      <c r="I465" s="1" t="s">
        <v>220</v>
      </c>
      <c r="J465" s="1">
        <v>53671848.623498403</v>
      </c>
      <c r="K465" s="1">
        <v>0</v>
      </c>
      <c r="L465" s="1">
        <v>0</v>
      </c>
      <c r="M465" s="1">
        <v>0</v>
      </c>
      <c r="N465" s="1" t="s">
        <v>44</v>
      </c>
      <c r="O465" s="1">
        <v>0</v>
      </c>
      <c r="P465" s="1">
        <v>1</v>
      </c>
      <c r="Q465" s="83">
        <v>24186.965295999998</v>
      </c>
      <c r="R465" s="83">
        <v>24186.965295999998</v>
      </c>
      <c r="S465" s="1">
        <v>24186.965295999998</v>
      </c>
      <c r="T465" s="83">
        <v>0</v>
      </c>
      <c r="U465" s="1" t="s">
        <v>122</v>
      </c>
      <c r="V465" s="1" t="s">
        <v>836</v>
      </c>
      <c r="W465" s="1">
        <v>4781.60363426</v>
      </c>
      <c r="X465" s="1"/>
      <c r="Y465" s="83" t="str">
        <f>VLOOKUP(LossTable[[#This Row],[Department]],$A$15:$B$40,2,FALSE)</f>
        <v>FP</v>
      </c>
    </row>
    <row r="466" spans="4:25" x14ac:dyDescent="0.25">
      <c r="D466" s="78">
        <v>147</v>
      </c>
      <c r="E466" s="78">
        <v>280014790</v>
      </c>
      <c r="F466" s="83" t="s">
        <v>45</v>
      </c>
      <c r="G466" s="1" t="s">
        <v>46</v>
      </c>
      <c r="H466" s="1" t="s">
        <v>16</v>
      </c>
      <c r="I466" s="1" t="s">
        <v>46</v>
      </c>
      <c r="J466" s="1">
        <v>1347147300</v>
      </c>
      <c r="K466" s="1">
        <v>0</v>
      </c>
      <c r="L466" s="1">
        <v>0</v>
      </c>
      <c r="M466" s="1">
        <v>0</v>
      </c>
      <c r="N466" s="1" t="s">
        <v>44</v>
      </c>
      <c r="O466" s="1">
        <v>0</v>
      </c>
      <c r="P466" s="1">
        <v>1</v>
      </c>
      <c r="Q466" s="83">
        <v>247623.38931900001</v>
      </c>
      <c r="R466" s="83">
        <v>247623.38931900001</v>
      </c>
      <c r="S466" s="1">
        <v>247623.38931900001</v>
      </c>
      <c r="T466" s="83">
        <v>0</v>
      </c>
      <c r="U466" s="1" t="s">
        <v>122</v>
      </c>
      <c r="V466" s="1" t="s">
        <v>836</v>
      </c>
      <c r="W466" s="1">
        <v>4781.60363426</v>
      </c>
      <c r="X466" s="1"/>
      <c r="Y466" s="83" t="str">
        <f>VLOOKUP(LossTable[[#This Row],[Department]],$A$15:$B$40,2,FALSE)</f>
        <v>FP</v>
      </c>
    </row>
    <row r="467" spans="4:25" x14ac:dyDescent="0.25">
      <c r="D467" s="78">
        <v>288758</v>
      </c>
      <c r="E467" s="78">
        <v>280014790</v>
      </c>
      <c r="F467" s="83" t="s">
        <v>87</v>
      </c>
      <c r="G467" s="1" t="s">
        <v>224</v>
      </c>
      <c r="H467" s="1" t="s">
        <v>14</v>
      </c>
      <c r="I467" s="1" t="s">
        <v>222</v>
      </c>
      <c r="J467" s="1">
        <v>1020000</v>
      </c>
      <c r="K467" s="1">
        <v>1020000</v>
      </c>
      <c r="L467" s="1">
        <v>0</v>
      </c>
      <c r="M467" s="1">
        <v>0</v>
      </c>
      <c r="N467" s="1" t="s">
        <v>14</v>
      </c>
      <c r="O467" s="1">
        <v>9.8039219999999996E-2</v>
      </c>
      <c r="P467" s="1">
        <v>1</v>
      </c>
      <c r="Q467" s="83">
        <v>400.7</v>
      </c>
      <c r="R467" s="83">
        <v>400.7</v>
      </c>
      <c r="S467" s="1">
        <v>400.7</v>
      </c>
      <c r="T467" s="83">
        <v>0</v>
      </c>
      <c r="U467" s="1" t="s">
        <v>122</v>
      </c>
      <c r="V467" s="1" t="s">
        <v>836</v>
      </c>
      <c r="W467" s="1">
        <v>4781.60363426</v>
      </c>
      <c r="X467" s="1"/>
      <c r="Y467" s="83" t="str">
        <f>VLOOKUP(LossTable[[#This Row],[Department]],$A$15:$B$40,2,FALSE)</f>
        <v>Insurance</v>
      </c>
    </row>
    <row r="468" spans="4:25" x14ac:dyDescent="0.25">
      <c r="D468" s="78">
        <v>329067</v>
      </c>
      <c r="E468" s="78">
        <v>280014790</v>
      </c>
      <c r="F468" s="83" t="s">
        <v>127</v>
      </c>
      <c r="G468" s="1" t="s">
        <v>128</v>
      </c>
      <c r="H468" s="1" t="s">
        <v>14</v>
      </c>
      <c r="I468" s="1" t="s">
        <v>129</v>
      </c>
      <c r="J468" s="1">
        <v>100178784.83</v>
      </c>
      <c r="K468" s="1">
        <v>100178784.83</v>
      </c>
      <c r="L468" s="1">
        <v>0</v>
      </c>
      <c r="M468" s="1">
        <v>0</v>
      </c>
      <c r="N468" s="1" t="s">
        <v>14</v>
      </c>
      <c r="O468" s="1">
        <v>2.4955379999999999E-2</v>
      </c>
      <c r="P468" s="1">
        <v>1</v>
      </c>
      <c r="Q468" s="83">
        <v>123548.93</v>
      </c>
      <c r="R468" s="83">
        <v>123548.93</v>
      </c>
      <c r="S468" s="1">
        <v>123548.93</v>
      </c>
      <c r="T468" s="83">
        <v>0</v>
      </c>
      <c r="U468" s="1" t="s">
        <v>122</v>
      </c>
      <c r="V468" s="1" t="s">
        <v>836</v>
      </c>
      <c r="W468" s="1">
        <v>4781.60363426</v>
      </c>
      <c r="X468" s="1"/>
      <c r="Y468" s="83" t="str">
        <f>VLOOKUP(LossTable[[#This Row],[Department]],$A$15:$B$40,2,FALSE)</f>
        <v>Insurance</v>
      </c>
    </row>
    <row r="469" spans="4:25" x14ac:dyDescent="0.25">
      <c r="D469" s="78">
        <v>387391</v>
      </c>
      <c r="E469" s="78">
        <v>280014790</v>
      </c>
      <c r="F469" s="83" t="s">
        <v>87</v>
      </c>
      <c r="G469" s="1" t="s">
        <v>151</v>
      </c>
      <c r="H469" s="1" t="s">
        <v>14</v>
      </c>
      <c r="I469" s="1" t="s">
        <v>152</v>
      </c>
      <c r="J469" s="1">
        <v>352227968.97000003</v>
      </c>
      <c r="K469" s="1">
        <v>352227968.97000003</v>
      </c>
      <c r="L469" s="1">
        <v>0</v>
      </c>
      <c r="M469" s="1">
        <v>0</v>
      </c>
      <c r="N469" s="1" t="s">
        <v>14</v>
      </c>
      <c r="O469" s="1">
        <v>2.83907E-3</v>
      </c>
      <c r="P469" s="1">
        <v>1</v>
      </c>
      <c r="Q469" s="83">
        <v>1413.76</v>
      </c>
      <c r="R469" s="83">
        <v>1413.76</v>
      </c>
      <c r="S469" s="1">
        <v>1413.76</v>
      </c>
      <c r="T469" s="83">
        <v>0</v>
      </c>
      <c r="U469" s="1" t="s">
        <v>122</v>
      </c>
      <c r="V469" s="1" t="s">
        <v>836</v>
      </c>
      <c r="W469" s="1">
        <v>4781.60363426</v>
      </c>
      <c r="X469" s="1"/>
      <c r="Y469" s="83" t="str">
        <f>VLOOKUP(LossTable[[#This Row],[Department]],$A$15:$B$40,2,FALSE)</f>
        <v>Insurance</v>
      </c>
    </row>
    <row r="470" spans="4:25" x14ac:dyDescent="0.25">
      <c r="D470" s="78">
        <v>388108</v>
      </c>
      <c r="E470" s="78">
        <v>280014790</v>
      </c>
      <c r="F470" s="83" t="s">
        <v>133</v>
      </c>
      <c r="G470" s="1" t="s">
        <v>140</v>
      </c>
      <c r="H470" s="1" t="s">
        <v>14</v>
      </c>
      <c r="I470" s="1" t="s">
        <v>141</v>
      </c>
      <c r="J470" s="1">
        <v>394874353.98000002</v>
      </c>
      <c r="K470" s="1">
        <v>394874353.98000002</v>
      </c>
      <c r="L470" s="1">
        <v>0</v>
      </c>
      <c r="M470" s="1">
        <v>0</v>
      </c>
      <c r="N470" s="1" t="s">
        <v>14</v>
      </c>
      <c r="O470" s="1">
        <v>2.5325E-4</v>
      </c>
      <c r="P470" s="1">
        <v>1</v>
      </c>
      <c r="Q470" s="83">
        <v>237785.81</v>
      </c>
      <c r="R470" s="83">
        <v>237785.81</v>
      </c>
      <c r="S470" s="1">
        <v>237785.81</v>
      </c>
      <c r="T470" s="83">
        <v>0</v>
      </c>
      <c r="U470" s="1" t="s">
        <v>122</v>
      </c>
      <c r="V470" s="1" t="s">
        <v>836</v>
      </c>
      <c r="W470" s="1">
        <v>4781.60363426</v>
      </c>
      <c r="X470" s="1"/>
      <c r="Y470" s="83" t="str">
        <f>VLOOKUP(LossTable[[#This Row],[Department]],$A$15:$B$40,2,FALSE)</f>
        <v>Insurance</v>
      </c>
    </row>
    <row r="471" spans="4:25" x14ac:dyDescent="0.25">
      <c r="D471" s="78">
        <v>427752</v>
      </c>
      <c r="E471" s="78">
        <v>280014790</v>
      </c>
      <c r="F471" s="83" t="s">
        <v>94</v>
      </c>
      <c r="G471" s="1" t="s">
        <v>244</v>
      </c>
      <c r="H471" s="1" t="s">
        <v>14</v>
      </c>
      <c r="I471" s="1" t="s">
        <v>245</v>
      </c>
      <c r="J471" s="1">
        <v>1000000</v>
      </c>
      <c r="K471" s="1">
        <v>10000000</v>
      </c>
      <c r="L471" s="1">
        <v>0</v>
      </c>
      <c r="M471" s="1">
        <v>0</v>
      </c>
      <c r="N471" s="1" t="s">
        <v>176</v>
      </c>
      <c r="O471" s="1">
        <v>1.01</v>
      </c>
      <c r="P471" s="1">
        <v>0.1</v>
      </c>
      <c r="Q471" s="83">
        <v>36361.294000000002</v>
      </c>
      <c r="R471" s="83">
        <v>36361.294000000002</v>
      </c>
      <c r="S471" s="1">
        <v>36361.294000000002</v>
      </c>
      <c r="T471" s="83">
        <v>0</v>
      </c>
      <c r="U471" s="1" t="s">
        <v>122</v>
      </c>
      <c r="V471" s="1" t="s">
        <v>836</v>
      </c>
      <c r="W471" s="1">
        <v>4781.60363426</v>
      </c>
      <c r="X471" s="1"/>
      <c r="Y471" s="83" t="str">
        <f>VLOOKUP(LossTable[[#This Row],[Department]],$A$15:$B$40,2,FALSE)</f>
        <v>TP</v>
      </c>
    </row>
    <row r="472" spans="4:25" x14ac:dyDescent="0.25">
      <c r="D472" s="78">
        <v>427961</v>
      </c>
      <c r="E472" s="78">
        <v>280014790</v>
      </c>
      <c r="F472" s="83" t="s">
        <v>94</v>
      </c>
      <c r="G472" s="1" t="s">
        <v>344</v>
      </c>
      <c r="H472" s="1" t="s">
        <v>16</v>
      </c>
      <c r="I472" s="1" t="s">
        <v>755</v>
      </c>
      <c r="J472" s="1">
        <v>200000</v>
      </c>
      <c r="K472" s="1">
        <v>10000000</v>
      </c>
      <c r="L472" s="1">
        <v>0</v>
      </c>
      <c r="M472" s="1">
        <v>0</v>
      </c>
      <c r="N472" s="1" t="s">
        <v>315</v>
      </c>
      <c r="O472" s="1">
        <v>0.40000011000000002</v>
      </c>
      <c r="P472" s="1">
        <v>0.02</v>
      </c>
      <c r="Q472" s="83">
        <v>1351.2750000000001</v>
      </c>
      <c r="R472" s="83">
        <v>1351.2750000000001</v>
      </c>
      <c r="S472" s="1">
        <v>1351.2750000000001</v>
      </c>
      <c r="T472" s="83">
        <v>0</v>
      </c>
      <c r="U472" s="1" t="s">
        <v>122</v>
      </c>
      <c r="V472" s="1" t="s">
        <v>836</v>
      </c>
      <c r="W472" s="1">
        <v>4781.60363426</v>
      </c>
      <c r="X472" s="1"/>
      <c r="Y472" s="83" t="str">
        <f>VLOOKUP(LossTable[[#This Row],[Department]],$A$15:$B$40,2,FALSE)</f>
        <v>TP</v>
      </c>
    </row>
    <row r="473" spans="4:25" x14ac:dyDescent="0.25">
      <c r="D473" s="78">
        <v>431335</v>
      </c>
      <c r="E473" s="78">
        <v>280014790</v>
      </c>
      <c r="F473" s="83" t="s">
        <v>94</v>
      </c>
      <c r="G473" s="1" t="s">
        <v>255</v>
      </c>
      <c r="H473" s="1" t="s">
        <v>16</v>
      </c>
      <c r="I473" s="1" t="s">
        <v>285</v>
      </c>
      <c r="J473" s="1">
        <v>3150000</v>
      </c>
      <c r="K473" s="1">
        <v>21000000</v>
      </c>
      <c r="L473" s="1">
        <v>0</v>
      </c>
      <c r="M473" s="1">
        <v>0</v>
      </c>
      <c r="N473" s="1" t="s">
        <v>286</v>
      </c>
      <c r="O473" s="1">
        <v>0.35020680999999998</v>
      </c>
      <c r="P473" s="1">
        <v>0.15</v>
      </c>
      <c r="Q473" s="83">
        <v>2019.2325000000001</v>
      </c>
      <c r="R473" s="83">
        <v>2019.2325000000001</v>
      </c>
      <c r="S473" s="1">
        <v>2019.2325000000001</v>
      </c>
      <c r="T473" s="83">
        <v>0</v>
      </c>
      <c r="U473" s="1" t="s">
        <v>122</v>
      </c>
      <c r="V473" s="1" t="s">
        <v>836</v>
      </c>
      <c r="W473" s="1">
        <v>4781.60363426</v>
      </c>
      <c r="X473" s="1"/>
      <c r="Y473" s="83" t="str">
        <f>VLOOKUP(LossTable[[#This Row],[Department]],$A$15:$B$40,2,FALSE)</f>
        <v>TP</v>
      </c>
    </row>
    <row r="474" spans="4:25" x14ac:dyDescent="0.25">
      <c r="D474" s="78">
        <v>432368</v>
      </c>
      <c r="E474" s="78">
        <v>280014790</v>
      </c>
      <c r="F474" s="83" t="s">
        <v>12</v>
      </c>
      <c r="G474" s="1" t="s">
        <v>172</v>
      </c>
      <c r="H474" s="1" t="s">
        <v>14</v>
      </c>
      <c r="I474" s="1" t="s">
        <v>173</v>
      </c>
      <c r="J474" s="1">
        <v>7800000</v>
      </c>
      <c r="K474" s="1">
        <v>390000000</v>
      </c>
      <c r="L474" s="1">
        <v>0</v>
      </c>
      <c r="M474" s="1">
        <v>0</v>
      </c>
      <c r="N474" s="1" t="s">
        <v>122</v>
      </c>
      <c r="O474" s="1">
        <v>1.1220538499999999</v>
      </c>
      <c r="P474" s="1">
        <v>0.02</v>
      </c>
      <c r="Q474" s="83">
        <v>175694.4572</v>
      </c>
      <c r="R474" s="83">
        <v>175694.4572</v>
      </c>
      <c r="S474" s="1">
        <v>175694.4572</v>
      </c>
      <c r="T474" s="83">
        <v>0</v>
      </c>
      <c r="U474" s="1" t="s">
        <v>122</v>
      </c>
      <c r="V474" s="1" t="s">
        <v>836</v>
      </c>
      <c r="W474" s="1">
        <v>4781.60363426</v>
      </c>
      <c r="X474" s="1"/>
      <c r="Y474" s="83" t="str">
        <f>VLOOKUP(LossTable[[#This Row],[Department]],$A$15:$B$40,2,FALSE)</f>
        <v>Bermuda</v>
      </c>
    </row>
    <row r="475" spans="4:25" x14ac:dyDescent="0.25">
      <c r="D475" s="78">
        <v>433028</v>
      </c>
      <c r="E475" s="78">
        <v>280014790</v>
      </c>
      <c r="F475" s="83" t="s">
        <v>94</v>
      </c>
      <c r="G475" s="1" t="s">
        <v>367</v>
      </c>
      <c r="H475" s="1" t="s">
        <v>16</v>
      </c>
      <c r="I475" s="1" t="s">
        <v>377</v>
      </c>
      <c r="J475" s="1">
        <v>2000000</v>
      </c>
      <c r="K475" s="1">
        <v>20000000</v>
      </c>
      <c r="L475" s="1">
        <v>0</v>
      </c>
      <c r="M475" s="1">
        <v>0</v>
      </c>
      <c r="N475" s="1" t="s">
        <v>284</v>
      </c>
      <c r="O475" s="1">
        <v>0.13881784</v>
      </c>
      <c r="P475" s="1">
        <v>0.1</v>
      </c>
      <c r="Q475" s="83">
        <v>11328.157999999999</v>
      </c>
      <c r="R475" s="83">
        <v>11328.157999999999</v>
      </c>
      <c r="S475" s="1">
        <v>11328.157999999999</v>
      </c>
      <c r="T475" s="83">
        <v>0</v>
      </c>
      <c r="U475" s="1" t="s">
        <v>122</v>
      </c>
      <c r="V475" s="1" t="s">
        <v>836</v>
      </c>
      <c r="W475" s="1">
        <v>4781.60363426</v>
      </c>
      <c r="X475" s="1"/>
      <c r="Y475" s="83" t="str">
        <f>VLOOKUP(LossTable[[#This Row],[Department]],$A$15:$B$40,2,FALSE)</f>
        <v>TP</v>
      </c>
    </row>
    <row r="476" spans="4:25" x14ac:dyDescent="0.25">
      <c r="D476" s="78">
        <v>434018</v>
      </c>
      <c r="E476" s="78">
        <v>280014790</v>
      </c>
      <c r="F476" s="83" t="s">
        <v>94</v>
      </c>
      <c r="G476" s="1" t="s">
        <v>301</v>
      </c>
      <c r="H476" s="1" t="s">
        <v>16</v>
      </c>
      <c r="I476" s="1" t="s">
        <v>302</v>
      </c>
      <c r="J476" s="1">
        <v>562500</v>
      </c>
      <c r="K476" s="1">
        <v>7500000</v>
      </c>
      <c r="L476" s="1">
        <v>0</v>
      </c>
      <c r="M476" s="1">
        <v>0</v>
      </c>
      <c r="N476" s="1" t="s">
        <v>303</v>
      </c>
      <c r="O476" s="1">
        <v>0.105</v>
      </c>
      <c r="P476" s="1">
        <v>7.4999999999999997E-2</v>
      </c>
      <c r="Q476" s="83">
        <v>21.797999999999998</v>
      </c>
      <c r="R476" s="83">
        <v>21.797999999999998</v>
      </c>
      <c r="S476" s="1">
        <v>21.797999999999998</v>
      </c>
      <c r="T476" s="83">
        <v>0</v>
      </c>
      <c r="U476" s="1" t="s">
        <v>122</v>
      </c>
      <c r="V476" s="1" t="s">
        <v>836</v>
      </c>
      <c r="W476" s="1">
        <v>4781.60363426</v>
      </c>
      <c r="X476" s="1"/>
      <c r="Y476" s="83" t="str">
        <f>VLOOKUP(LossTable[[#This Row],[Department]],$A$15:$B$40,2,FALSE)</f>
        <v>TP</v>
      </c>
    </row>
    <row r="477" spans="4:25" x14ac:dyDescent="0.25">
      <c r="D477" s="78">
        <v>434875</v>
      </c>
      <c r="E477" s="78">
        <v>280014790</v>
      </c>
      <c r="F477" s="83" t="s">
        <v>94</v>
      </c>
      <c r="G477" s="1" t="s">
        <v>339</v>
      </c>
      <c r="H477" s="1" t="s">
        <v>16</v>
      </c>
      <c r="I477" s="1" t="s">
        <v>340</v>
      </c>
      <c r="J477" s="1">
        <v>1575000</v>
      </c>
      <c r="K477" s="1">
        <v>45000000</v>
      </c>
      <c r="L477" s="1">
        <v>0</v>
      </c>
      <c r="M477" s="1">
        <v>0</v>
      </c>
      <c r="N477" s="1" t="s">
        <v>341</v>
      </c>
      <c r="O477" s="1">
        <v>0.29499999999999998</v>
      </c>
      <c r="P477" s="1">
        <v>3.5000000000000003E-2</v>
      </c>
      <c r="Q477" s="83">
        <v>93.945949999999996</v>
      </c>
      <c r="R477" s="83">
        <v>93.945949999999996</v>
      </c>
      <c r="S477" s="1">
        <v>93.945949999999996</v>
      </c>
      <c r="T477" s="83">
        <v>0</v>
      </c>
      <c r="U477" s="1" t="s">
        <v>122</v>
      </c>
      <c r="V477" s="1" t="s">
        <v>836</v>
      </c>
      <c r="W477" s="1">
        <v>4781.60363426</v>
      </c>
      <c r="X477" s="1"/>
      <c r="Y477" s="83" t="str">
        <f>VLOOKUP(LossTable[[#This Row],[Department]],$A$15:$B$40,2,FALSE)</f>
        <v>TP</v>
      </c>
    </row>
    <row r="478" spans="4:25" x14ac:dyDescent="0.25">
      <c r="D478" s="78">
        <v>436537</v>
      </c>
      <c r="E478" s="78">
        <v>280014790</v>
      </c>
      <c r="F478" s="83" t="s">
        <v>94</v>
      </c>
      <c r="G478" s="1" t="s">
        <v>445</v>
      </c>
      <c r="H478" s="1" t="s">
        <v>16</v>
      </c>
      <c r="I478" s="1" t="s">
        <v>453</v>
      </c>
      <c r="J478" s="1">
        <v>20000000</v>
      </c>
      <c r="K478" s="1">
        <v>200000000</v>
      </c>
      <c r="L478" s="1">
        <v>0</v>
      </c>
      <c r="M478" s="1">
        <v>0</v>
      </c>
      <c r="N478" s="1" t="s">
        <v>122</v>
      </c>
      <c r="O478" s="1">
        <v>6.5000000000000002E-2</v>
      </c>
      <c r="P478" s="1">
        <v>0.1</v>
      </c>
      <c r="Q478" s="83">
        <v>1036.396</v>
      </c>
      <c r="R478" s="83">
        <v>1036.396</v>
      </c>
      <c r="S478" s="1">
        <v>1036.396</v>
      </c>
      <c r="T478" s="83">
        <v>0</v>
      </c>
      <c r="U478" s="1" t="s">
        <v>122</v>
      </c>
      <c r="V478" s="1" t="s">
        <v>836</v>
      </c>
      <c r="W478" s="1">
        <v>4781.60363426</v>
      </c>
      <c r="X478" s="1"/>
      <c r="Y478" s="83" t="str">
        <f>VLOOKUP(LossTable[[#This Row],[Department]],$A$15:$B$40,2,FALSE)</f>
        <v>TP</v>
      </c>
    </row>
    <row r="479" spans="4:25" x14ac:dyDescent="0.25">
      <c r="D479" s="78">
        <v>439462</v>
      </c>
      <c r="E479" s="78">
        <v>280014790</v>
      </c>
      <c r="F479" s="83" t="s">
        <v>94</v>
      </c>
      <c r="G479" s="1" t="s">
        <v>500</v>
      </c>
      <c r="H479" s="1" t="s">
        <v>14</v>
      </c>
      <c r="I479" s="1" t="s">
        <v>501</v>
      </c>
      <c r="J479" s="1">
        <v>8000000</v>
      </c>
      <c r="K479" s="1">
        <v>40000000</v>
      </c>
      <c r="L479" s="1">
        <v>0</v>
      </c>
      <c r="M479" s="1">
        <v>0</v>
      </c>
      <c r="N479" s="1" t="s">
        <v>400</v>
      </c>
      <c r="O479" s="1">
        <v>2.62402522</v>
      </c>
      <c r="P479" s="1">
        <v>0.2</v>
      </c>
      <c r="Q479" s="83">
        <v>1078488.906</v>
      </c>
      <c r="R479" s="83">
        <v>1078488.906</v>
      </c>
      <c r="S479" s="1">
        <v>1078488.906</v>
      </c>
      <c r="T479" s="83">
        <v>0</v>
      </c>
      <c r="U479" s="1" t="s">
        <v>122</v>
      </c>
      <c r="V479" s="1" t="s">
        <v>836</v>
      </c>
      <c r="W479" s="1">
        <v>4781.60363426</v>
      </c>
      <c r="X479" s="1"/>
      <c r="Y479" s="83" t="str">
        <f>VLOOKUP(LossTable[[#This Row],[Department]],$A$15:$B$40,2,FALSE)</f>
        <v>TP</v>
      </c>
    </row>
    <row r="480" spans="4:25" x14ac:dyDescent="0.25">
      <c r="D480" s="78">
        <v>441909</v>
      </c>
      <c r="E480" s="78">
        <v>280014790</v>
      </c>
      <c r="F480" s="83" t="s">
        <v>94</v>
      </c>
      <c r="G480" s="1" t="s">
        <v>398</v>
      </c>
      <c r="H480" s="1" t="s">
        <v>14</v>
      </c>
      <c r="I480" s="1" t="s">
        <v>399</v>
      </c>
      <c r="J480" s="1">
        <v>12000000</v>
      </c>
      <c r="K480" s="1">
        <v>40000000</v>
      </c>
      <c r="L480" s="1">
        <v>0</v>
      </c>
      <c r="M480" s="1">
        <v>0</v>
      </c>
      <c r="N480" s="1" t="s">
        <v>400</v>
      </c>
      <c r="O480" s="1">
        <v>8.8791679999999999</v>
      </c>
      <c r="P480" s="1">
        <v>0.3</v>
      </c>
      <c r="Q480" s="83">
        <v>763014.73199999996</v>
      </c>
      <c r="R480" s="83">
        <v>763014.73199999996</v>
      </c>
      <c r="S480" s="1">
        <v>763014.73199999996</v>
      </c>
      <c r="T480" s="83">
        <v>0</v>
      </c>
      <c r="U480" s="1" t="s">
        <v>122</v>
      </c>
      <c r="V480" s="1" t="s">
        <v>836</v>
      </c>
      <c r="W480" s="1">
        <v>4781.60363426</v>
      </c>
      <c r="X480" s="1"/>
      <c r="Y480" s="83" t="str">
        <f>VLOOKUP(LossTable[[#This Row],[Department]],$A$15:$B$40,2,FALSE)</f>
        <v>TP</v>
      </c>
    </row>
    <row r="481" spans="4:25" x14ac:dyDescent="0.25">
      <c r="D481" s="78">
        <v>442600</v>
      </c>
      <c r="E481" s="78">
        <v>280014790</v>
      </c>
      <c r="F481" s="83" t="s">
        <v>45</v>
      </c>
      <c r="G481" s="1" t="s">
        <v>465</v>
      </c>
      <c r="H481" s="1" t="s">
        <v>16</v>
      </c>
      <c r="I481" s="1" t="s">
        <v>466</v>
      </c>
      <c r="J481" s="1">
        <v>24995559</v>
      </c>
      <c r="K481" s="1">
        <v>510000000</v>
      </c>
      <c r="L481" s="1">
        <v>0</v>
      </c>
      <c r="M481" s="1">
        <v>0</v>
      </c>
      <c r="N481" s="1" t="s">
        <v>467</v>
      </c>
      <c r="O481" s="1">
        <v>8.0872099999999992E-3</v>
      </c>
      <c r="P481" s="1">
        <v>4.9010900000000003E-2</v>
      </c>
      <c r="Q481" s="83">
        <v>4128.2307464899995</v>
      </c>
      <c r="R481" s="83">
        <v>4128.2307464899995</v>
      </c>
      <c r="S481" s="1">
        <v>4128.2307464899995</v>
      </c>
      <c r="T481" s="83">
        <v>0</v>
      </c>
      <c r="U481" s="1" t="s">
        <v>122</v>
      </c>
      <c r="V481" s="1" t="s">
        <v>836</v>
      </c>
      <c r="W481" s="1">
        <v>4781.60363426</v>
      </c>
      <c r="X481" s="1"/>
      <c r="Y481" s="83" t="str">
        <f>VLOOKUP(LossTable[[#This Row],[Department]],$A$15:$B$40,2,FALSE)</f>
        <v>FP</v>
      </c>
    </row>
    <row r="482" spans="4:25" x14ac:dyDescent="0.25">
      <c r="D482" s="78">
        <v>442828</v>
      </c>
      <c r="E482" s="78">
        <v>280014790</v>
      </c>
      <c r="F482" s="83" t="s">
        <v>21</v>
      </c>
      <c r="G482" s="1" t="s">
        <v>408</v>
      </c>
      <c r="H482" s="1" t="s">
        <v>14</v>
      </c>
      <c r="I482" s="1" t="s">
        <v>409</v>
      </c>
      <c r="J482" s="1">
        <v>850000</v>
      </c>
      <c r="K482" s="1">
        <v>20000000</v>
      </c>
      <c r="L482" s="1">
        <v>0</v>
      </c>
      <c r="M482" s="1">
        <v>0</v>
      </c>
      <c r="N482" s="1" t="s">
        <v>410</v>
      </c>
      <c r="O482" s="1">
        <v>1.5</v>
      </c>
      <c r="P482" s="1">
        <v>4.2500000000000003E-2</v>
      </c>
      <c r="Q482" s="83">
        <v>489.32204999999999</v>
      </c>
      <c r="R482" s="83">
        <v>489.32204999999999</v>
      </c>
      <c r="S482" s="1">
        <v>489.32204999999999</v>
      </c>
      <c r="T482" s="83">
        <v>0</v>
      </c>
      <c r="U482" s="1" t="s">
        <v>122</v>
      </c>
      <c r="V482" s="1" t="s">
        <v>836</v>
      </c>
      <c r="W482" s="1">
        <v>4781.60363426</v>
      </c>
      <c r="X482" s="1"/>
      <c r="Y482" s="83" t="str">
        <f>VLOOKUP(LossTable[[#This Row],[Department]],$A$15:$B$40,2,FALSE)</f>
        <v>London</v>
      </c>
    </row>
    <row r="483" spans="4:25" x14ac:dyDescent="0.25">
      <c r="D483" s="78">
        <v>445969</v>
      </c>
      <c r="E483" s="78">
        <v>280014790</v>
      </c>
      <c r="F483" s="83" t="s">
        <v>94</v>
      </c>
      <c r="G483" s="1" t="s">
        <v>470</v>
      </c>
      <c r="H483" s="1" t="s">
        <v>16</v>
      </c>
      <c r="I483" s="1" t="s">
        <v>471</v>
      </c>
      <c r="J483" s="1">
        <v>1000000</v>
      </c>
      <c r="K483" s="1">
        <v>20000000</v>
      </c>
      <c r="L483" s="1">
        <v>0</v>
      </c>
      <c r="M483" s="1">
        <v>0</v>
      </c>
      <c r="N483" s="1" t="s">
        <v>325</v>
      </c>
      <c r="O483" s="1">
        <v>0.28000842999999997</v>
      </c>
      <c r="P483" s="1">
        <v>0.05</v>
      </c>
      <c r="Q483" s="83">
        <v>19440.7935</v>
      </c>
      <c r="R483" s="83">
        <v>19440.7935</v>
      </c>
      <c r="S483" s="1">
        <v>19440.7935</v>
      </c>
      <c r="T483" s="83">
        <v>0</v>
      </c>
      <c r="U483" s="1" t="s">
        <v>122</v>
      </c>
      <c r="V483" s="1" t="s">
        <v>836</v>
      </c>
      <c r="W483" s="1">
        <v>4781.60363426</v>
      </c>
      <c r="X483" s="1"/>
      <c r="Y483" s="83" t="str">
        <f>VLOOKUP(LossTable[[#This Row],[Department]],$A$15:$B$40,2,FALSE)</f>
        <v>TP</v>
      </c>
    </row>
    <row r="484" spans="4:25" x14ac:dyDescent="0.25">
      <c r="D484" s="78">
        <v>445988</v>
      </c>
      <c r="E484" s="78">
        <v>280014790</v>
      </c>
      <c r="F484" s="83" t="s">
        <v>94</v>
      </c>
      <c r="G484" s="1" t="s">
        <v>491</v>
      </c>
      <c r="H484" s="1" t="s">
        <v>16</v>
      </c>
      <c r="I484" s="1" t="s">
        <v>505</v>
      </c>
      <c r="J484" s="1">
        <v>746029.98149999999</v>
      </c>
      <c r="K484" s="1">
        <v>14920599.630000001</v>
      </c>
      <c r="L484" s="1">
        <v>0</v>
      </c>
      <c r="M484" s="1">
        <v>0</v>
      </c>
      <c r="N484" s="1" t="s">
        <v>341</v>
      </c>
      <c r="O484" s="1">
        <v>4.6618E-2</v>
      </c>
      <c r="P484" s="1">
        <v>0.05</v>
      </c>
      <c r="Q484" s="83">
        <v>2158.0369999999998</v>
      </c>
      <c r="R484" s="83">
        <v>2158.0369999999998</v>
      </c>
      <c r="S484" s="1">
        <v>2158.0369999999998</v>
      </c>
      <c r="T484" s="83">
        <v>0</v>
      </c>
      <c r="U484" s="1" t="s">
        <v>122</v>
      </c>
      <c r="V484" s="1" t="s">
        <v>836</v>
      </c>
      <c r="W484" s="1">
        <v>4781.60363426</v>
      </c>
      <c r="X484" s="1"/>
      <c r="Y484" s="83" t="str">
        <f>VLOOKUP(LossTable[[#This Row],[Department]],$A$15:$B$40,2,FALSE)</f>
        <v>TP</v>
      </c>
    </row>
    <row r="485" spans="4:25" x14ac:dyDescent="0.25">
      <c r="D485" s="78">
        <v>448037</v>
      </c>
      <c r="E485" s="78">
        <v>280014790</v>
      </c>
      <c r="F485" s="83" t="s">
        <v>12</v>
      </c>
      <c r="G485" s="1" t="s">
        <v>508</v>
      </c>
      <c r="H485" s="1" t="s">
        <v>16</v>
      </c>
      <c r="I485" s="1" t="s">
        <v>537</v>
      </c>
      <c r="J485" s="1">
        <v>6250000</v>
      </c>
      <c r="K485" s="1">
        <v>125000000</v>
      </c>
      <c r="L485" s="1">
        <v>0</v>
      </c>
      <c r="M485" s="1">
        <v>0</v>
      </c>
      <c r="N485" s="1" t="s">
        <v>538</v>
      </c>
      <c r="O485" s="1">
        <v>0.29200186</v>
      </c>
      <c r="P485" s="1">
        <v>0.05</v>
      </c>
      <c r="Q485" s="83">
        <v>30175.212500000001</v>
      </c>
      <c r="R485" s="83">
        <v>30175.212500000001</v>
      </c>
      <c r="S485" s="1">
        <v>30175.212500000001</v>
      </c>
      <c r="T485" s="83">
        <v>0</v>
      </c>
      <c r="U485" s="1" t="s">
        <v>122</v>
      </c>
      <c r="V485" s="1" t="s">
        <v>836</v>
      </c>
      <c r="W485" s="1">
        <v>4781.60363426</v>
      </c>
      <c r="X485" s="1"/>
      <c r="Y485" s="83" t="str">
        <f>VLOOKUP(LossTable[[#This Row],[Department]],$A$15:$B$40,2,FALSE)</f>
        <v>Bermuda</v>
      </c>
    </row>
    <row r="486" spans="4:25" x14ac:dyDescent="0.25">
      <c r="D486" s="78">
        <v>448241</v>
      </c>
      <c r="E486" s="78">
        <v>280014790</v>
      </c>
      <c r="F486" s="83" t="s">
        <v>45</v>
      </c>
      <c r="G486" s="1" t="s">
        <v>553</v>
      </c>
      <c r="H486" s="1" t="s">
        <v>16</v>
      </c>
      <c r="I486" s="1" t="s">
        <v>763</v>
      </c>
      <c r="J486" s="1">
        <v>6000000</v>
      </c>
      <c r="K486" s="1">
        <v>30000000</v>
      </c>
      <c r="L486" s="1">
        <v>0</v>
      </c>
      <c r="M486" s="1">
        <v>0</v>
      </c>
      <c r="N486" s="1" t="s">
        <v>376</v>
      </c>
      <c r="O486" s="1">
        <v>0.03</v>
      </c>
      <c r="P486" s="1">
        <v>0.2</v>
      </c>
      <c r="Q486" s="83">
        <v>61.3</v>
      </c>
      <c r="R486" s="83">
        <v>61.3</v>
      </c>
      <c r="S486" s="1">
        <v>61.3</v>
      </c>
      <c r="T486" s="83">
        <v>0</v>
      </c>
      <c r="U486" s="1" t="s">
        <v>122</v>
      </c>
      <c r="V486" s="1" t="s">
        <v>836</v>
      </c>
      <c r="W486" s="1">
        <v>4781.60363426</v>
      </c>
      <c r="X486" s="1"/>
      <c r="Y486" s="83" t="str">
        <f>VLOOKUP(LossTable[[#This Row],[Department]],$A$15:$B$40,2,FALSE)</f>
        <v>FP</v>
      </c>
    </row>
    <row r="487" spans="4:25" x14ac:dyDescent="0.25">
      <c r="D487" s="78">
        <v>449414</v>
      </c>
      <c r="E487" s="78">
        <v>280014790</v>
      </c>
      <c r="F487" s="83" t="s">
        <v>92</v>
      </c>
      <c r="G487" s="1" t="s">
        <v>575</v>
      </c>
      <c r="H487" s="1" t="s">
        <v>14</v>
      </c>
      <c r="I487" s="1" t="s">
        <v>576</v>
      </c>
      <c r="J487" s="1">
        <v>8810414.67189789</v>
      </c>
      <c r="K487" s="1">
        <v>352416586.875916</v>
      </c>
      <c r="L487" s="1">
        <v>0</v>
      </c>
      <c r="M487" s="1">
        <v>0</v>
      </c>
      <c r="N487" s="1" t="s">
        <v>153</v>
      </c>
      <c r="O487" s="1">
        <v>7.1478E-2</v>
      </c>
      <c r="P487" s="1">
        <v>2.5000000000000001E-2</v>
      </c>
      <c r="Q487" s="83">
        <v>16.390014409999999</v>
      </c>
      <c r="R487" s="83">
        <v>16.390014409999999</v>
      </c>
      <c r="S487" s="1">
        <v>16.390014409999999</v>
      </c>
      <c r="T487" s="83">
        <v>0</v>
      </c>
      <c r="U487" s="1" t="s">
        <v>122</v>
      </c>
      <c r="V487" s="1" t="s">
        <v>836</v>
      </c>
      <c r="W487" s="1">
        <v>4781.60363426</v>
      </c>
      <c r="X487" s="1"/>
      <c r="Y487" s="83" t="str">
        <f>VLOOKUP(LossTable[[#This Row],[Department]],$A$15:$B$40,2,FALSE)</f>
        <v>FP</v>
      </c>
    </row>
    <row r="488" spans="4:25" x14ac:dyDescent="0.25">
      <c r="D488" s="78">
        <v>456611</v>
      </c>
      <c r="E488" s="78">
        <v>280014790</v>
      </c>
      <c r="F488" s="83" t="s">
        <v>94</v>
      </c>
      <c r="G488" s="1" t="s">
        <v>580</v>
      </c>
      <c r="H488" s="1" t="s">
        <v>16</v>
      </c>
      <c r="I488" s="1" t="s">
        <v>581</v>
      </c>
      <c r="J488" s="1">
        <v>900000</v>
      </c>
      <c r="K488" s="1">
        <v>45000000</v>
      </c>
      <c r="L488" s="1">
        <v>0</v>
      </c>
      <c r="M488" s="1">
        <v>0</v>
      </c>
      <c r="N488" s="1" t="s">
        <v>122</v>
      </c>
      <c r="O488" s="1">
        <v>0.16</v>
      </c>
      <c r="P488" s="1">
        <v>0.02</v>
      </c>
      <c r="Q488" s="83">
        <v>551.20780000000002</v>
      </c>
      <c r="R488" s="83">
        <v>551.20780000000002</v>
      </c>
      <c r="S488" s="1">
        <v>551.20780000000002</v>
      </c>
      <c r="T488" s="83">
        <v>0</v>
      </c>
      <c r="U488" s="1" t="s">
        <v>122</v>
      </c>
      <c r="V488" s="1" t="s">
        <v>836</v>
      </c>
      <c r="W488" s="1">
        <v>4781.60363426</v>
      </c>
      <c r="X488" s="1"/>
      <c r="Y488" s="83" t="str">
        <f>VLOOKUP(LossTable[[#This Row],[Department]],$A$15:$B$40,2,FALSE)</f>
        <v>TP</v>
      </c>
    </row>
    <row r="489" spans="4:25" x14ac:dyDescent="0.25">
      <c r="D489" s="78">
        <v>459195</v>
      </c>
      <c r="E489" s="78">
        <v>280014790</v>
      </c>
      <c r="F489" s="83" t="s">
        <v>21</v>
      </c>
      <c r="G489" s="1" t="s">
        <v>539</v>
      </c>
      <c r="H489" s="1" t="s">
        <v>14</v>
      </c>
      <c r="I489" s="1" t="s">
        <v>540</v>
      </c>
      <c r="J489" s="1">
        <v>2245050</v>
      </c>
      <c r="K489" s="1">
        <v>16630000</v>
      </c>
      <c r="L489" s="1">
        <v>0</v>
      </c>
      <c r="M489" s="1">
        <v>0</v>
      </c>
      <c r="N489" s="1" t="s">
        <v>137</v>
      </c>
      <c r="O489" s="1">
        <v>0.99551497</v>
      </c>
      <c r="P489" s="1">
        <v>0.13500000000000001</v>
      </c>
      <c r="Q489" s="83">
        <v>4059.3231000000001</v>
      </c>
      <c r="R489" s="83">
        <v>4059.3231000000001</v>
      </c>
      <c r="S489" s="1">
        <v>4059.3231000000001</v>
      </c>
      <c r="T489" s="83">
        <v>0</v>
      </c>
      <c r="U489" s="1" t="s">
        <v>122</v>
      </c>
      <c r="V489" s="1" t="s">
        <v>836</v>
      </c>
      <c r="W489" s="1">
        <v>4781.60363426</v>
      </c>
      <c r="X489" s="1"/>
      <c r="Y489" s="83" t="str">
        <f>VLOOKUP(LossTable[[#This Row],[Department]],$A$15:$B$40,2,FALSE)</f>
        <v>London</v>
      </c>
    </row>
    <row r="490" spans="4:25" x14ac:dyDescent="0.25">
      <c r="D490" s="78">
        <v>462061</v>
      </c>
      <c r="E490" s="78">
        <v>280014790</v>
      </c>
      <c r="F490" s="83" t="s">
        <v>94</v>
      </c>
      <c r="G490" s="1" t="s">
        <v>841</v>
      </c>
      <c r="H490" s="1" t="s">
        <v>16</v>
      </c>
      <c r="I490" s="1" t="s">
        <v>842</v>
      </c>
      <c r="J490" s="1">
        <v>600000</v>
      </c>
      <c r="K490" s="1">
        <v>12000000</v>
      </c>
      <c r="L490" s="1">
        <v>0</v>
      </c>
      <c r="M490" s="1">
        <v>0</v>
      </c>
      <c r="N490" s="1" t="s">
        <v>122</v>
      </c>
      <c r="O490" s="1">
        <v>1.2999801</v>
      </c>
      <c r="P490" s="1">
        <v>0.05</v>
      </c>
      <c r="Q490" s="83">
        <v>5.5465</v>
      </c>
      <c r="R490" s="83">
        <v>5.5465</v>
      </c>
      <c r="S490" s="1">
        <v>5.5465</v>
      </c>
      <c r="T490" s="83">
        <v>0</v>
      </c>
      <c r="U490" s="1" t="s">
        <v>122</v>
      </c>
      <c r="V490" s="1" t="s">
        <v>836</v>
      </c>
      <c r="W490" s="1">
        <v>4781.60363426</v>
      </c>
      <c r="X490" s="1"/>
      <c r="Y490" s="83" t="str">
        <f>VLOOKUP(LossTable[[#This Row],[Department]],$A$15:$B$40,2,FALSE)</f>
        <v>TP</v>
      </c>
    </row>
    <row r="491" spans="4:25" x14ac:dyDescent="0.25">
      <c r="D491" s="78">
        <v>468438</v>
      </c>
      <c r="E491" s="78">
        <v>280014790</v>
      </c>
      <c r="F491" s="83" t="s">
        <v>94</v>
      </c>
      <c r="G491" s="1" t="s">
        <v>764</v>
      </c>
      <c r="H491" s="1" t="s">
        <v>13</v>
      </c>
      <c r="I491" s="1" t="s">
        <v>765</v>
      </c>
      <c r="J491" s="1">
        <v>1050000</v>
      </c>
      <c r="K491" s="1">
        <v>30000000</v>
      </c>
      <c r="L491" s="1">
        <v>20000000</v>
      </c>
      <c r="M491" s="1">
        <v>0</v>
      </c>
      <c r="N491" s="1" t="s">
        <v>766</v>
      </c>
      <c r="O491" s="1">
        <v>0.215</v>
      </c>
      <c r="P491" s="1">
        <v>3.5000000000000003E-2</v>
      </c>
      <c r="Q491" s="83">
        <v>1050000</v>
      </c>
      <c r="R491" s="83">
        <v>644794.12632175698</v>
      </c>
      <c r="S491" s="1">
        <v>644794.12632175698</v>
      </c>
      <c r="T491" s="83">
        <v>0</v>
      </c>
      <c r="U491" s="1" t="s">
        <v>122</v>
      </c>
      <c r="V491" s="1" t="s">
        <v>836</v>
      </c>
      <c r="W491" s="1">
        <v>4781.60363426</v>
      </c>
      <c r="X491" s="1"/>
      <c r="Y491" s="83" t="str">
        <f>VLOOKUP(LossTable[[#This Row],[Department]],$A$15:$B$40,2,FALSE)</f>
        <v>TP</v>
      </c>
    </row>
    <row r="492" spans="4:25" x14ac:dyDescent="0.25">
      <c r="D492" s="78">
        <v>468837</v>
      </c>
      <c r="E492" s="78">
        <v>280014790</v>
      </c>
      <c r="F492" s="83" t="s">
        <v>94</v>
      </c>
      <c r="G492" s="1" t="s">
        <v>582</v>
      </c>
      <c r="H492" s="1" t="s">
        <v>16</v>
      </c>
      <c r="I492" s="1" t="s">
        <v>583</v>
      </c>
      <c r="J492" s="1">
        <v>500000</v>
      </c>
      <c r="K492" s="1">
        <v>10000000</v>
      </c>
      <c r="L492" s="1">
        <v>0</v>
      </c>
      <c r="M492" s="1">
        <v>0</v>
      </c>
      <c r="N492" s="1" t="s">
        <v>122</v>
      </c>
      <c r="O492" s="1">
        <v>2.2774999999999999</v>
      </c>
      <c r="P492" s="1">
        <v>0.05</v>
      </c>
      <c r="Q492" s="83">
        <v>297.79349999999999</v>
      </c>
      <c r="R492" s="83">
        <v>297.79349999999999</v>
      </c>
      <c r="S492" s="1">
        <v>297.79349999999999</v>
      </c>
      <c r="T492" s="83">
        <v>0</v>
      </c>
      <c r="U492" s="1" t="s">
        <v>122</v>
      </c>
      <c r="V492" s="1" t="s">
        <v>836</v>
      </c>
      <c r="W492" s="1">
        <v>4781.60363426</v>
      </c>
      <c r="X492" s="1"/>
      <c r="Y492" s="83" t="str">
        <f>VLOOKUP(LossTable[[#This Row],[Department]],$A$15:$B$40,2,FALSE)</f>
        <v>TP</v>
      </c>
    </row>
    <row r="493" spans="4:25" x14ac:dyDescent="0.25">
      <c r="D493" s="78">
        <v>469079</v>
      </c>
      <c r="E493" s="78">
        <v>280014790</v>
      </c>
      <c r="F493" s="83" t="s">
        <v>45</v>
      </c>
      <c r="G493" s="1" t="s">
        <v>658</v>
      </c>
      <c r="H493" s="1" t="s">
        <v>16</v>
      </c>
      <c r="I493" s="1" t="s">
        <v>659</v>
      </c>
      <c r="J493" s="1">
        <v>20000000</v>
      </c>
      <c r="K493" s="1">
        <v>100000000</v>
      </c>
      <c r="L493" s="1">
        <v>0</v>
      </c>
      <c r="M493" s="1">
        <v>0</v>
      </c>
      <c r="N493" s="1" t="s">
        <v>660</v>
      </c>
      <c r="O493" s="1">
        <v>4.9893899999999998E-2</v>
      </c>
      <c r="P493" s="1">
        <v>0.2</v>
      </c>
      <c r="Q493" s="83">
        <v>8.3480000000000008</v>
      </c>
      <c r="R493" s="83">
        <v>8.3480000000000008</v>
      </c>
      <c r="S493" s="1">
        <v>8.3480000000000008</v>
      </c>
      <c r="T493" s="83">
        <v>0</v>
      </c>
      <c r="U493" s="1" t="s">
        <v>122</v>
      </c>
      <c r="V493" s="1" t="s">
        <v>836</v>
      </c>
      <c r="W493" s="1">
        <v>4781.60363426</v>
      </c>
      <c r="X493" s="1"/>
      <c r="Y493" s="83" t="str">
        <f>VLOOKUP(LossTable[[#This Row],[Department]],$A$15:$B$40,2,FALSE)</f>
        <v>FP</v>
      </c>
    </row>
    <row r="494" spans="4:25" x14ac:dyDescent="0.25">
      <c r="D494" s="78">
        <v>473162</v>
      </c>
      <c r="E494" s="78">
        <v>280014790</v>
      </c>
      <c r="F494" s="83" t="s">
        <v>94</v>
      </c>
      <c r="G494" s="1" t="s">
        <v>671</v>
      </c>
      <c r="H494" s="1" t="s">
        <v>16</v>
      </c>
      <c r="I494" s="1" t="s">
        <v>672</v>
      </c>
      <c r="J494" s="1">
        <v>1250000</v>
      </c>
      <c r="K494" s="1">
        <v>25000000</v>
      </c>
      <c r="L494" s="1">
        <v>0</v>
      </c>
      <c r="M494" s="1">
        <v>0</v>
      </c>
      <c r="N494" s="1" t="s">
        <v>407</v>
      </c>
      <c r="O494" s="1">
        <v>0.35</v>
      </c>
      <c r="P494" s="1">
        <v>0.05</v>
      </c>
      <c r="Q494" s="83">
        <v>69.040000000000006</v>
      </c>
      <c r="R494" s="83">
        <v>69.040000000000006</v>
      </c>
      <c r="S494" s="1">
        <v>69.040000000000006</v>
      </c>
      <c r="T494" s="83">
        <v>0</v>
      </c>
      <c r="U494" s="1" t="s">
        <v>122</v>
      </c>
      <c r="V494" s="1" t="s">
        <v>836</v>
      </c>
      <c r="W494" s="1">
        <v>4781.60363426</v>
      </c>
      <c r="X494" s="1"/>
      <c r="Y494" s="83" t="str">
        <f>VLOOKUP(LossTable[[#This Row],[Department]],$A$15:$B$40,2,FALSE)</f>
        <v>TP</v>
      </c>
    </row>
    <row r="495" spans="4:25" x14ac:dyDescent="0.25">
      <c r="D495" s="78">
        <v>477692</v>
      </c>
      <c r="E495" s="78">
        <v>280014790</v>
      </c>
      <c r="F495" s="83" t="s">
        <v>45</v>
      </c>
      <c r="G495" s="1" t="s">
        <v>781</v>
      </c>
      <c r="H495" s="1" t="s">
        <v>16</v>
      </c>
      <c r="I495" s="1" t="s">
        <v>782</v>
      </c>
      <c r="J495" s="1">
        <v>2000000</v>
      </c>
      <c r="K495" s="1">
        <v>20000000</v>
      </c>
      <c r="L495" s="1">
        <v>0</v>
      </c>
      <c r="M495" s="1">
        <v>0</v>
      </c>
      <c r="N495" s="1" t="s">
        <v>248</v>
      </c>
      <c r="O495" s="1">
        <v>0.53041799999999995</v>
      </c>
      <c r="P495" s="1">
        <v>0.1</v>
      </c>
      <c r="Q495" s="83">
        <v>1411.145</v>
      </c>
      <c r="R495" s="83">
        <v>1411.145</v>
      </c>
      <c r="S495" s="1">
        <v>1411.145</v>
      </c>
      <c r="T495" s="83">
        <v>0</v>
      </c>
      <c r="U495" s="1" t="s">
        <v>122</v>
      </c>
      <c r="V495" s="1" t="s">
        <v>836</v>
      </c>
      <c r="W495" s="1">
        <v>4781.60363426</v>
      </c>
      <c r="X495" s="1"/>
      <c r="Y495" s="83" t="str">
        <f>VLOOKUP(LossTable[[#This Row],[Department]],$A$15:$B$40,2,FALSE)</f>
        <v>FP</v>
      </c>
    </row>
    <row r="496" spans="4:25" x14ac:dyDescent="0.25">
      <c r="D496" s="78">
        <v>478523</v>
      </c>
      <c r="E496" s="78">
        <v>280014790</v>
      </c>
      <c r="F496" s="83" t="s">
        <v>21</v>
      </c>
      <c r="G496" s="1" t="s">
        <v>708</v>
      </c>
      <c r="H496" s="1" t="s">
        <v>14</v>
      </c>
      <c r="I496" s="1" t="s">
        <v>709</v>
      </c>
      <c r="J496" s="1">
        <v>9217500</v>
      </c>
      <c r="K496" s="1">
        <v>75000000</v>
      </c>
      <c r="L496" s="1">
        <v>0</v>
      </c>
      <c r="M496" s="1">
        <v>0</v>
      </c>
      <c r="N496" s="1" t="s">
        <v>710</v>
      </c>
      <c r="O496" s="1">
        <v>0.26666666999999999</v>
      </c>
      <c r="P496" s="1">
        <v>0.1229</v>
      </c>
      <c r="Q496" s="83">
        <v>1309.8620550000001</v>
      </c>
      <c r="R496" s="83">
        <v>1309.8620550000001</v>
      </c>
      <c r="S496" s="1">
        <v>1309.8620550000001</v>
      </c>
      <c r="T496" s="83">
        <v>0</v>
      </c>
      <c r="U496" s="1" t="s">
        <v>122</v>
      </c>
      <c r="V496" s="1" t="s">
        <v>836</v>
      </c>
      <c r="W496" s="1">
        <v>4781.60363426</v>
      </c>
      <c r="X496" s="1"/>
      <c r="Y496" s="83" t="str">
        <f>VLOOKUP(LossTable[[#This Row],[Department]],$A$15:$B$40,2,FALSE)</f>
        <v>London</v>
      </c>
    </row>
    <row r="497" spans="4:25" x14ac:dyDescent="0.25">
      <c r="D497" s="78">
        <v>479468</v>
      </c>
      <c r="E497" s="78">
        <v>280014790</v>
      </c>
      <c r="F497" s="83" t="s">
        <v>12</v>
      </c>
      <c r="G497" s="1" t="s">
        <v>717</v>
      </c>
      <c r="H497" s="1" t="s">
        <v>14</v>
      </c>
      <c r="I497" s="1" t="s">
        <v>718</v>
      </c>
      <c r="J497" s="1">
        <v>8500000</v>
      </c>
      <c r="K497" s="1">
        <v>85000000</v>
      </c>
      <c r="L497" s="1">
        <v>0</v>
      </c>
      <c r="M497" s="1">
        <v>0</v>
      </c>
      <c r="N497" s="1" t="s">
        <v>719</v>
      </c>
      <c r="O497" s="1">
        <v>1.98823529</v>
      </c>
      <c r="P497" s="1">
        <v>0.1</v>
      </c>
      <c r="Q497" s="83">
        <v>10264.387000000001</v>
      </c>
      <c r="R497" s="83">
        <v>10264.387000000001</v>
      </c>
      <c r="S497" s="1">
        <v>10264.387000000001</v>
      </c>
      <c r="T497" s="83">
        <v>0</v>
      </c>
      <c r="U497" s="1" t="s">
        <v>122</v>
      </c>
      <c r="V497" s="1" t="s">
        <v>836</v>
      </c>
      <c r="W497" s="1">
        <v>4781.60363426</v>
      </c>
      <c r="X497" s="1"/>
      <c r="Y497" s="83" t="str">
        <f>VLOOKUP(LossTable[[#This Row],[Department]],$A$15:$B$40,2,FALSE)</f>
        <v>Bermuda</v>
      </c>
    </row>
    <row r="498" spans="4:25" x14ac:dyDescent="0.25">
      <c r="D498" s="78">
        <v>479558</v>
      </c>
      <c r="E498" s="78">
        <v>280014790</v>
      </c>
      <c r="F498" s="83" t="s">
        <v>45</v>
      </c>
      <c r="G498" s="1" t="s">
        <v>643</v>
      </c>
      <c r="H498" s="1" t="s">
        <v>14</v>
      </c>
      <c r="I498" s="1" t="s">
        <v>644</v>
      </c>
      <c r="J498" s="1">
        <v>625000</v>
      </c>
      <c r="K498" s="1">
        <v>5000000</v>
      </c>
      <c r="L498" s="1">
        <v>0</v>
      </c>
      <c r="M498" s="1">
        <v>0</v>
      </c>
      <c r="N498" s="1" t="s">
        <v>645</v>
      </c>
      <c r="O498" s="1">
        <v>0.56000000000000005</v>
      </c>
      <c r="P498" s="1">
        <v>0.125</v>
      </c>
      <c r="Q498" s="83">
        <v>1046.355</v>
      </c>
      <c r="R498" s="83">
        <v>1046.355</v>
      </c>
      <c r="S498" s="1">
        <v>1046.355</v>
      </c>
      <c r="T498" s="83">
        <v>0</v>
      </c>
      <c r="U498" s="1" t="s">
        <v>122</v>
      </c>
      <c r="V498" s="1" t="s">
        <v>836</v>
      </c>
      <c r="W498" s="1">
        <v>4781.60363426</v>
      </c>
      <c r="X498" s="1"/>
      <c r="Y498" s="83" t="str">
        <f>VLOOKUP(LossTable[[#This Row],[Department]],$A$15:$B$40,2,FALSE)</f>
        <v>FP</v>
      </c>
    </row>
    <row r="499" spans="4:25" x14ac:dyDescent="0.25">
      <c r="D499" s="78">
        <v>479983</v>
      </c>
      <c r="E499" s="78">
        <v>280014790</v>
      </c>
      <c r="F499" s="83" t="s">
        <v>12</v>
      </c>
      <c r="G499" s="1" t="s">
        <v>652</v>
      </c>
      <c r="H499" s="1" t="s">
        <v>14</v>
      </c>
      <c r="I499" s="1" t="s">
        <v>653</v>
      </c>
      <c r="J499" s="1">
        <v>3062500</v>
      </c>
      <c r="K499" s="1">
        <v>43750000</v>
      </c>
      <c r="L499" s="1">
        <v>0</v>
      </c>
      <c r="M499" s="1">
        <v>0</v>
      </c>
      <c r="N499" s="1" t="s">
        <v>654</v>
      </c>
      <c r="O499" s="1">
        <v>0.45714285999999998</v>
      </c>
      <c r="P499" s="1">
        <v>7.0000000000000007E-2</v>
      </c>
      <c r="Q499" s="83">
        <v>2937.7795999999998</v>
      </c>
      <c r="R499" s="83">
        <v>2937.7795999999998</v>
      </c>
      <c r="S499" s="1">
        <v>2937.7795999999998</v>
      </c>
      <c r="T499" s="83">
        <v>0</v>
      </c>
      <c r="U499" s="1" t="s">
        <v>122</v>
      </c>
      <c r="V499" s="1" t="s">
        <v>836</v>
      </c>
      <c r="W499" s="1">
        <v>4781.60363426</v>
      </c>
      <c r="X499" s="1"/>
      <c r="Y499" s="83" t="str">
        <f>VLOOKUP(LossTable[[#This Row],[Department]],$A$15:$B$40,2,FALSE)</f>
        <v>Bermuda</v>
      </c>
    </row>
    <row r="500" spans="4:25" x14ac:dyDescent="0.25">
      <c r="D500" s="78">
        <v>480541</v>
      </c>
      <c r="E500" s="78">
        <v>280014790</v>
      </c>
      <c r="F500" s="83" t="s">
        <v>95</v>
      </c>
      <c r="G500" s="1" t="s">
        <v>834</v>
      </c>
      <c r="H500" s="1" t="s">
        <v>14</v>
      </c>
      <c r="I500" s="1" t="s">
        <v>835</v>
      </c>
      <c r="J500" s="1">
        <v>17500000</v>
      </c>
      <c r="K500" s="1">
        <v>50000000</v>
      </c>
      <c r="L500" s="1">
        <v>0</v>
      </c>
      <c r="M500" s="1">
        <v>0</v>
      </c>
      <c r="N500" s="1" t="s">
        <v>122</v>
      </c>
      <c r="O500" s="1">
        <v>1.60806132</v>
      </c>
      <c r="P500" s="1">
        <v>0.35</v>
      </c>
      <c r="Q500" s="83">
        <v>801.24099999999999</v>
      </c>
      <c r="R500" s="83">
        <v>801.24099999999999</v>
      </c>
      <c r="S500" s="1">
        <v>801.24099999999999</v>
      </c>
      <c r="T500" s="83">
        <v>0</v>
      </c>
      <c r="U500" s="1" t="s">
        <v>122</v>
      </c>
      <c r="V500" s="1" t="s">
        <v>836</v>
      </c>
      <c r="W500" s="1">
        <v>4781.60363426</v>
      </c>
      <c r="X500" s="1"/>
      <c r="Y500" s="83" t="str">
        <f>VLOOKUP(LossTable[[#This Row],[Department]],$A$15:$B$40,2,FALSE)</f>
        <v>Dublin</v>
      </c>
    </row>
    <row r="501" spans="4:25" x14ac:dyDescent="0.25">
      <c r="D501" s="78">
        <v>480605</v>
      </c>
      <c r="E501" s="78">
        <v>280014790</v>
      </c>
      <c r="F501" s="83" t="s">
        <v>45</v>
      </c>
      <c r="G501" s="1" t="s">
        <v>706</v>
      </c>
      <c r="H501" s="1" t="s">
        <v>14</v>
      </c>
      <c r="I501" s="1" t="s">
        <v>707</v>
      </c>
      <c r="J501" s="1">
        <v>650000</v>
      </c>
      <c r="K501" s="1">
        <v>65000000</v>
      </c>
      <c r="L501" s="1">
        <v>0</v>
      </c>
      <c r="M501" s="1">
        <v>0</v>
      </c>
      <c r="N501" s="1" t="s">
        <v>158</v>
      </c>
      <c r="O501" s="1">
        <v>0.55714898000000002</v>
      </c>
      <c r="P501" s="1">
        <v>0.01</v>
      </c>
      <c r="Q501" s="83">
        <v>598.05290000000002</v>
      </c>
      <c r="R501" s="83">
        <v>598.05290000000002</v>
      </c>
      <c r="S501" s="1">
        <v>598.05290000000002</v>
      </c>
      <c r="T501" s="83">
        <v>0</v>
      </c>
      <c r="U501" s="1" t="s">
        <v>122</v>
      </c>
      <c r="V501" s="1" t="s">
        <v>836</v>
      </c>
      <c r="W501" s="1">
        <v>4781.60363426</v>
      </c>
      <c r="X501" s="1"/>
      <c r="Y501" s="83" t="str">
        <f>VLOOKUP(LossTable[[#This Row],[Department]],$A$15:$B$40,2,FALSE)</f>
        <v>FP</v>
      </c>
    </row>
    <row r="502" spans="4:25" x14ac:dyDescent="0.25">
      <c r="D502" s="78">
        <v>484262</v>
      </c>
      <c r="E502" s="78">
        <v>280014790</v>
      </c>
      <c r="F502" s="83" t="s">
        <v>94</v>
      </c>
      <c r="G502" s="1" t="s">
        <v>686</v>
      </c>
      <c r="H502" s="1" t="s">
        <v>16</v>
      </c>
      <c r="I502" s="1" t="s">
        <v>743</v>
      </c>
      <c r="J502" s="1">
        <v>18000000</v>
      </c>
      <c r="K502" s="1">
        <v>450000000</v>
      </c>
      <c r="L502" s="1">
        <v>0</v>
      </c>
      <c r="M502" s="1">
        <v>0</v>
      </c>
      <c r="N502" s="1" t="s">
        <v>122</v>
      </c>
      <c r="O502" s="1">
        <v>4.5555560000000002E-2</v>
      </c>
      <c r="P502" s="1">
        <v>0.04</v>
      </c>
      <c r="Q502" s="83">
        <v>4991.4128000000001</v>
      </c>
      <c r="R502" s="83">
        <v>4991.4128000000001</v>
      </c>
      <c r="S502" s="1">
        <v>4991.4128000000001</v>
      </c>
      <c r="T502" s="83">
        <v>0</v>
      </c>
      <c r="U502" s="1" t="s">
        <v>122</v>
      </c>
      <c r="V502" s="1" t="s">
        <v>836</v>
      </c>
      <c r="W502" s="1">
        <v>4781.60363426</v>
      </c>
      <c r="X502" s="1"/>
      <c r="Y502" s="83" t="str">
        <f>VLOOKUP(LossTable[[#This Row],[Department]],$A$15:$B$40,2,FALSE)</f>
        <v>TP</v>
      </c>
    </row>
    <row r="503" spans="4:25" x14ac:dyDescent="0.25">
      <c r="D503" s="78">
        <v>484547</v>
      </c>
      <c r="E503" s="78">
        <v>280014790</v>
      </c>
      <c r="F503" s="83" t="s">
        <v>94</v>
      </c>
      <c r="G503" s="1" t="s">
        <v>702</v>
      </c>
      <c r="H503" s="1" t="s">
        <v>14</v>
      </c>
      <c r="I503" s="1" t="s">
        <v>703</v>
      </c>
      <c r="J503" s="1">
        <v>1125000</v>
      </c>
      <c r="K503" s="1">
        <v>10000000</v>
      </c>
      <c r="L503" s="1">
        <v>0</v>
      </c>
      <c r="M503" s="1">
        <v>0</v>
      </c>
      <c r="N503" s="1" t="s">
        <v>122</v>
      </c>
      <c r="O503" s="1">
        <v>6.0607328100000002</v>
      </c>
      <c r="P503" s="1">
        <v>0.1125</v>
      </c>
      <c r="Q503" s="83">
        <v>168264.378</v>
      </c>
      <c r="R503" s="83">
        <v>168264.378</v>
      </c>
      <c r="S503" s="1">
        <v>168264.378</v>
      </c>
      <c r="T503" s="83">
        <v>0</v>
      </c>
      <c r="U503" s="1" t="s">
        <v>122</v>
      </c>
      <c r="V503" s="1" t="s">
        <v>836</v>
      </c>
      <c r="W503" s="1">
        <v>4781.60363426</v>
      </c>
      <c r="X503" s="1"/>
      <c r="Y503" s="83" t="str">
        <f>VLOOKUP(LossTable[[#This Row],[Department]],$A$15:$B$40,2,FALSE)</f>
        <v>TP</v>
      </c>
    </row>
    <row r="504" spans="4:25" x14ac:dyDescent="0.25">
      <c r="D504" s="78">
        <v>485340</v>
      </c>
      <c r="E504" s="78">
        <v>280014790</v>
      </c>
      <c r="F504" s="83" t="s">
        <v>95</v>
      </c>
      <c r="G504" s="1" t="s">
        <v>711</v>
      </c>
      <c r="H504" s="1" t="s">
        <v>14</v>
      </c>
      <c r="I504" s="1" t="s">
        <v>712</v>
      </c>
      <c r="J504" s="1">
        <v>5000100</v>
      </c>
      <c r="K504" s="1">
        <v>30000000</v>
      </c>
      <c r="L504" s="1">
        <v>0</v>
      </c>
      <c r="M504" s="1">
        <v>0</v>
      </c>
      <c r="N504" s="1" t="s">
        <v>122</v>
      </c>
      <c r="O504" s="1">
        <v>1.4316984699999999</v>
      </c>
      <c r="P504" s="1">
        <v>0.16667000000000001</v>
      </c>
      <c r="Q504" s="83">
        <v>3195.4622413000002</v>
      </c>
      <c r="R504" s="83">
        <v>3195.4622413000002</v>
      </c>
      <c r="S504" s="1">
        <v>3195.4622413000002</v>
      </c>
      <c r="T504" s="83">
        <v>0</v>
      </c>
      <c r="U504" s="1" t="s">
        <v>122</v>
      </c>
      <c r="V504" s="1" t="s">
        <v>836</v>
      </c>
      <c r="W504" s="1">
        <v>4781.60363426</v>
      </c>
      <c r="X504" s="1"/>
      <c r="Y504" s="83" t="str">
        <f>VLOOKUP(LossTable[[#This Row],[Department]],$A$15:$B$40,2,FALSE)</f>
        <v>Dublin</v>
      </c>
    </row>
    <row r="505" spans="4:25" x14ac:dyDescent="0.25">
      <c r="D505" s="78">
        <v>104</v>
      </c>
      <c r="E505" s="78">
        <v>280066590</v>
      </c>
      <c r="F505" s="83" t="s">
        <v>86</v>
      </c>
      <c r="G505" s="1" t="s">
        <v>217</v>
      </c>
      <c r="H505" s="1" t="s">
        <v>16</v>
      </c>
      <c r="I505" s="1" t="s">
        <v>217</v>
      </c>
      <c r="J505" s="1">
        <v>124695899.280228</v>
      </c>
      <c r="K505" s="1">
        <v>0</v>
      </c>
      <c r="L505" s="1">
        <v>0</v>
      </c>
      <c r="M505" s="1">
        <v>0</v>
      </c>
      <c r="N505" s="1" t="s">
        <v>44</v>
      </c>
      <c r="O505" s="1">
        <v>0</v>
      </c>
      <c r="P505" s="1">
        <v>1</v>
      </c>
      <c r="Q505" s="83">
        <v>2715.9529830000001</v>
      </c>
      <c r="R505" s="83">
        <v>2715.9529830000001</v>
      </c>
      <c r="S505" s="1">
        <v>2715.9529830000001</v>
      </c>
      <c r="T505" s="83">
        <v>0</v>
      </c>
      <c r="U505" s="1" t="s">
        <v>122</v>
      </c>
      <c r="V505" s="1" t="s">
        <v>837</v>
      </c>
      <c r="W505" s="1">
        <v>3280.0940773799998</v>
      </c>
      <c r="X505" s="1"/>
      <c r="Y505" s="83" t="str">
        <f>VLOOKUP(LossTable[[#This Row],[Department]],$A$15:$B$40,2,FALSE)</f>
        <v>FP</v>
      </c>
    </row>
    <row r="506" spans="4:25" x14ac:dyDescent="0.25">
      <c r="D506" s="78">
        <v>111</v>
      </c>
      <c r="E506" s="78">
        <v>280066590</v>
      </c>
      <c r="F506" s="83" t="s">
        <v>42</v>
      </c>
      <c r="G506" s="1" t="s">
        <v>43</v>
      </c>
      <c r="H506" s="1" t="s">
        <v>16</v>
      </c>
      <c r="I506" s="1" t="s">
        <v>43</v>
      </c>
      <c r="J506" s="1">
        <v>494435487.81273699</v>
      </c>
      <c r="K506" s="1">
        <v>0</v>
      </c>
      <c r="L506" s="1">
        <v>0</v>
      </c>
      <c r="M506" s="1">
        <v>0</v>
      </c>
      <c r="N506" s="1" t="s">
        <v>44</v>
      </c>
      <c r="O506" s="1">
        <v>0</v>
      </c>
      <c r="P506" s="1">
        <v>1</v>
      </c>
      <c r="Q506" s="83">
        <v>3751.7878000000001</v>
      </c>
      <c r="R506" s="83">
        <v>3751.7878000000001</v>
      </c>
      <c r="S506" s="1">
        <v>3751.7878000000001</v>
      </c>
      <c r="T506" s="83">
        <v>0</v>
      </c>
      <c r="U506" s="1" t="s">
        <v>122</v>
      </c>
      <c r="V506" s="1" t="s">
        <v>837</v>
      </c>
      <c r="W506" s="1">
        <v>3280.0940773799998</v>
      </c>
      <c r="X506" s="1"/>
      <c r="Y506" s="83" t="str">
        <f>VLOOKUP(LossTable[[#This Row],[Department]],$A$15:$B$40,2,FALSE)</f>
        <v>FP</v>
      </c>
    </row>
    <row r="507" spans="4:25" x14ac:dyDescent="0.25">
      <c r="D507" s="78">
        <v>118</v>
      </c>
      <c r="E507" s="78">
        <v>280066590</v>
      </c>
      <c r="F507" s="83" t="s">
        <v>42</v>
      </c>
      <c r="G507" s="1" t="s">
        <v>43</v>
      </c>
      <c r="H507" s="1" t="s">
        <v>16</v>
      </c>
      <c r="I507" s="1" t="s">
        <v>43</v>
      </c>
      <c r="J507" s="1">
        <v>154904533.31820899</v>
      </c>
      <c r="K507" s="1">
        <v>0</v>
      </c>
      <c r="L507" s="1">
        <v>0</v>
      </c>
      <c r="M507" s="1">
        <v>0</v>
      </c>
      <c r="N507" s="1" t="s">
        <v>44</v>
      </c>
      <c r="O507" s="1">
        <v>0</v>
      </c>
      <c r="P507" s="1">
        <v>1</v>
      </c>
      <c r="Q507" s="83">
        <v>317.53687100000002</v>
      </c>
      <c r="R507" s="83">
        <v>317.53687100000002</v>
      </c>
      <c r="S507" s="1">
        <v>317.53687100000002</v>
      </c>
      <c r="T507" s="83">
        <v>0</v>
      </c>
      <c r="U507" s="1" t="s">
        <v>122</v>
      </c>
      <c r="V507" s="1" t="s">
        <v>837</v>
      </c>
      <c r="W507" s="1">
        <v>3280.0940773799998</v>
      </c>
      <c r="X507" s="1"/>
      <c r="Y507" s="83" t="str">
        <f>VLOOKUP(LossTable[[#This Row],[Department]],$A$15:$B$40,2,FALSE)</f>
        <v>FP</v>
      </c>
    </row>
    <row r="508" spans="4:25" x14ac:dyDescent="0.25">
      <c r="D508" s="78">
        <v>123</v>
      </c>
      <c r="E508" s="78">
        <v>280066590</v>
      </c>
      <c r="F508" s="83" t="s">
        <v>92</v>
      </c>
      <c r="G508" s="1" t="s">
        <v>220</v>
      </c>
      <c r="H508" s="1" t="s">
        <v>16</v>
      </c>
      <c r="I508" s="1" t="s">
        <v>220</v>
      </c>
      <c r="J508" s="1">
        <v>60795147.652807899</v>
      </c>
      <c r="K508" s="1">
        <v>0</v>
      </c>
      <c r="L508" s="1">
        <v>0</v>
      </c>
      <c r="M508" s="1">
        <v>0</v>
      </c>
      <c r="N508" s="1" t="s">
        <v>44</v>
      </c>
      <c r="O508" s="1">
        <v>0</v>
      </c>
      <c r="P508" s="1">
        <v>1</v>
      </c>
      <c r="Q508" s="83">
        <v>198.125067</v>
      </c>
      <c r="R508" s="83">
        <v>198.125067</v>
      </c>
      <c r="S508" s="1">
        <v>198.125067</v>
      </c>
      <c r="T508" s="83">
        <v>0</v>
      </c>
      <c r="U508" s="1" t="s">
        <v>122</v>
      </c>
      <c r="V508" s="1" t="s">
        <v>837</v>
      </c>
      <c r="W508" s="1">
        <v>3280.0940773799998</v>
      </c>
      <c r="X508" s="1"/>
      <c r="Y508" s="83" t="str">
        <f>VLOOKUP(LossTable[[#This Row],[Department]],$A$15:$B$40,2,FALSE)</f>
        <v>FP</v>
      </c>
    </row>
    <row r="509" spans="4:25" x14ac:dyDescent="0.25">
      <c r="D509" s="78">
        <v>288829</v>
      </c>
      <c r="E509" s="78">
        <v>280066590</v>
      </c>
      <c r="F509" s="83" t="s">
        <v>87</v>
      </c>
      <c r="G509" s="1" t="s">
        <v>843</v>
      </c>
      <c r="H509" s="1" t="s">
        <v>14</v>
      </c>
      <c r="I509" s="1" t="s">
        <v>222</v>
      </c>
      <c r="J509" s="1">
        <v>13173969.359999999</v>
      </c>
      <c r="K509" s="1">
        <v>13173969.359999999</v>
      </c>
      <c r="L509" s="1">
        <v>0</v>
      </c>
      <c r="M509" s="1">
        <v>0</v>
      </c>
      <c r="N509" s="1" t="s">
        <v>14</v>
      </c>
      <c r="O509" s="1">
        <v>2.2772199999999999E-3</v>
      </c>
      <c r="P509" s="1">
        <v>1</v>
      </c>
      <c r="Q509" s="83">
        <v>297.85000000000002</v>
      </c>
      <c r="R509" s="83">
        <v>297.85000000000002</v>
      </c>
      <c r="S509" s="1">
        <v>297.85000000000002</v>
      </c>
      <c r="T509" s="83">
        <v>0</v>
      </c>
      <c r="U509" s="1" t="s">
        <v>122</v>
      </c>
      <c r="V509" s="1" t="s">
        <v>837</v>
      </c>
      <c r="W509" s="1">
        <v>3280.0940773799998</v>
      </c>
      <c r="X509" s="1"/>
      <c r="Y509" s="83" t="str">
        <f>VLOOKUP(LossTable[[#This Row],[Department]],$A$15:$B$40,2,FALSE)</f>
        <v>Insurance</v>
      </c>
    </row>
    <row r="510" spans="4:25" x14ac:dyDescent="0.25">
      <c r="D510" s="78">
        <v>326485</v>
      </c>
      <c r="E510" s="78">
        <v>280066590</v>
      </c>
      <c r="F510" s="83" t="s">
        <v>87</v>
      </c>
      <c r="G510" s="1" t="s">
        <v>234</v>
      </c>
      <c r="H510" s="1" t="s">
        <v>14</v>
      </c>
      <c r="I510" s="1" t="s">
        <v>235</v>
      </c>
      <c r="J510" s="1">
        <v>226363672.53999999</v>
      </c>
      <c r="K510" s="1">
        <v>226363672.53999999</v>
      </c>
      <c r="L510" s="1">
        <v>0</v>
      </c>
      <c r="M510" s="1">
        <v>0</v>
      </c>
      <c r="N510" s="1" t="s">
        <v>14</v>
      </c>
      <c r="O510" s="1">
        <v>5.74297E-3</v>
      </c>
      <c r="P510" s="1">
        <v>1</v>
      </c>
      <c r="Q510" s="83">
        <v>144906.29</v>
      </c>
      <c r="R510" s="83">
        <v>144906.29</v>
      </c>
      <c r="S510" s="1">
        <v>144906.29</v>
      </c>
      <c r="T510" s="83">
        <v>0</v>
      </c>
      <c r="U510" s="1" t="s">
        <v>122</v>
      </c>
      <c r="V510" s="1" t="s">
        <v>837</v>
      </c>
      <c r="W510" s="1">
        <v>3280.0940773799998</v>
      </c>
      <c r="X510" s="1"/>
      <c r="Y510" s="83" t="str">
        <f>VLOOKUP(LossTable[[#This Row],[Department]],$A$15:$B$40,2,FALSE)</f>
        <v>Insurance</v>
      </c>
    </row>
    <row r="511" spans="4:25" x14ac:dyDescent="0.25">
      <c r="D511" s="78">
        <v>329411</v>
      </c>
      <c r="E511" s="78">
        <v>280066590</v>
      </c>
      <c r="F511" s="83" t="s">
        <v>100</v>
      </c>
      <c r="G511" s="1" t="s">
        <v>118</v>
      </c>
      <c r="H511" s="1" t="s">
        <v>14</v>
      </c>
      <c r="I511" s="1" t="s">
        <v>119</v>
      </c>
      <c r="J511" s="1">
        <v>-53237924.369999997</v>
      </c>
      <c r="K511" s="1">
        <v>-53237924.369999997</v>
      </c>
      <c r="L511" s="1">
        <v>0</v>
      </c>
      <c r="M511" s="1">
        <v>0</v>
      </c>
      <c r="N511" s="1" t="s">
        <v>14</v>
      </c>
      <c r="O511" s="1">
        <v>0</v>
      </c>
      <c r="P511" s="1">
        <v>1</v>
      </c>
      <c r="Q511" s="83">
        <v>0</v>
      </c>
      <c r="R511" s="83">
        <v>0</v>
      </c>
      <c r="S511" s="1">
        <v>-131216.81</v>
      </c>
      <c r="T511" s="83">
        <v>0</v>
      </c>
      <c r="U511" s="1" t="s">
        <v>122</v>
      </c>
      <c r="V511" s="1" t="s">
        <v>837</v>
      </c>
      <c r="W511" s="1">
        <v>3280.0940773799998</v>
      </c>
      <c r="X511" s="1"/>
      <c r="Y511" s="83" t="str">
        <f>VLOOKUP(LossTable[[#This Row],[Department]],$A$15:$B$40,2,FALSE)</f>
        <v>EI Recovery^</v>
      </c>
    </row>
    <row r="512" spans="4:25" x14ac:dyDescent="0.25">
      <c r="D512" s="78">
        <v>348580</v>
      </c>
      <c r="E512" s="78">
        <v>280066590</v>
      </c>
      <c r="F512" s="83" t="s">
        <v>130</v>
      </c>
      <c r="G512" s="1" t="s">
        <v>131</v>
      </c>
      <c r="H512" s="1" t="s">
        <v>14</v>
      </c>
      <c r="I512" s="1" t="s">
        <v>132</v>
      </c>
      <c r="J512" s="1">
        <v>94035376.159999996</v>
      </c>
      <c r="K512" s="1">
        <v>94035376.159999996</v>
      </c>
      <c r="L512" s="1">
        <v>0</v>
      </c>
      <c r="M512" s="1">
        <v>0</v>
      </c>
      <c r="N512" s="1" t="s">
        <v>14</v>
      </c>
      <c r="O512" s="1">
        <v>2.1268599999999999E-3</v>
      </c>
      <c r="P512" s="1">
        <v>1</v>
      </c>
      <c r="Q512" s="83">
        <v>8900.2199999999993</v>
      </c>
      <c r="R512" s="83">
        <v>8900.2199999999993</v>
      </c>
      <c r="S512" s="1">
        <v>8900.2199999999993</v>
      </c>
      <c r="T512" s="83">
        <v>0</v>
      </c>
      <c r="U512" s="1" t="s">
        <v>122</v>
      </c>
      <c r="V512" s="1" t="s">
        <v>837</v>
      </c>
      <c r="W512" s="1">
        <v>3280.0940773799998</v>
      </c>
      <c r="X512" s="1"/>
      <c r="Y512" s="83" t="str">
        <f>VLOOKUP(LossTable[[#This Row],[Department]],$A$15:$B$40,2,FALSE)</f>
        <v>Insurance</v>
      </c>
    </row>
    <row r="513" spans="4:25" x14ac:dyDescent="0.25">
      <c r="D513" s="78">
        <v>388129</v>
      </c>
      <c r="E513" s="78">
        <v>280066590</v>
      </c>
      <c r="F513" s="83" t="s">
        <v>87</v>
      </c>
      <c r="G513" s="1" t="s">
        <v>228</v>
      </c>
      <c r="H513" s="1" t="s">
        <v>14</v>
      </c>
      <c r="I513" s="1" t="s">
        <v>229</v>
      </c>
      <c r="J513" s="1">
        <v>281765820.48000002</v>
      </c>
      <c r="K513" s="1">
        <v>281765820.48000002</v>
      </c>
      <c r="L513" s="1">
        <v>0</v>
      </c>
      <c r="M513" s="1">
        <v>0</v>
      </c>
      <c r="N513" s="1" t="s">
        <v>14</v>
      </c>
      <c r="O513" s="1">
        <v>2.1294279999999999E-2</v>
      </c>
      <c r="P513" s="1">
        <v>1</v>
      </c>
      <c r="Q513" s="83">
        <v>164248.14000000001</v>
      </c>
      <c r="R513" s="83">
        <v>164248.14000000001</v>
      </c>
      <c r="S513" s="1">
        <v>164248.14000000001</v>
      </c>
      <c r="T513" s="83">
        <v>0</v>
      </c>
      <c r="U513" s="1" t="s">
        <v>122</v>
      </c>
      <c r="V513" s="1" t="s">
        <v>837</v>
      </c>
      <c r="W513" s="1">
        <v>3280.0940773799998</v>
      </c>
      <c r="X513" s="1"/>
      <c r="Y513" s="83" t="str">
        <f>VLOOKUP(LossTable[[#This Row],[Department]],$A$15:$B$40,2,FALSE)</f>
        <v>Insurance</v>
      </c>
    </row>
    <row r="514" spans="4:25" x14ac:dyDescent="0.25">
      <c r="D514" s="78">
        <v>426935</v>
      </c>
      <c r="E514" s="78">
        <v>280066590</v>
      </c>
      <c r="F514" s="83" t="s">
        <v>94</v>
      </c>
      <c r="G514" s="1" t="s">
        <v>163</v>
      </c>
      <c r="H514" s="1" t="s">
        <v>16</v>
      </c>
      <c r="I514" s="1" t="s">
        <v>164</v>
      </c>
      <c r="J514" s="1">
        <v>312500</v>
      </c>
      <c r="K514" s="1">
        <v>2500000</v>
      </c>
      <c r="L514" s="1">
        <v>0</v>
      </c>
      <c r="M514" s="1">
        <v>0</v>
      </c>
      <c r="N514" s="1" t="s">
        <v>165</v>
      </c>
      <c r="O514" s="1">
        <v>0.25</v>
      </c>
      <c r="P514" s="1">
        <v>0.125</v>
      </c>
      <c r="Q514" s="83">
        <v>17.065000000000001</v>
      </c>
      <c r="R514" s="83">
        <v>17.065000000000001</v>
      </c>
      <c r="S514" s="1">
        <v>17.065000000000001</v>
      </c>
      <c r="T514" s="83">
        <v>0</v>
      </c>
      <c r="U514" s="1" t="s">
        <v>122</v>
      </c>
      <c r="V514" s="1" t="s">
        <v>837</v>
      </c>
      <c r="W514" s="1">
        <v>3280.0940773799998</v>
      </c>
      <c r="X514" s="1"/>
      <c r="Y514" s="83" t="str">
        <f>VLOOKUP(LossTable[[#This Row],[Department]],$A$15:$B$40,2,FALSE)</f>
        <v>TP</v>
      </c>
    </row>
    <row r="515" spans="4:25" x14ac:dyDescent="0.25">
      <c r="D515" s="78">
        <v>427334</v>
      </c>
      <c r="E515" s="78">
        <v>280066590</v>
      </c>
      <c r="F515" s="83" t="s">
        <v>94</v>
      </c>
      <c r="G515" s="1" t="s">
        <v>236</v>
      </c>
      <c r="H515" s="1" t="s">
        <v>14</v>
      </c>
      <c r="I515" s="1" t="s">
        <v>237</v>
      </c>
      <c r="J515" s="1">
        <v>3920000</v>
      </c>
      <c r="K515" s="1">
        <v>39200000</v>
      </c>
      <c r="L515" s="1">
        <v>0</v>
      </c>
      <c r="M515" s="1">
        <v>0</v>
      </c>
      <c r="N515" s="1" t="s">
        <v>238</v>
      </c>
      <c r="O515" s="1">
        <v>0.5000502</v>
      </c>
      <c r="P515" s="1">
        <v>0.1</v>
      </c>
      <c r="Q515" s="83">
        <v>91007.48</v>
      </c>
      <c r="R515" s="83">
        <v>91007.48</v>
      </c>
      <c r="S515" s="1">
        <v>91007.48</v>
      </c>
      <c r="T515" s="83">
        <v>0</v>
      </c>
      <c r="U515" s="1" t="s">
        <v>122</v>
      </c>
      <c r="V515" s="1" t="s">
        <v>837</v>
      </c>
      <c r="W515" s="1">
        <v>3280.0940773799998</v>
      </c>
      <c r="X515" s="1"/>
      <c r="Y515" s="83" t="str">
        <f>VLOOKUP(LossTable[[#This Row],[Department]],$A$15:$B$40,2,FALSE)</f>
        <v>TP</v>
      </c>
    </row>
    <row r="516" spans="4:25" x14ac:dyDescent="0.25">
      <c r="D516" s="78">
        <v>427823</v>
      </c>
      <c r="E516" s="78">
        <v>280066590</v>
      </c>
      <c r="F516" s="83" t="s">
        <v>94</v>
      </c>
      <c r="G516" s="1" t="s">
        <v>180</v>
      </c>
      <c r="H516" s="1" t="s">
        <v>14</v>
      </c>
      <c r="I516" s="1" t="s">
        <v>181</v>
      </c>
      <c r="J516" s="1">
        <v>2750000</v>
      </c>
      <c r="K516" s="1">
        <v>110000000</v>
      </c>
      <c r="L516" s="1">
        <v>0</v>
      </c>
      <c r="M516" s="1">
        <v>0</v>
      </c>
      <c r="N516" s="1" t="s">
        <v>182</v>
      </c>
      <c r="O516" s="1">
        <v>0.9</v>
      </c>
      <c r="P516" s="1">
        <v>2.5000000000000001E-2</v>
      </c>
      <c r="Q516" s="83">
        <v>19405.940999999999</v>
      </c>
      <c r="R516" s="83">
        <v>19405.940999999999</v>
      </c>
      <c r="S516" s="1">
        <v>19405.940999999999</v>
      </c>
      <c r="T516" s="83">
        <v>0</v>
      </c>
      <c r="U516" s="1" t="s">
        <v>122</v>
      </c>
      <c r="V516" s="1" t="s">
        <v>837</v>
      </c>
      <c r="W516" s="1">
        <v>3280.0940773799998</v>
      </c>
      <c r="X516" s="1"/>
      <c r="Y516" s="83" t="str">
        <f>VLOOKUP(LossTable[[#This Row],[Department]],$A$15:$B$40,2,FALSE)</f>
        <v>TP</v>
      </c>
    </row>
    <row r="517" spans="4:25" x14ac:dyDescent="0.25">
      <c r="D517" s="78">
        <v>430352</v>
      </c>
      <c r="E517" s="78">
        <v>280066590</v>
      </c>
      <c r="F517" s="83" t="s">
        <v>94</v>
      </c>
      <c r="G517" s="1" t="s">
        <v>306</v>
      </c>
      <c r="H517" s="1" t="s">
        <v>16</v>
      </c>
      <c r="I517" s="1" t="s">
        <v>307</v>
      </c>
      <c r="J517" s="1">
        <v>1800000</v>
      </c>
      <c r="K517" s="1">
        <v>15000000</v>
      </c>
      <c r="L517" s="1">
        <v>0</v>
      </c>
      <c r="M517" s="1">
        <v>0</v>
      </c>
      <c r="N517" s="1" t="s">
        <v>308</v>
      </c>
      <c r="O517" s="1">
        <v>0.56666665999999999</v>
      </c>
      <c r="P517" s="1">
        <v>0.12</v>
      </c>
      <c r="Q517" s="83">
        <v>17416.642800000001</v>
      </c>
      <c r="R517" s="83">
        <v>17416.642800000001</v>
      </c>
      <c r="S517" s="1">
        <v>17416.642800000001</v>
      </c>
      <c r="T517" s="83">
        <v>0</v>
      </c>
      <c r="U517" s="1" t="s">
        <v>122</v>
      </c>
      <c r="V517" s="1" t="s">
        <v>837</v>
      </c>
      <c r="W517" s="1">
        <v>3280.0940773799998</v>
      </c>
      <c r="X517" s="1"/>
      <c r="Y517" s="83" t="str">
        <f>VLOOKUP(LossTable[[#This Row],[Department]],$A$15:$B$40,2,FALSE)</f>
        <v>TP</v>
      </c>
    </row>
    <row r="518" spans="4:25" x14ac:dyDescent="0.25">
      <c r="D518" s="78">
        <v>430385</v>
      </c>
      <c r="E518" s="78">
        <v>280066590</v>
      </c>
      <c r="F518" s="83" t="s">
        <v>94</v>
      </c>
      <c r="G518" s="1" t="s">
        <v>313</v>
      </c>
      <c r="H518" s="1" t="s">
        <v>16</v>
      </c>
      <c r="I518" s="1" t="s">
        <v>324</v>
      </c>
      <c r="J518" s="1">
        <v>1050000</v>
      </c>
      <c r="K518" s="1">
        <v>20000000</v>
      </c>
      <c r="L518" s="1">
        <v>0</v>
      </c>
      <c r="M518" s="1">
        <v>0</v>
      </c>
      <c r="N518" s="1" t="s">
        <v>325</v>
      </c>
      <c r="O518" s="1">
        <v>0.17</v>
      </c>
      <c r="P518" s="1">
        <v>5.2499999999999998E-2</v>
      </c>
      <c r="Q518" s="83">
        <v>18081.460425000001</v>
      </c>
      <c r="R518" s="83">
        <v>18081.460425000001</v>
      </c>
      <c r="S518" s="1">
        <v>18081.460425000001</v>
      </c>
      <c r="T518" s="83">
        <v>0</v>
      </c>
      <c r="U518" s="1" t="s">
        <v>122</v>
      </c>
      <c r="V518" s="1" t="s">
        <v>837</v>
      </c>
      <c r="W518" s="1">
        <v>3280.0940773799998</v>
      </c>
      <c r="X518" s="1"/>
      <c r="Y518" s="83" t="str">
        <f>VLOOKUP(LossTable[[#This Row],[Department]],$A$15:$B$40,2,FALSE)</f>
        <v>TP</v>
      </c>
    </row>
    <row r="519" spans="4:25" x14ac:dyDescent="0.25">
      <c r="D519" s="78">
        <v>433118</v>
      </c>
      <c r="E519" s="78">
        <v>280066590</v>
      </c>
      <c r="F519" s="83" t="s">
        <v>45</v>
      </c>
      <c r="G519" s="1" t="s">
        <v>304</v>
      </c>
      <c r="H519" s="1" t="s">
        <v>14</v>
      </c>
      <c r="I519" s="1" t="s">
        <v>312</v>
      </c>
      <c r="J519" s="1">
        <v>2705205.46</v>
      </c>
      <c r="K519" s="1">
        <v>10820821.84</v>
      </c>
      <c r="L519" s="1">
        <v>0</v>
      </c>
      <c r="M519" s="1">
        <v>0</v>
      </c>
      <c r="N519" s="1" t="s">
        <v>14</v>
      </c>
      <c r="O519" s="1">
        <v>0.21948424999999999</v>
      </c>
      <c r="P519" s="1">
        <v>0.25</v>
      </c>
      <c r="Q519" s="83">
        <v>5440.95</v>
      </c>
      <c r="R519" s="83">
        <v>5440.95</v>
      </c>
      <c r="S519" s="1">
        <v>5440.95</v>
      </c>
      <c r="T519" s="83">
        <v>0</v>
      </c>
      <c r="U519" s="1" t="s">
        <v>122</v>
      </c>
      <c r="V519" s="1" t="s">
        <v>837</v>
      </c>
      <c r="W519" s="1">
        <v>3280.0940773799998</v>
      </c>
      <c r="X519" s="1"/>
      <c r="Y519" s="83" t="str">
        <f>VLOOKUP(LossTable[[#This Row],[Department]],$A$15:$B$40,2,FALSE)</f>
        <v>FP</v>
      </c>
    </row>
    <row r="520" spans="4:25" x14ac:dyDescent="0.25">
      <c r="D520" s="78">
        <v>434730</v>
      </c>
      <c r="E520" s="78">
        <v>280066590</v>
      </c>
      <c r="F520" s="83" t="s">
        <v>45</v>
      </c>
      <c r="G520" s="1" t="s">
        <v>401</v>
      </c>
      <c r="H520" s="1" t="s">
        <v>16</v>
      </c>
      <c r="I520" s="1" t="s">
        <v>402</v>
      </c>
      <c r="J520" s="1">
        <v>150000</v>
      </c>
      <c r="K520" s="1">
        <v>3000000</v>
      </c>
      <c r="L520" s="1">
        <v>0</v>
      </c>
      <c r="M520" s="1">
        <v>0</v>
      </c>
      <c r="N520" s="1" t="s">
        <v>403</v>
      </c>
      <c r="O520" s="1">
        <v>4.1666666699999997</v>
      </c>
      <c r="P520" s="1">
        <v>0.05</v>
      </c>
      <c r="Q520" s="83">
        <v>4783.4795000000004</v>
      </c>
      <c r="R520" s="83">
        <v>4783.4795000000004</v>
      </c>
      <c r="S520" s="1">
        <v>4783.4795000000004</v>
      </c>
      <c r="T520" s="83">
        <v>0</v>
      </c>
      <c r="U520" s="1" t="s">
        <v>122</v>
      </c>
      <c r="V520" s="1" t="s">
        <v>837</v>
      </c>
      <c r="W520" s="1">
        <v>3280.0940773799998</v>
      </c>
      <c r="X520" s="1"/>
      <c r="Y520" s="83" t="str">
        <f>VLOOKUP(LossTable[[#This Row],[Department]],$A$15:$B$40,2,FALSE)</f>
        <v>FP</v>
      </c>
    </row>
    <row r="521" spans="4:25" x14ac:dyDescent="0.25">
      <c r="D521" s="78">
        <v>435053</v>
      </c>
      <c r="E521" s="78">
        <v>280066590</v>
      </c>
      <c r="F521" s="83" t="s">
        <v>94</v>
      </c>
      <c r="G521" s="1" t="s">
        <v>392</v>
      </c>
      <c r="H521" s="1" t="s">
        <v>16</v>
      </c>
      <c r="I521" s="1" t="s">
        <v>393</v>
      </c>
      <c r="J521" s="1">
        <v>330000</v>
      </c>
      <c r="K521" s="1">
        <v>11000000</v>
      </c>
      <c r="L521" s="1">
        <v>0</v>
      </c>
      <c r="M521" s="1">
        <v>0</v>
      </c>
      <c r="N521" s="1" t="s">
        <v>394</v>
      </c>
      <c r="O521" s="1">
        <v>0.10909091</v>
      </c>
      <c r="P521" s="1">
        <v>0.03</v>
      </c>
      <c r="Q521" s="83">
        <v>24.398099999999999</v>
      </c>
      <c r="R521" s="83">
        <v>24.398099999999999</v>
      </c>
      <c r="S521" s="1">
        <v>24.398099999999999</v>
      </c>
      <c r="T521" s="83">
        <v>0</v>
      </c>
      <c r="U521" s="1" t="s">
        <v>122</v>
      </c>
      <c r="V521" s="1" t="s">
        <v>837</v>
      </c>
      <c r="W521" s="1">
        <v>3280.0940773799998</v>
      </c>
      <c r="X521" s="1"/>
      <c r="Y521" s="83" t="str">
        <f>VLOOKUP(LossTable[[#This Row],[Department]],$A$15:$B$40,2,FALSE)</f>
        <v>TP</v>
      </c>
    </row>
    <row r="522" spans="4:25" x14ac:dyDescent="0.25">
      <c r="D522" s="78">
        <v>437966</v>
      </c>
      <c r="E522" s="78">
        <v>280066590</v>
      </c>
      <c r="F522" s="83" t="s">
        <v>45</v>
      </c>
      <c r="G522" s="1" t="s">
        <v>374</v>
      </c>
      <c r="H522" s="1" t="s">
        <v>16</v>
      </c>
      <c r="I522" s="1" t="s">
        <v>375</v>
      </c>
      <c r="J522" s="1">
        <v>6000000</v>
      </c>
      <c r="K522" s="1">
        <v>30000000</v>
      </c>
      <c r="L522" s="1">
        <v>0</v>
      </c>
      <c r="M522" s="1">
        <v>0</v>
      </c>
      <c r="N522" s="1" t="s">
        <v>376</v>
      </c>
      <c r="O522" s="1">
        <v>0.13092852999999999</v>
      </c>
      <c r="P522" s="1">
        <v>0.2</v>
      </c>
      <c r="Q522" s="83">
        <v>341.72800000000001</v>
      </c>
      <c r="R522" s="83">
        <v>341.72800000000001</v>
      </c>
      <c r="S522" s="1">
        <v>341.72800000000001</v>
      </c>
      <c r="T522" s="83">
        <v>0</v>
      </c>
      <c r="U522" s="1" t="s">
        <v>122</v>
      </c>
      <c r="V522" s="1" t="s">
        <v>837</v>
      </c>
      <c r="W522" s="1">
        <v>3280.0940773799998</v>
      </c>
      <c r="X522" s="1"/>
      <c r="Y522" s="83" t="str">
        <f>VLOOKUP(LossTable[[#This Row],[Department]],$A$15:$B$40,2,FALSE)</f>
        <v>FP</v>
      </c>
    </row>
    <row r="523" spans="4:25" x14ac:dyDescent="0.25">
      <c r="D523" s="78">
        <v>439158</v>
      </c>
      <c r="E523" s="78">
        <v>280066590</v>
      </c>
      <c r="F523" s="83" t="s">
        <v>94</v>
      </c>
      <c r="G523" s="1" t="s">
        <v>494</v>
      </c>
      <c r="H523" s="1" t="s">
        <v>14</v>
      </c>
      <c r="I523" s="1" t="s">
        <v>495</v>
      </c>
      <c r="J523" s="1">
        <v>500000</v>
      </c>
      <c r="K523" s="1">
        <v>10000000</v>
      </c>
      <c r="L523" s="1">
        <v>0</v>
      </c>
      <c r="M523" s="1">
        <v>0</v>
      </c>
      <c r="N523" s="1" t="s">
        <v>176</v>
      </c>
      <c r="O523" s="1">
        <v>3.8129113000000001</v>
      </c>
      <c r="P523" s="1">
        <v>0.05</v>
      </c>
      <c r="Q523" s="83">
        <v>57020.695</v>
      </c>
      <c r="R523" s="83">
        <v>57020.695</v>
      </c>
      <c r="S523" s="1">
        <v>57020.695</v>
      </c>
      <c r="T523" s="83">
        <v>0</v>
      </c>
      <c r="U523" s="1" t="s">
        <v>122</v>
      </c>
      <c r="V523" s="1" t="s">
        <v>837</v>
      </c>
      <c r="W523" s="1">
        <v>3280.0940773799998</v>
      </c>
      <c r="X523" s="1"/>
      <c r="Y523" s="83" t="str">
        <f>VLOOKUP(LossTable[[#This Row],[Department]],$A$15:$B$40,2,FALSE)</f>
        <v>TP</v>
      </c>
    </row>
    <row r="524" spans="4:25" x14ac:dyDescent="0.25">
      <c r="D524" s="78">
        <v>441612</v>
      </c>
      <c r="E524" s="78">
        <v>280066590</v>
      </c>
      <c r="F524" s="83" t="s">
        <v>94</v>
      </c>
      <c r="G524" s="1" t="s">
        <v>811</v>
      </c>
      <c r="H524" s="1" t="s">
        <v>13</v>
      </c>
      <c r="I524" s="1" t="s">
        <v>817</v>
      </c>
      <c r="J524" s="1">
        <v>285000</v>
      </c>
      <c r="K524" s="1">
        <v>6000000</v>
      </c>
      <c r="L524" s="1">
        <v>4000000</v>
      </c>
      <c r="M524" s="1">
        <v>0</v>
      </c>
      <c r="N524" s="1" t="s">
        <v>611</v>
      </c>
      <c r="O524" s="1">
        <v>0.47</v>
      </c>
      <c r="P524" s="1">
        <v>4.7500000000000001E-2</v>
      </c>
      <c r="Q524" s="83">
        <v>56527.327975</v>
      </c>
      <c r="R524" s="83">
        <v>37206.837554349302</v>
      </c>
      <c r="S524" s="1">
        <v>37206.837554349302</v>
      </c>
      <c r="T524" s="83">
        <v>0</v>
      </c>
      <c r="U524" s="1" t="s">
        <v>122</v>
      </c>
      <c r="V524" s="1" t="s">
        <v>837</v>
      </c>
      <c r="W524" s="1">
        <v>3280.0940773799998</v>
      </c>
      <c r="X524" s="1"/>
      <c r="Y524" s="83" t="str">
        <f>VLOOKUP(LossTable[[#This Row],[Department]],$A$15:$B$40,2,FALSE)</f>
        <v>TP</v>
      </c>
    </row>
    <row r="525" spans="4:25" x14ac:dyDescent="0.25">
      <c r="D525" s="78">
        <v>441790</v>
      </c>
      <c r="E525" s="78">
        <v>280066590</v>
      </c>
      <c r="F525" s="83" t="s">
        <v>94</v>
      </c>
      <c r="G525" s="1" t="s">
        <v>380</v>
      </c>
      <c r="H525" s="1" t="s">
        <v>16</v>
      </c>
      <c r="I525" s="1" t="s">
        <v>387</v>
      </c>
      <c r="J525" s="1">
        <v>375000</v>
      </c>
      <c r="K525" s="1">
        <v>30000000</v>
      </c>
      <c r="L525" s="1">
        <v>0</v>
      </c>
      <c r="M525" s="1">
        <v>0</v>
      </c>
      <c r="N525" s="1" t="s">
        <v>122</v>
      </c>
      <c r="O525" s="1">
        <v>0.125</v>
      </c>
      <c r="P525" s="1">
        <v>1.2500000000000001E-2</v>
      </c>
      <c r="Q525" s="83">
        <v>59.015875000000001</v>
      </c>
      <c r="R525" s="83">
        <v>59.015875000000001</v>
      </c>
      <c r="S525" s="1">
        <v>59.015875000000001</v>
      </c>
      <c r="T525" s="83">
        <v>0</v>
      </c>
      <c r="U525" s="1" t="s">
        <v>122</v>
      </c>
      <c r="V525" s="1" t="s">
        <v>837</v>
      </c>
      <c r="W525" s="1">
        <v>3280.0940773799998</v>
      </c>
      <c r="X525" s="1"/>
      <c r="Y525" s="83" t="str">
        <f>VLOOKUP(LossTable[[#This Row],[Department]],$A$15:$B$40,2,FALSE)</f>
        <v>TP</v>
      </c>
    </row>
    <row r="526" spans="4:25" x14ac:dyDescent="0.25">
      <c r="D526" s="78">
        <v>444587</v>
      </c>
      <c r="E526" s="78">
        <v>280066590</v>
      </c>
      <c r="F526" s="83" t="s">
        <v>94</v>
      </c>
      <c r="G526" s="1" t="s">
        <v>395</v>
      </c>
      <c r="H526" s="1" t="s">
        <v>16</v>
      </c>
      <c r="I526" s="1" t="s">
        <v>396</v>
      </c>
      <c r="J526" s="1">
        <v>787500</v>
      </c>
      <c r="K526" s="1">
        <v>22500000</v>
      </c>
      <c r="L526" s="1">
        <v>0</v>
      </c>
      <c r="M526" s="1">
        <v>0</v>
      </c>
      <c r="N526" s="1" t="s">
        <v>397</v>
      </c>
      <c r="O526" s="1">
        <v>9.2666666699999993</v>
      </c>
      <c r="P526" s="1">
        <v>3.5000000000000003E-2</v>
      </c>
      <c r="Q526" s="83">
        <v>33303.928699999997</v>
      </c>
      <c r="R526" s="83">
        <v>33303.928699999997</v>
      </c>
      <c r="S526" s="1">
        <v>33303.928699999997</v>
      </c>
      <c r="T526" s="83">
        <v>0</v>
      </c>
      <c r="U526" s="1" t="s">
        <v>122</v>
      </c>
      <c r="V526" s="1" t="s">
        <v>837</v>
      </c>
      <c r="W526" s="1">
        <v>3280.0940773799998</v>
      </c>
      <c r="X526" s="1"/>
      <c r="Y526" s="83" t="str">
        <f>VLOOKUP(LossTable[[#This Row],[Department]],$A$15:$B$40,2,FALSE)</f>
        <v>TP</v>
      </c>
    </row>
    <row r="527" spans="4:25" x14ac:dyDescent="0.25">
      <c r="D527" s="78">
        <v>445843</v>
      </c>
      <c r="E527" s="78">
        <v>280066590</v>
      </c>
      <c r="F527" s="83" t="s">
        <v>45</v>
      </c>
      <c r="G527" s="1" t="s">
        <v>519</v>
      </c>
      <c r="H527" s="1" t="s">
        <v>16</v>
      </c>
      <c r="I527" s="1" t="s">
        <v>520</v>
      </c>
      <c r="J527" s="1">
        <v>50000000</v>
      </c>
      <c r="K527" s="1">
        <v>1000000000</v>
      </c>
      <c r="L527" s="1">
        <v>0</v>
      </c>
      <c r="M527" s="1">
        <v>0</v>
      </c>
      <c r="N527" s="1" t="s">
        <v>521</v>
      </c>
      <c r="O527" s="1">
        <v>1.334834E-2</v>
      </c>
      <c r="P527" s="1">
        <v>0.05</v>
      </c>
      <c r="Q527" s="83">
        <v>2417.2420000000002</v>
      </c>
      <c r="R527" s="83">
        <v>2417.2420000000002</v>
      </c>
      <c r="S527" s="1">
        <v>2417.2420000000002</v>
      </c>
      <c r="T527" s="83">
        <v>0</v>
      </c>
      <c r="U527" s="1" t="s">
        <v>122</v>
      </c>
      <c r="V527" s="1" t="s">
        <v>837</v>
      </c>
      <c r="W527" s="1">
        <v>3280.0940773799998</v>
      </c>
      <c r="X527" s="1"/>
      <c r="Y527" s="83" t="str">
        <f>VLOOKUP(LossTable[[#This Row],[Department]],$A$15:$B$40,2,FALSE)</f>
        <v>FP</v>
      </c>
    </row>
    <row r="528" spans="4:25" x14ac:dyDescent="0.25">
      <c r="D528" s="78">
        <v>445971</v>
      </c>
      <c r="E528" s="78">
        <v>280066590</v>
      </c>
      <c r="F528" s="83" t="s">
        <v>94</v>
      </c>
      <c r="G528" s="1" t="s">
        <v>470</v>
      </c>
      <c r="H528" s="1" t="s">
        <v>16</v>
      </c>
      <c r="I528" s="1" t="s">
        <v>484</v>
      </c>
      <c r="J528" s="1">
        <v>2500000</v>
      </c>
      <c r="K528" s="1">
        <v>50000000</v>
      </c>
      <c r="L528" s="1">
        <v>0</v>
      </c>
      <c r="M528" s="1">
        <v>0</v>
      </c>
      <c r="N528" s="1" t="s">
        <v>432</v>
      </c>
      <c r="O528" s="1">
        <v>3.9997829999999998E-2</v>
      </c>
      <c r="P528" s="1">
        <v>0.05</v>
      </c>
      <c r="Q528" s="83">
        <v>467.916</v>
      </c>
      <c r="R528" s="83">
        <v>467.916</v>
      </c>
      <c r="S528" s="1">
        <v>467.916</v>
      </c>
      <c r="T528" s="83">
        <v>0</v>
      </c>
      <c r="U528" s="1" t="s">
        <v>122</v>
      </c>
      <c r="V528" s="1" t="s">
        <v>837</v>
      </c>
      <c r="W528" s="1">
        <v>3280.0940773799998</v>
      </c>
      <c r="X528" s="1"/>
      <c r="Y528" s="83" t="str">
        <f>VLOOKUP(LossTable[[#This Row],[Department]],$A$15:$B$40,2,FALSE)</f>
        <v>TP</v>
      </c>
    </row>
    <row r="529" spans="4:25" x14ac:dyDescent="0.25">
      <c r="D529" s="78">
        <v>445990</v>
      </c>
      <c r="E529" s="78">
        <v>280066590</v>
      </c>
      <c r="F529" s="83" t="s">
        <v>94</v>
      </c>
      <c r="G529" s="1" t="s">
        <v>440</v>
      </c>
      <c r="H529" s="1" t="s">
        <v>16</v>
      </c>
      <c r="I529" s="1" t="s">
        <v>502</v>
      </c>
      <c r="J529" s="1">
        <v>20000000</v>
      </c>
      <c r="K529" s="1">
        <v>200000000</v>
      </c>
      <c r="L529" s="1">
        <v>0</v>
      </c>
      <c r="M529" s="1">
        <v>0</v>
      </c>
      <c r="N529" s="1" t="s">
        <v>365</v>
      </c>
      <c r="O529" s="1">
        <v>0.37</v>
      </c>
      <c r="P529" s="1">
        <v>0.1</v>
      </c>
      <c r="Q529" s="83">
        <v>11359.807000000001</v>
      </c>
      <c r="R529" s="83">
        <v>11359.807000000001</v>
      </c>
      <c r="S529" s="1">
        <v>11359.807000000001</v>
      </c>
      <c r="T529" s="83">
        <v>0</v>
      </c>
      <c r="U529" s="1" t="s">
        <v>122</v>
      </c>
      <c r="V529" s="1" t="s">
        <v>837</v>
      </c>
      <c r="W529" s="1">
        <v>3280.0940773799998</v>
      </c>
      <c r="X529" s="1"/>
      <c r="Y529" s="83" t="str">
        <f>VLOOKUP(LossTable[[#This Row],[Department]],$A$15:$B$40,2,FALSE)</f>
        <v>TP</v>
      </c>
    </row>
    <row r="530" spans="4:25" x14ac:dyDescent="0.25">
      <c r="D530" s="78">
        <v>446802</v>
      </c>
      <c r="E530" s="78">
        <v>280066590</v>
      </c>
      <c r="F530" s="83" t="s">
        <v>94</v>
      </c>
      <c r="G530" s="1" t="s">
        <v>448</v>
      </c>
      <c r="H530" s="1" t="s">
        <v>16</v>
      </c>
      <c r="I530" s="1" t="s">
        <v>449</v>
      </c>
      <c r="J530" s="1">
        <v>1500000</v>
      </c>
      <c r="K530" s="1">
        <v>60000000</v>
      </c>
      <c r="L530" s="1">
        <v>0</v>
      </c>
      <c r="M530" s="1">
        <v>0</v>
      </c>
      <c r="N530" s="1" t="s">
        <v>450</v>
      </c>
      <c r="O530" s="1">
        <v>1.49995777</v>
      </c>
      <c r="P530" s="1">
        <v>2.5000000000000001E-2</v>
      </c>
      <c r="Q530" s="83">
        <v>15651.534750000001</v>
      </c>
      <c r="R530" s="83">
        <v>15651.534750000001</v>
      </c>
      <c r="S530" s="1">
        <v>15651.534750000001</v>
      </c>
      <c r="T530" s="83">
        <v>0</v>
      </c>
      <c r="U530" s="1" t="s">
        <v>122</v>
      </c>
      <c r="V530" s="1" t="s">
        <v>837</v>
      </c>
      <c r="W530" s="1">
        <v>3280.0940773799998</v>
      </c>
      <c r="X530" s="1"/>
      <c r="Y530" s="83" t="str">
        <f>VLOOKUP(LossTable[[#This Row],[Department]],$A$15:$B$40,2,FALSE)</f>
        <v>TP</v>
      </c>
    </row>
    <row r="531" spans="4:25" x14ac:dyDescent="0.25">
      <c r="D531" s="78">
        <v>448039</v>
      </c>
      <c r="E531" s="78">
        <v>280066590</v>
      </c>
      <c r="F531" s="83" t="s">
        <v>12</v>
      </c>
      <c r="G531" s="1" t="s">
        <v>508</v>
      </c>
      <c r="H531" s="1" t="s">
        <v>16</v>
      </c>
      <c r="I531" s="1" t="s">
        <v>545</v>
      </c>
      <c r="J531" s="1">
        <v>10000000</v>
      </c>
      <c r="K531" s="1">
        <v>200000000</v>
      </c>
      <c r="L531" s="1">
        <v>0</v>
      </c>
      <c r="M531" s="1">
        <v>0</v>
      </c>
      <c r="N531" s="1" t="s">
        <v>546</v>
      </c>
      <c r="O531" s="1">
        <v>5.5E-2</v>
      </c>
      <c r="P531" s="1">
        <v>0.05</v>
      </c>
      <c r="Q531" s="83">
        <v>5042.6130000000003</v>
      </c>
      <c r="R531" s="83">
        <v>5042.6130000000003</v>
      </c>
      <c r="S531" s="1">
        <v>5042.6130000000003</v>
      </c>
      <c r="T531" s="83">
        <v>0</v>
      </c>
      <c r="U531" s="1" t="s">
        <v>122</v>
      </c>
      <c r="V531" s="1" t="s">
        <v>837</v>
      </c>
      <c r="W531" s="1">
        <v>3280.0940773799998</v>
      </c>
      <c r="X531" s="1"/>
      <c r="Y531" s="83" t="str">
        <f>VLOOKUP(LossTable[[#This Row],[Department]],$A$15:$B$40,2,FALSE)</f>
        <v>Bermuda</v>
      </c>
    </row>
    <row r="532" spans="4:25" x14ac:dyDescent="0.25">
      <c r="D532" s="78">
        <v>448495</v>
      </c>
      <c r="E532" s="78">
        <v>280066590</v>
      </c>
      <c r="F532" s="83" t="s">
        <v>94</v>
      </c>
      <c r="G532" s="1" t="s">
        <v>533</v>
      </c>
      <c r="H532" s="1" t="s">
        <v>16</v>
      </c>
      <c r="I532" s="1" t="s">
        <v>557</v>
      </c>
      <c r="J532" s="1">
        <v>12000000</v>
      </c>
      <c r="K532" s="1">
        <v>200000000</v>
      </c>
      <c r="L532" s="1">
        <v>0</v>
      </c>
      <c r="M532" s="1">
        <v>0</v>
      </c>
      <c r="N532" s="1" t="s">
        <v>558</v>
      </c>
      <c r="O532" s="1">
        <v>0.22500000000000001</v>
      </c>
      <c r="P532" s="1">
        <v>0.06</v>
      </c>
      <c r="Q532" s="83">
        <v>37191.405599999998</v>
      </c>
      <c r="R532" s="83">
        <v>37191.405599999998</v>
      </c>
      <c r="S532" s="1">
        <v>37191.405599999998</v>
      </c>
      <c r="T532" s="83">
        <v>0</v>
      </c>
      <c r="U532" s="1" t="s">
        <v>122</v>
      </c>
      <c r="V532" s="1" t="s">
        <v>837</v>
      </c>
      <c r="W532" s="1">
        <v>3280.0940773799998</v>
      </c>
      <c r="X532" s="1"/>
      <c r="Y532" s="83" t="str">
        <f>VLOOKUP(LossTable[[#This Row],[Department]],$A$15:$B$40,2,FALSE)</f>
        <v>TP</v>
      </c>
    </row>
    <row r="533" spans="4:25" x14ac:dyDescent="0.25">
      <c r="D533" s="78">
        <v>454564</v>
      </c>
      <c r="E533" s="78">
        <v>280066590</v>
      </c>
      <c r="F533" s="83" t="s">
        <v>94</v>
      </c>
      <c r="G533" s="1" t="s">
        <v>569</v>
      </c>
      <c r="H533" s="1" t="s">
        <v>14</v>
      </c>
      <c r="I533" s="1" t="s">
        <v>570</v>
      </c>
      <c r="J533" s="1">
        <v>4950000</v>
      </c>
      <c r="K533" s="1">
        <v>99000000</v>
      </c>
      <c r="L533" s="1">
        <v>0</v>
      </c>
      <c r="M533" s="1">
        <v>0</v>
      </c>
      <c r="N533" s="1" t="s">
        <v>571</v>
      </c>
      <c r="O533" s="1">
        <v>0.66666667000000002</v>
      </c>
      <c r="P533" s="1">
        <v>0.05</v>
      </c>
      <c r="Q533" s="83">
        <v>5627.6329999999998</v>
      </c>
      <c r="R533" s="83">
        <v>5627.6329999999998</v>
      </c>
      <c r="S533" s="1">
        <v>5627.6329999999998</v>
      </c>
      <c r="T533" s="83">
        <v>0</v>
      </c>
      <c r="U533" s="1" t="s">
        <v>122</v>
      </c>
      <c r="V533" s="1" t="s">
        <v>837</v>
      </c>
      <c r="W533" s="1">
        <v>3280.0940773799998</v>
      </c>
      <c r="X533" s="1"/>
      <c r="Y533" s="83" t="str">
        <f>VLOOKUP(LossTable[[#This Row],[Department]],$A$15:$B$40,2,FALSE)</f>
        <v>TP</v>
      </c>
    </row>
    <row r="534" spans="4:25" x14ac:dyDescent="0.25">
      <c r="D534" s="78">
        <v>459057</v>
      </c>
      <c r="E534" s="78">
        <v>280066590</v>
      </c>
      <c r="F534" s="83" t="s">
        <v>12</v>
      </c>
      <c r="G534" s="1" t="s">
        <v>829</v>
      </c>
      <c r="H534" s="1" t="s">
        <v>14</v>
      </c>
      <c r="I534" s="1" t="s">
        <v>830</v>
      </c>
      <c r="J534" s="1">
        <v>2438994.2000000002</v>
      </c>
      <c r="K534" s="1">
        <v>24389942</v>
      </c>
      <c r="L534" s="1">
        <v>0</v>
      </c>
      <c r="M534" s="1">
        <v>0</v>
      </c>
      <c r="N534" s="1" t="s">
        <v>831</v>
      </c>
      <c r="O534" s="1">
        <v>1.1275139599999999</v>
      </c>
      <c r="P534" s="1">
        <v>0.1</v>
      </c>
      <c r="Q534" s="83">
        <v>11.573</v>
      </c>
      <c r="R534" s="83">
        <v>11.573</v>
      </c>
      <c r="S534" s="1">
        <v>11.573</v>
      </c>
      <c r="T534" s="83">
        <v>0</v>
      </c>
      <c r="U534" s="1" t="s">
        <v>122</v>
      </c>
      <c r="V534" s="1" t="s">
        <v>837</v>
      </c>
      <c r="W534" s="1">
        <v>3280.0940773799998</v>
      </c>
      <c r="X534" s="1"/>
      <c r="Y534" s="83" t="str">
        <f>VLOOKUP(LossTable[[#This Row],[Department]],$A$15:$B$40,2,FALSE)</f>
        <v>Bermuda</v>
      </c>
    </row>
    <row r="535" spans="4:25" x14ac:dyDescent="0.25">
      <c r="D535" s="78">
        <v>463414</v>
      </c>
      <c r="E535" s="78">
        <v>280066590</v>
      </c>
      <c r="F535" s="83" t="s">
        <v>94</v>
      </c>
      <c r="G535" s="1" t="s">
        <v>547</v>
      </c>
      <c r="H535" s="1" t="s">
        <v>14</v>
      </c>
      <c r="I535" s="1" t="s">
        <v>548</v>
      </c>
      <c r="J535" s="1">
        <v>15000000</v>
      </c>
      <c r="K535" s="1">
        <v>100000000</v>
      </c>
      <c r="L535" s="1">
        <v>0</v>
      </c>
      <c r="M535" s="1">
        <v>0</v>
      </c>
      <c r="N535" s="1" t="s">
        <v>335</v>
      </c>
      <c r="O535" s="1">
        <v>12.70729618</v>
      </c>
      <c r="P535" s="1">
        <v>0.15</v>
      </c>
      <c r="Q535" s="83">
        <v>455498.21850000002</v>
      </c>
      <c r="R535" s="83">
        <v>455498.21850000002</v>
      </c>
      <c r="S535" s="1">
        <v>455498.21850000002</v>
      </c>
      <c r="T535" s="83">
        <v>0</v>
      </c>
      <c r="U535" s="1" t="s">
        <v>122</v>
      </c>
      <c r="V535" s="1" t="s">
        <v>837</v>
      </c>
      <c r="W535" s="1">
        <v>3280.0940773799998</v>
      </c>
      <c r="X535" s="1"/>
      <c r="Y535" s="83" t="str">
        <f>VLOOKUP(LossTable[[#This Row],[Department]],$A$15:$B$40,2,FALSE)</f>
        <v>TP</v>
      </c>
    </row>
    <row r="536" spans="4:25" x14ac:dyDescent="0.25">
      <c r="D536" s="78">
        <v>464924</v>
      </c>
      <c r="E536" s="78">
        <v>280066590</v>
      </c>
      <c r="F536" s="83" t="s">
        <v>94</v>
      </c>
      <c r="G536" s="1" t="s">
        <v>616</v>
      </c>
      <c r="H536" s="1" t="s">
        <v>14</v>
      </c>
      <c r="I536" s="1" t="s">
        <v>617</v>
      </c>
      <c r="J536" s="1">
        <v>9600000</v>
      </c>
      <c r="K536" s="1">
        <v>160000000</v>
      </c>
      <c r="L536" s="1">
        <v>0</v>
      </c>
      <c r="M536" s="1">
        <v>0</v>
      </c>
      <c r="N536" s="1" t="s">
        <v>122</v>
      </c>
      <c r="O536" s="1">
        <v>1</v>
      </c>
      <c r="P536" s="1">
        <v>0.06</v>
      </c>
      <c r="Q536" s="83">
        <v>74143.388999999996</v>
      </c>
      <c r="R536" s="83">
        <v>74143.388999999996</v>
      </c>
      <c r="S536" s="1">
        <v>74143.388999999996</v>
      </c>
      <c r="T536" s="83">
        <v>0</v>
      </c>
      <c r="U536" s="1" t="s">
        <v>122</v>
      </c>
      <c r="V536" s="1" t="s">
        <v>837</v>
      </c>
      <c r="W536" s="1">
        <v>3280.0940773799998</v>
      </c>
      <c r="X536" s="1"/>
      <c r="Y536" s="83" t="str">
        <f>VLOOKUP(LossTable[[#This Row],[Department]],$A$15:$B$40,2,FALSE)</f>
        <v>TP</v>
      </c>
    </row>
    <row r="537" spans="4:25" x14ac:dyDescent="0.25">
      <c r="D537" s="78">
        <v>468497</v>
      </c>
      <c r="E537" s="78">
        <v>280066590</v>
      </c>
      <c r="F537" s="83" t="s">
        <v>12</v>
      </c>
      <c r="G537" s="1" t="s">
        <v>631</v>
      </c>
      <c r="H537" s="1" t="s">
        <v>14</v>
      </c>
      <c r="I537" s="1" t="s">
        <v>632</v>
      </c>
      <c r="J537" s="1">
        <v>6750000</v>
      </c>
      <c r="K537" s="1">
        <v>135000000</v>
      </c>
      <c r="L537" s="1">
        <v>0</v>
      </c>
      <c r="M537" s="1">
        <v>0</v>
      </c>
      <c r="N537" s="1" t="s">
        <v>155</v>
      </c>
      <c r="O537" s="1">
        <v>0.94444444000000005</v>
      </c>
      <c r="P537" s="1">
        <v>0.05</v>
      </c>
      <c r="Q537" s="83">
        <v>246492.864</v>
      </c>
      <c r="R537" s="83">
        <v>246492.864</v>
      </c>
      <c r="S537" s="1">
        <v>246492.864</v>
      </c>
      <c r="T537" s="83">
        <v>0</v>
      </c>
      <c r="U537" s="1" t="s">
        <v>122</v>
      </c>
      <c r="V537" s="1" t="s">
        <v>837</v>
      </c>
      <c r="W537" s="1">
        <v>3280.0940773799998</v>
      </c>
      <c r="X537" s="1"/>
      <c r="Y537" s="83" t="str">
        <f>VLOOKUP(LossTable[[#This Row],[Department]],$A$15:$B$40,2,FALSE)</f>
        <v>Bermuda</v>
      </c>
    </row>
    <row r="538" spans="4:25" x14ac:dyDescent="0.25">
      <c r="D538" s="78">
        <v>469841</v>
      </c>
      <c r="E538" s="78">
        <v>280066590</v>
      </c>
      <c r="F538" s="83" t="s">
        <v>94</v>
      </c>
      <c r="G538" s="1" t="s">
        <v>596</v>
      </c>
      <c r="H538" s="1" t="s">
        <v>16</v>
      </c>
      <c r="I538" s="1" t="s">
        <v>597</v>
      </c>
      <c r="J538" s="1">
        <v>300000</v>
      </c>
      <c r="K538" s="1">
        <v>6000000</v>
      </c>
      <c r="L538" s="1">
        <v>0</v>
      </c>
      <c r="M538" s="1">
        <v>0</v>
      </c>
      <c r="N538" s="1" t="s">
        <v>122</v>
      </c>
      <c r="O538" s="1">
        <v>1.33355</v>
      </c>
      <c r="P538" s="1">
        <v>0.05</v>
      </c>
      <c r="Q538" s="83">
        <v>36.831499999999998</v>
      </c>
      <c r="R538" s="83">
        <v>36.831499999999998</v>
      </c>
      <c r="S538" s="1">
        <v>36.831499999999998</v>
      </c>
      <c r="T538" s="83">
        <v>0</v>
      </c>
      <c r="U538" s="1" t="s">
        <v>122</v>
      </c>
      <c r="V538" s="1" t="s">
        <v>837</v>
      </c>
      <c r="W538" s="1">
        <v>3280.0940773799998</v>
      </c>
      <c r="X538" s="1"/>
      <c r="Y538" s="83" t="str">
        <f>VLOOKUP(LossTable[[#This Row],[Department]],$A$15:$B$40,2,FALSE)</f>
        <v>TP</v>
      </c>
    </row>
    <row r="539" spans="4:25" x14ac:dyDescent="0.25">
      <c r="D539" s="78">
        <v>471244</v>
      </c>
      <c r="E539" s="78">
        <v>280066590</v>
      </c>
      <c r="F539" s="83" t="s">
        <v>45</v>
      </c>
      <c r="G539" s="1" t="s">
        <v>767</v>
      </c>
      <c r="H539" s="1" t="s">
        <v>16</v>
      </c>
      <c r="I539" s="1" t="s">
        <v>768</v>
      </c>
      <c r="J539" s="1">
        <v>4000000</v>
      </c>
      <c r="K539" s="1">
        <v>20000000</v>
      </c>
      <c r="L539" s="1">
        <v>0</v>
      </c>
      <c r="M539" s="1">
        <v>0</v>
      </c>
      <c r="N539" s="1" t="s">
        <v>248</v>
      </c>
      <c r="O539" s="1">
        <v>0.24723000000000001</v>
      </c>
      <c r="P539" s="1">
        <v>0.2</v>
      </c>
      <c r="Q539" s="83">
        <v>38.914000000000001</v>
      </c>
      <c r="R539" s="83">
        <v>38.914000000000001</v>
      </c>
      <c r="S539" s="1">
        <v>38.914000000000001</v>
      </c>
      <c r="T539" s="83">
        <v>4.4501400000000002</v>
      </c>
      <c r="U539" s="1" t="s">
        <v>122</v>
      </c>
      <c r="V539" s="1" t="s">
        <v>837</v>
      </c>
      <c r="W539" s="1">
        <v>3280.0940773799998</v>
      </c>
      <c r="X539" s="1"/>
      <c r="Y539" s="83" t="str">
        <f>VLOOKUP(LossTable[[#This Row],[Department]],$A$15:$B$40,2,FALSE)</f>
        <v>FP</v>
      </c>
    </row>
    <row r="540" spans="4:25" x14ac:dyDescent="0.25">
      <c r="D540" s="78">
        <v>472284</v>
      </c>
      <c r="E540" s="78">
        <v>280066590</v>
      </c>
      <c r="F540" s="83" t="s">
        <v>21</v>
      </c>
      <c r="G540" s="1" t="s">
        <v>627</v>
      </c>
      <c r="H540" s="1" t="s">
        <v>14</v>
      </c>
      <c r="I540" s="1" t="s">
        <v>628</v>
      </c>
      <c r="J540" s="1">
        <v>20000000</v>
      </c>
      <c r="K540" s="1">
        <v>200000000</v>
      </c>
      <c r="L540" s="1">
        <v>0</v>
      </c>
      <c r="M540" s="1">
        <v>0</v>
      </c>
      <c r="N540" s="1" t="s">
        <v>142</v>
      </c>
      <c r="O540" s="1">
        <v>1.1475</v>
      </c>
      <c r="P540" s="1">
        <v>0.1</v>
      </c>
      <c r="Q540" s="83">
        <v>15195.278</v>
      </c>
      <c r="R540" s="83">
        <v>15195.278</v>
      </c>
      <c r="S540" s="1">
        <v>15195.278</v>
      </c>
      <c r="T540" s="83">
        <v>0</v>
      </c>
      <c r="U540" s="1" t="s">
        <v>122</v>
      </c>
      <c r="V540" s="1" t="s">
        <v>837</v>
      </c>
      <c r="W540" s="1">
        <v>3280.0940773799998</v>
      </c>
      <c r="X540" s="1"/>
      <c r="Y540" s="83" t="str">
        <f>VLOOKUP(LossTable[[#This Row],[Department]],$A$15:$B$40,2,FALSE)</f>
        <v>London</v>
      </c>
    </row>
    <row r="541" spans="4:25" x14ac:dyDescent="0.25">
      <c r="D541" s="78">
        <v>472467</v>
      </c>
      <c r="E541" s="78">
        <v>280066590</v>
      </c>
      <c r="F541" s="83" t="s">
        <v>21</v>
      </c>
      <c r="G541" s="1" t="s">
        <v>633</v>
      </c>
      <c r="H541" s="1" t="s">
        <v>14</v>
      </c>
      <c r="I541" s="1" t="s">
        <v>634</v>
      </c>
      <c r="J541" s="1">
        <v>825000</v>
      </c>
      <c r="K541" s="1">
        <v>10000000</v>
      </c>
      <c r="L541" s="1">
        <v>0</v>
      </c>
      <c r="M541" s="1">
        <v>0</v>
      </c>
      <c r="N541" s="1" t="s">
        <v>176</v>
      </c>
      <c r="O541" s="1">
        <v>5</v>
      </c>
      <c r="P541" s="1">
        <v>8.2500000000000004E-2</v>
      </c>
      <c r="Q541" s="83">
        <v>12076.423425000001</v>
      </c>
      <c r="R541" s="83">
        <v>12076.423425000001</v>
      </c>
      <c r="S541" s="1">
        <v>12076.423425000001</v>
      </c>
      <c r="T541" s="83">
        <v>0</v>
      </c>
      <c r="U541" s="1" t="s">
        <v>122</v>
      </c>
      <c r="V541" s="1" t="s">
        <v>837</v>
      </c>
      <c r="W541" s="1">
        <v>3280.0940773799998</v>
      </c>
      <c r="X541" s="1"/>
      <c r="Y541" s="83" t="str">
        <f>VLOOKUP(LossTable[[#This Row],[Department]],$A$15:$B$40,2,FALSE)</f>
        <v>London</v>
      </c>
    </row>
    <row r="542" spans="4:25" x14ac:dyDescent="0.25">
      <c r="D542" s="78">
        <v>472732</v>
      </c>
      <c r="E542" s="78">
        <v>280066590</v>
      </c>
      <c r="F542" s="83" t="s">
        <v>94</v>
      </c>
      <c r="G542" s="1" t="s">
        <v>693</v>
      </c>
      <c r="H542" s="1" t="s">
        <v>14</v>
      </c>
      <c r="I542" s="1" t="s">
        <v>694</v>
      </c>
      <c r="J542" s="1">
        <v>15150393.960000001</v>
      </c>
      <c r="K542" s="1">
        <v>126253283</v>
      </c>
      <c r="L542" s="1">
        <v>0</v>
      </c>
      <c r="M542" s="1">
        <v>0</v>
      </c>
      <c r="N542" s="1" t="s">
        <v>122</v>
      </c>
      <c r="O542" s="1">
        <v>0.57142857000000002</v>
      </c>
      <c r="P542" s="1">
        <v>0.12</v>
      </c>
      <c r="Q542" s="83">
        <v>52667.962800000001</v>
      </c>
      <c r="R542" s="83">
        <v>52667.962800000001</v>
      </c>
      <c r="S542" s="1">
        <v>52667.962800000001</v>
      </c>
      <c r="T542" s="83">
        <v>0</v>
      </c>
      <c r="U542" s="1" t="s">
        <v>122</v>
      </c>
      <c r="V542" s="1" t="s">
        <v>837</v>
      </c>
      <c r="W542" s="1">
        <v>3280.0940773799998</v>
      </c>
      <c r="X542" s="1"/>
      <c r="Y542" s="83" t="str">
        <f>VLOOKUP(LossTable[[#This Row],[Department]],$A$15:$B$40,2,FALSE)</f>
        <v>TP</v>
      </c>
    </row>
    <row r="543" spans="4:25" x14ac:dyDescent="0.25">
      <c r="D543" s="78">
        <v>474078</v>
      </c>
      <c r="E543" s="78">
        <v>280066590</v>
      </c>
      <c r="F543" s="83" t="s">
        <v>94</v>
      </c>
      <c r="G543" s="1" t="s">
        <v>604</v>
      </c>
      <c r="H543" s="1" t="s">
        <v>16</v>
      </c>
      <c r="I543" s="1" t="s">
        <v>605</v>
      </c>
      <c r="J543" s="1">
        <v>87500</v>
      </c>
      <c r="K543" s="1">
        <v>5000000</v>
      </c>
      <c r="L543" s="1">
        <v>0</v>
      </c>
      <c r="M543" s="1">
        <v>0</v>
      </c>
      <c r="N543" s="1" t="s">
        <v>122</v>
      </c>
      <c r="O543" s="1">
        <v>0.28499999999999998</v>
      </c>
      <c r="P543" s="1">
        <v>1.7500000000000002E-2</v>
      </c>
      <c r="Q543" s="83">
        <v>1.11755</v>
      </c>
      <c r="R543" s="83">
        <v>1.11755</v>
      </c>
      <c r="S543" s="1">
        <v>1.11755</v>
      </c>
      <c r="T543" s="83">
        <v>0</v>
      </c>
      <c r="U543" s="1" t="s">
        <v>122</v>
      </c>
      <c r="V543" s="1" t="s">
        <v>837</v>
      </c>
      <c r="W543" s="1">
        <v>3280.0940773799998</v>
      </c>
      <c r="X543" s="1"/>
      <c r="Y543" s="83" t="str">
        <f>VLOOKUP(LossTable[[#This Row],[Department]],$A$15:$B$40,2,FALSE)</f>
        <v>TP</v>
      </c>
    </row>
    <row r="544" spans="4:25" x14ac:dyDescent="0.25">
      <c r="D544" s="78">
        <v>475911</v>
      </c>
      <c r="E544" s="78">
        <v>280066590</v>
      </c>
      <c r="F544" s="83" t="s">
        <v>94</v>
      </c>
      <c r="G544" s="1" t="s">
        <v>690</v>
      </c>
      <c r="H544" s="1" t="s">
        <v>14</v>
      </c>
      <c r="I544" s="1" t="s">
        <v>691</v>
      </c>
      <c r="J544" s="1">
        <v>73500000</v>
      </c>
      <c r="K544" s="1">
        <v>490000000</v>
      </c>
      <c r="L544" s="1">
        <v>0</v>
      </c>
      <c r="M544" s="1">
        <v>0</v>
      </c>
      <c r="N544" s="1" t="s">
        <v>692</v>
      </c>
      <c r="O544" s="1">
        <v>0.46938775999999999</v>
      </c>
      <c r="P544" s="1">
        <v>0.15</v>
      </c>
      <c r="Q544" s="83">
        <v>615849.63150000002</v>
      </c>
      <c r="R544" s="83">
        <v>615849.63150000002</v>
      </c>
      <c r="S544" s="1">
        <v>615849.63150000002</v>
      </c>
      <c r="T544" s="83">
        <v>0</v>
      </c>
      <c r="U544" s="1" t="s">
        <v>122</v>
      </c>
      <c r="V544" s="1" t="s">
        <v>837</v>
      </c>
      <c r="W544" s="1">
        <v>3280.0940773799998</v>
      </c>
      <c r="X544" s="1"/>
      <c r="Y544" s="83" t="str">
        <f>VLOOKUP(LossTable[[#This Row],[Department]],$A$15:$B$40,2,FALSE)</f>
        <v>TP</v>
      </c>
    </row>
    <row r="545" spans="4:25" x14ac:dyDescent="0.25">
      <c r="D545" s="78">
        <v>476659</v>
      </c>
      <c r="E545" s="78">
        <v>280066590</v>
      </c>
      <c r="F545" s="83" t="s">
        <v>45</v>
      </c>
      <c r="G545" s="1" t="s">
        <v>669</v>
      </c>
      <c r="H545" s="1" t="s">
        <v>16</v>
      </c>
      <c r="I545" s="1" t="s">
        <v>769</v>
      </c>
      <c r="J545" s="1">
        <v>500000</v>
      </c>
      <c r="K545" s="1">
        <v>5000000</v>
      </c>
      <c r="L545" s="1">
        <v>0</v>
      </c>
      <c r="M545" s="1">
        <v>0</v>
      </c>
      <c r="N545" s="1" t="s">
        <v>475</v>
      </c>
      <c r="O545" s="1">
        <v>0.17499999999999999</v>
      </c>
      <c r="P545" s="1">
        <v>0.1</v>
      </c>
      <c r="Q545" s="83">
        <v>11.999000000000001</v>
      </c>
      <c r="R545" s="83">
        <v>11.999000000000001</v>
      </c>
      <c r="S545" s="1">
        <v>11.999000000000001</v>
      </c>
      <c r="T545" s="83">
        <v>2.0547779400000001</v>
      </c>
      <c r="U545" s="1" t="s">
        <v>122</v>
      </c>
      <c r="V545" s="1" t="s">
        <v>837</v>
      </c>
      <c r="W545" s="1">
        <v>3280.0940773799998</v>
      </c>
      <c r="X545" s="1"/>
      <c r="Y545" s="83" t="str">
        <f>VLOOKUP(LossTable[[#This Row],[Department]],$A$15:$B$40,2,FALSE)</f>
        <v>FP</v>
      </c>
    </row>
    <row r="546" spans="4:25" x14ac:dyDescent="0.25">
      <c r="D546" s="78">
        <v>480016</v>
      </c>
      <c r="E546" s="78">
        <v>280066590</v>
      </c>
      <c r="F546" s="83" t="s">
        <v>94</v>
      </c>
      <c r="G546" s="1" t="s">
        <v>724</v>
      </c>
      <c r="H546" s="1" t="s">
        <v>16</v>
      </c>
      <c r="I546" s="1" t="s">
        <v>725</v>
      </c>
      <c r="J546" s="1">
        <v>2800000</v>
      </c>
      <c r="K546" s="1">
        <v>70000000</v>
      </c>
      <c r="L546" s="1">
        <v>0</v>
      </c>
      <c r="M546" s="1">
        <v>0</v>
      </c>
      <c r="N546" s="1" t="s">
        <v>122</v>
      </c>
      <c r="O546" s="1">
        <v>0.5427862</v>
      </c>
      <c r="P546" s="1">
        <v>0.04</v>
      </c>
      <c r="Q546" s="83">
        <v>16.918800000000001</v>
      </c>
      <c r="R546" s="83">
        <v>16.918800000000001</v>
      </c>
      <c r="S546" s="1">
        <v>16.918800000000001</v>
      </c>
      <c r="T546" s="83">
        <v>0</v>
      </c>
      <c r="U546" s="1" t="s">
        <v>122</v>
      </c>
      <c r="V546" s="1" t="s">
        <v>837</v>
      </c>
      <c r="W546" s="1">
        <v>3280.0940773799998</v>
      </c>
      <c r="X546" s="1"/>
      <c r="Y546" s="83" t="str">
        <f>VLOOKUP(LossTable[[#This Row],[Department]],$A$15:$B$40,2,FALSE)</f>
        <v>TP</v>
      </c>
    </row>
    <row r="547" spans="4:25" x14ac:dyDescent="0.25">
      <c r="D547" s="78">
        <v>480232</v>
      </c>
      <c r="E547" s="78">
        <v>280066590</v>
      </c>
      <c r="F547" s="83" t="s">
        <v>94</v>
      </c>
      <c r="G547" s="1" t="s">
        <v>783</v>
      </c>
      <c r="H547" s="1" t="s">
        <v>16</v>
      </c>
      <c r="I547" s="1" t="s">
        <v>784</v>
      </c>
      <c r="J547" s="1">
        <v>473527.0416</v>
      </c>
      <c r="K547" s="1">
        <v>5919088.0199999996</v>
      </c>
      <c r="L547" s="1">
        <v>0</v>
      </c>
      <c r="M547" s="1">
        <v>0</v>
      </c>
      <c r="N547" s="1" t="s">
        <v>122</v>
      </c>
      <c r="O547" s="1">
        <v>0.2475</v>
      </c>
      <c r="P547" s="1">
        <v>0.08</v>
      </c>
      <c r="Q547" s="83">
        <v>1640.8815999999999</v>
      </c>
      <c r="R547" s="83">
        <v>1640.8815999999999</v>
      </c>
      <c r="S547" s="1">
        <v>1640.8815999999999</v>
      </c>
      <c r="T547" s="83">
        <v>0</v>
      </c>
      <c r="U547" s="1" t="s">
        <v>122</v>
      </c>
      <c r="V547" s="1" t="s">
        <v>837</v>
      </c>
      <c r="W547" s="1">
        <v>3280.0940773799998</v>
      </c>
      <c r="X547" s="1"/>
      <c r="Y547" s="83" t="str">
        <f>VLOOKUP(LossTable[[#This Row],[Department]],$A$15:$B$40,2,FALSE)</f>
        <v>TP</v>
      </c>
    </row>
    <row r="548" spans="4:25" x14ac:dyDescent="0.25">
      <c r="D548" s="78">
        <v>481424</v>
      </c>
      <c r="E548" s="78">
        <v>280066590</v>
      </c>
      <c r="F548" s="83" t="s">
        <v>94</v>
      </c>
      <c r="G548" s="1" t="s">
        <v>778</v>
      </c>
      <c r="H548" s="1" t="s">
        <v>24</v>
      </c>
      <c r="I548" s="1" t="s">
        <v>779</v>
      </c>
      <c r="J548" s="1">
        <v>3200000</v>
      </c>
      <c r="K548" s="1">
        <v>160000000</v>
      </c>
      <c r="L548" s="1">
        <v>0</v>
      </c>
      <c r="M548" s="1">
        <v>0</v>
      </c>
      <c r="N548" s="1" t="s">
        <v>780</v>
      </c>
      <c r="O548" s="1">
        <v>0.25624999999999998</v>
      </c>
      <c r="P548" s="1">
        <v>0.02</v>
      </c>
      <c r="Q548" s="83">
        <v>14.565799999999999</v>
      </c>
      <c r="R548" s="83">
        <v>14.565799999999999</v>
      </c>
      <c r="S548" s="1">
        <v>14.565799999999999</v>
      </c>
      <c r="T548" s="83">
        <v>0</v>
      </c>
      <c r="U548" s="1" t="s">
        <v>122</v>
      </c>
      <c r="V548" s="1" t="s">
        <v>837</v>
      </c>
      <c r="W548" s="1">
        <v>3280.0940773799998</v>
      </c>
      <c r="X548" s="1"/>
      <c r="Y548" s="83" t="str">
        <f>VLOOKUP(LossTable[[#This Row],[Department]],$A$15:$B$40,2,FALSE)</f>
        <v>TP</v>
      </c>
    </row>
    <row r="549" spans="4:25" x14ac:dyDescent="0.25">
      <c r="D549" s="78">
        <v>483407</v>
      </c>
      <c r="E549" s="78">
        <v>280066590</v>
      </c>
      <c r="F549" s="83" t="s">
        <v>15</v>
      </c>
      <c r="G549" s="1" t="s">
        <v>790</v>
      </c>
      <c r="H549" s="1" t="s">
        <v>16</v>
      </c>
      <c r="I549" s="1" t="s">
        <v>791</v>
      </c>
      <c r="J549" s="1">
        <v>2021042.6874333001</v>
      </c>
      <c r="K549" s="1">
        <v>202104268.74333</v>
      </c>
      <c r="L549" s="1">
        <v>0</v>
      </c>
      <c r="M549" s="1">
        <v>0</v>
      </c>
      <c r="N549" s="1" t="s">
        <v>122</v>
      </c>
      <c r="O549" s="1">
        <v>0.31256476</v>
      </c>
      <c r="P549" s="1">
        <v>0.01</v>
      </c>
      <c r="Q549" s="83">
        <v>24.59876053</v>
      </c>
      <c r="R549" s="83">
        <v>24.59876053</v>
      </c>
      <c r="S549" s="1">
        <v>24.59876053</v>
      </c>
      <c r="T549" s="83">
        <v>0</v>
      </c>
      <c r="U549" s="1" t="s">
        <v>122</v>
      </c>
      <c r="V549" s="1" t="s">
        <v>837</v>
      </c>
      <c r="W549" s="1">
        <v>3280.0940773799998</v>
      </c>
      <c r="X549" s="1"/>
      <c r="Y549" s="83" t="str">
        <f>VLOOKUP(LossTable[[#This Row],[Department]],$A$15:$B$40,2,FALSE)</f>
        <v>Canada</v>
      </c>
    </row>
    <row r="550" spans="4:25" x14ac:dyDescent="0.25">
      <c r="D550" s="78">
        <v>483476</v>
      </c>
      <c r="E550" s="78">
        <v>280066590</v>
      </c>
      <c r="F550" s="83" t="s">
        <v>94</v>
      </c>
      <c r="G550" s="1" t="s">
        <v>785</v>
      </c>
      <c r="H550" s="1" t="s">
        <v>16</v>
      </c>
      <c r="I550" s="1" t="s">
        <v>786</v>
      </c>
      <c r="J550" s="1">
        <v>175000</v>
      </c>
      <c r="K550" s="1">
        <v>3500000</v>
      </c>
      <c r="L550" s="1">
        <v>0</v>
      </c>
      <c r="M550" s="1">
        <v>0</v>
      </c>
      <c r="N550" s="1" t="s">
        <v>787</v>
      </c>
      <c r="O550" s="1">
        <v>0.21</v>
      </c>
      <c r="P550" s="1">
        <v>0.05</v>
      </c>
      <c r="Q550" s="83">
        <v>227.2115</v>
      </c>
      <c r="R550" s="83">
        <v>227.2115</v>
      </c>
      <c r="S550" s="1">
        <v>227.2115</v>
      </c>
      <c r="T550" s="83">
        <v>0</v>
      </c>
      <c r="U550" s="1" t="s">
        <v>122</v>
      </c>
      <c r="V550" s="1" t="s">
        <v>837</v>
      </c>
      <c r="W550" s="1">
        <v>3280.0940773799998</v>
      </c>
      <c r="X550" s="1"/>
      <c r="Y550" s="83" t="str">
        <f>VLOOKUP(LossTable[[#This Row],[Department]],$A$15:$B$40,2,FALSE)</f>
        <v>TP</v>
      </c>
    </row>
    <row r="551" spans="4:25" x14ac:dyDescent="0.25">
      <c r="D551" s="78">
        <v>483896</v>
      </c>
      <c r="E551" s="78">
        <v>280066590</v>
      </c>
      <c r="F551" s="83" t="s">
        <v>45</v>
      </c>
      <c r="G551" s="1" t="s">
        <v>675</v>
      </c>
      <c r="H551" s="1" t="s">
        <v>14</v>
      </c>
      <c r="I551" s="1" t="s">
        <v>741</v>
      </c>
      <c r="J551" s="1">
        <v>53352382.411124997</v>
      </c>
      <c r="K551" s="1">
        <v>2371216996.0500002</v>
      </c>
      <c r="L551" s="1">
        <v>0</v>
      </c>
      <c r="M551" s="1">
        <v>0</v>
      </c>
      <c r="N551" s="1" t="s">
        <v>14</v>
      </c>
      <c r="O551" s="1">
        <v>0.12172348</v>
      </c>
      <c r="P551" s="1">
        <v>2.2499999999999999E-2</v>
      </c>
      <c r="Q551" s="83">
        <v>20699.186849999998</v>
      </c>
      <c r="R551" s="83">
        <v>20699.186849999998</v>
      </c>
      <c r="S551" s="1">
        <v>20699.186849999998</v>
      </c>
      <c r="T551" s="83">
        <v>0</v>
      </c>
      <c r="U551" s="1" t="s">
        <v>122</v>
      </c>
      <c r="V551" s="1" t="s">
        <v>837</v>
      </c>
      <c r="W551" s="1">
        <v>3280.0940773799998</v>
      </c>
      <c r="X551" s="1"/>
      <c r="Y551" s="83" t="str">
        <f>VLOOKUP(LossTable[[#This Row],[Department]],$A$15:$B$40,2,FALSE)</f>
        <v>FP</v>
      </c>
    </row>
    <row r="552" spans="4:25" x14ac:dyDescent="0.25">
      <c r="D552" s="78">
        <v>484879</v>
      </c>
      <c r="E552" s="78">
        <v>280066590</v>
      </c>
      <c r="F552" s="83" t="s">
        <v>94</v>
      </c>
      <c r="G552" s="1" t="s">
        <v>808</v>
      </c>
      <c r="H552" s="1" t="s">
        <v>16</v>
      </c>
      <c r="I552" s="1" t="s">
        <v>810</v>
      </c>
      <c r="J552" s="1">
        <v>1690451.1705</v>
      </c>
      <c r="K552" s="1">
        <v>67618046.819999993</v>
      </c>
      <c r="L552" s="1">
        <v>0</v>
      </c>
      <c r="M552" s="1">
        <v>0</v>
      </c>
      <c r="N552" s="1" t="s">
        <v>122</v>
      </c>
      <c r="O552" s="1">
        <v>0.22</v>
      </c>
      <c r="P552" s="1">
        <v>2.5000000000000001E-2</v>
      </c>
      <c r="Q552" s="83">
        <v>42.319499999999998</v>
      </c>
      <c r="R552" s="83">
        <v>42.319499999999998</v>
      </c>
      <c r="S552" s="1">
        <v>42.319499999999998</v>
      </c>
      <c r="T552" s="83">
        <v>0</v>
      </c>
      <c r="U552" s="1" t="s">
        <v>122</v>
      </c>
      <c r="V552" s="1" t="s">
        <v>837</v>
      </c>
      <c r="W552" s="1">
        <v>3280.0940773799998</v>
      </c>
      <c r="X552" s="1"/>
      <c r="Y552" s="83" t="str">
        <f>VLOOKUP(LossTable[[#This Row],[Department]],$A$15:$B$40,2,FALSE)</f>
        <v>TP</v>
      </c>
    </row>
    <row r="553" spans="4:25" x14ac:dyDescent="0.25">
      <c r="D553" s="78">
        <v>102</v>
      </c>
      <c r="E553" s="78">
        <v>280014790</v>
      </c>
      <c r="F553" s="83" t="s">
        <v>86</v>
      </c>
      <c r="G553" s="1" t="s">
        <v>217</v>
      </c>
      <c r="H553" s="1" t="s">
        <v>16</v>
      </c>
      <c r="I553" s="1" t="s">
        <v>217</v>
      </c>
      <c r="J553" s="1">
        <v>152353276.241009</v>
      </c>
      <c r="K553" s="1">
        <v>0</v>
      </c>
      <c r="L553" s="1">
        <v>0</v>
      </c>
      <c r="M553" s="1">
        <v>0</v>
      </c>
      <c r="N553" s="1" t="s">
        <v>44</v>
      </c>
      <c r="O553" s="1">
        <v>0</v>
      </c>
      <c r="P553" s="1">
        <v>1</v>
      </c>
      <c r="Q553" s="83">
        <v>329.54339700000003</v>
      </c>
      <c r="R553" s="83">
        <v>329.54339700000003</v>
      </c>
      <c r="S553" s="1">
        <v>329.54339700000003</v>
      </c>
      <c r="T553" s="83">
        <v>0</v>
      </c>
      <c r="U553" s="1" t="s">
        <v>122</v>
      </c>
      <c r="V553" s="1" t="s">
        <v>836</v>
      </c>
      <c r="W553" s="1">
        <v>4781.60363426</v>
      </c>
      <c r="X553" s="1"/>
      <c r="Y553" s="83" t="str">
        <f>VLOOKUP(LossTable[[#This Row],[Department]],$A$15:$B$40,2,FALSE)</f>
        <v>FP</v>
      </c>
    </row>
    <row r="554" spans="4:25" x14ac:dyDescent="0.25">
      <c r="D554" s="78">
        <v>114</v>
      </c>
      <c r="E554" s="78">
        <v>280014790</v>
      </c>
      <c r="F554" s="83" t="s">
        <v>42</v>
      </c>
      <c r="G554" s="1" t="s">
        <v>43</v>
      </c>
      <c r="H554" s="1" t="s">
        <v>16</v>
      </c>
      <c r="I554" s="1" t="s">
        <v>43</v>
      </c>
      <c r="J554" s="1">
        <v>803852369.37632203</v>
      </c>
      <c r="K554" s="1">
        <v>0</v>
      </c>
      <c r="L554" s="1">
        <v>0</v>
      </c>
      <c r="M554" s="1">
        <v>0</v>
      </c>
      <c r="N554" s="1" t="s">
        <v>44</v>
      </c>
      <c r="O554" s="1">
        <v>0</v>
      </c>
      <c r="P554" s="1">
        <v>1</v>
      </c>
      <c r="Q554" s="83">
        <v>21.7485</v>
      </c>
      <c r="R554" s="83">
        <v>21.7485</v>
      </c>
      <c r="S554" s="1">
        <v>21.7485</v>
      </c>
      <c r="T554" s="83">
        <v>0</v>
      </c>
      <c r="U554" s="1" t="s">
        <v>122</v>
      </c>
      <c r="V554" s="1" t="s">
        <v>836</v>
      </c>
      <c r="W554" s="1">
        <v>4781.60363426</v>
      </c>
      <c r="X554" s="1"/>
      <c r="Y554" s="83" t="str">
        <f>VLOOKUP(LossTable[[#This Row],[Department]],$A$15:$B$40,2,FALSE)</f>
        <v>FP</v>
      </c>
    </row>
    <row r="555" spans="4:25" x14ac:dyDescent="0.25">
      <c r="D555" s="78">
        <v>103</v>
      </c>
      <c r="E555" s="78">
        <v>280066590</v>
      </c>
      <c r="F555" s="83" t="s">
        <v>86</v>
      </c>
      <c r="G555" s="1" t="s">
        <v>217</v>
      </c>
      <c r="H555" s="1" t="s">
        <v>16</v>
      </c>
      <c r="I555" s="1" t="s">
        <v>217</v>
      </c>
      <c r="J555" s="1">
        <v>266144997.75758201</v>
      </c>
      <c r="K555" s="1">
        <v>0</v>
      </c>
      <c r="L555" s="1">
        <v>0</v>
      </c>
      <c r="M555" s="1">
        <v>0</v>
      </c>
      <c r="N555" s="1" t="s">
        <v>44</v>
      </c>
      <c r="O555" s="1">
        <v>0</v>
      </c>
      <c r="P555" s="1">
        <v>1</v>
      </c>
      <c r="Q555" s="83">
        <v>2546.9354450000001</v>
      </c>
      <c r="R555" s="83">
        <v>2546.9354450000001</v>
      </c>
      <c r="S555" s="1">
        <v>2546.9354450000001</v>
      </c>
      <c r="T555" s="83">
        <v>0</v>
      </c>
      <c r="U555" s="1" t="s">
        <v>122</v>
      </c>
      <c r="V555" s="1" t="s">
        <v>837</v>
      </c>
      <c r="W555" s="1">
        <v>3280.0940773799998</v>
      </c>
      <c r="X555" s="1"/>
      <c r="Y555" s="83" t="str">
        <f>VLOOKUP(LossTable[[#This Row],[Department]],$A$15:$B$40,2,FALSE)</f>
        <v>FP</v>
      </c>
    </row>
    <row r="556" spans="4:25" x14ac:dyDescent="0.25">
      <c r="D556" s="78">
        <v>122</v>
      </c>
      <c r="E556" s="78">
        <v>280066590</v>
      </c>
      <c r="F556" s="83" t="s">
        <v>92</v>
      </c>
      <c r="G556" s="1" t="s">
        <v>220</v>
      </c>
      <c r="H556" s="1" t="s">
        <v>16</v>
      </c>
      <c r="I556" s="1" t="s">
        <v>220</v>
      </c>
      <c r="J556" s="1">
        <v>63556412.625237398</v>
      </c>
      <c r="K556" s="1">
        <v>0</v>
      </c>
      <c r="L556" s="1">
        <v>0</v>
      </c>
      <c r="M556" s="1">
        <v>0</v>
      </c>
      <c r="N556" s="1" t="s">
        <v>44</v>
      </c>
      <c r="O556" s="1">
        <v>0</v>
      </c>
      <c r="P556" s="1">
        <v>1</v>
      </c>
      <c r="Q556" s="83">
        <v>3391.2257410000002</v>
      </c>
      <c r="R556" s="83">
        <v>3391.2257410000002</v>
      </c>
      <c r="S556" s="1">
        <v>3391.2257410000002</v>
      </c>
      <c r="T556" s="83">
        <v>0</v>
      </c>
      <c r="U556" s="1" t="s">
        <v>122</v>
      </c>
      <c r="V556" s="1" t="s">
        <v>837</v>
      </c>
      <c r="W556" s="1">
        <v>3280.0940773799998</v>
      </c>
      <c r="X556" s="1"/>
      <c r="Y556" s="83" t="str">
        <f>VLOOKUP(LossTable[[#This Row],[Department]],$A$15:$B$40,2,FALSE)</f>
        <v>FP</v>
      </c>
    </row>
    <row r="557" spans="4:25" x14ac:dyDescent="0.25">
      <c r="D557" s="78">
        <v>129</v>
      </c>
      <c r="E557" s="78">
        <v>280066590</v>
      </c>
      <c r="F557" s="83" t="s">
        <v>92</v>
      </c>
      <c r="G557" s="1" t="s">
        <v>220</v>
      </c>
      <c r="H557" s="1" t="s">
        <v>16</v>
      </c>
      <c r="I557" s="1" t="s">
        <v>220</v>
      </c>
      <c r="J557" s="1">
        <v>62314120.225133099</v>
      </c>
      <c r="K557" s="1">
        <v>0</v>
      </c>
      <c r="L557" s="1">
        <v>0</v>
      </c>
      <c r="M557" s="1">
        <v>0</v>
      </c>
      <c r="N557" s="1" t="s">
        <v>44</v>
      </c>
      <c r="O557" s="1">
        <v>0</v>
      </c>
      <c r="P557" s="1">
        <v>1</v>
      </c>
      <c r="Q557" s="83">
        <v>86.651797999999999</v>
      </c>
      <c r="R557" s="83">
        <v>86.651797999999999</v>
      </c>
      <c r="S557" s="1">
        <v>86.651797999999999</v>
      </c>
      <c r="T557" s="83">
        <v>0</v>
      </c>
      <c r="U557" s="1" t="s">
        <v>122</v>
      </c>
      <c r="V557" s="1" t="s">
        <v>837</v>
      </c>
      <c r="W557" s="1">
        <v>3280.0940773799998</v>
      </c>
      <c r="X557" s="1"/>
      <c r="Y557" s="83" t="str">
        <f>VLOOKUP(LossTable[[#This Row],[Department]],$A$15:$B$40,2,FALSE)</f>
        <v>FP</v>
      </c>
    </row>
    <row r="558" spans="4:25" x14ac:dyDescent="0.25">
      <c r="D558" s="78">
        <v>141</v>
      </c>
      <c r="E558" s="78">
        <v>280066590</v>
      </c>
      <c r="F558" s="83" t="s">
        <v>45</v>
      </c>
      <c r="G558" s="1" t="s">
        <v>46</v>
      </c>
      <c r="H558" s="1" t="s">
        <v>16</v>
      </c>
      <c r="I558" s="1" t="s">
        <v>46</v>
      </c>
      <c r="J558" s="1">
        <v>58990116</v>
      </c>
      <c r="K558" s="1">
        <v>0</v>
      </c>
      <c r="L558" s="1">
        <v>0</v>
      </c>
      <c r="M558" s="1">
        <v>0</v>
      </c>
      <c r="N558" s="1" t="s">
        <v>44</v>
      </c>
      <c r="O558" s="1">
        <v>0</v>
      </c>
      <c r="P558" s="1">
        <v>1</v>
      </c>
      <c r="Q558" s="83">
        <v>20642.55085</v>
      </c>
      <c r="R558" s="83">
        <v>20642.55085</v>
      </c>
      <c r="S558" s="1">
        <v>20642.55085</v>
      </c>
      <c r="T558" s="83">
        <v>0</v>
      </c>
      <c r="U558" s="1" t="s">
        <v>122</v>
      </c>
      <c r="V558" s="1" t="s">
        <v>837</v>
      </c>
      <c r="W558" s="1">
        <v>3280.0940773799998</v>
      </c>
      <c r="X558" s="1"/>
      <c r="Y558" s="83" t="str">
        <f>VLOOKUP(LossTable[[#This Row],[Department]],$A$15:$B$40,2,FALSE)</f>
        <v>FP</v>
      </c>
    </row>
    <row r="559" spans="4:25" x14ac:dyDescent="0.25">
      <c r="D559" s="78">
        <v>48044</v>
      </c>
      <c r="E559" s="78">
        <v>280066590</v>
      </c>
      <c r="F559" s="83" t="s">
        <v>87</v>
      </c>
      <c r="G559" s="1" t="s">
        <v>226</v>
      </c>
      <c r="H559" s="1" t="s">
        <v>14</v>
      </c>
      <c r="I559" s="1" t="s">
        <v>227</v>
      </c>
      <c r="J559" s="1">
        <v>324867092.31</v>
      </c>
      <c r="K559" s="1">
        <v>324867092.31</v>
      </c>
      <c r="L559" s="1">
        <v>0</v>
      </c>
      <c r="M559" s="1">
        <v>0</v>
      </c>
      <c r="N559" s="1" t="s">
        <v>14</v>
      </c>
      <c r="O559" s="1">
        <v>0.55811878999999998</v>
      </c>
      <c r="P559" s="1">
        <v>1</v>
      </c>
      <c r="Q559" s="83">
        <v>1372082.6</v>
      </c>
      <c r="R559" s="83">
        <v>1372082.6</v>
      </c>
      <c r="S559" s="1">
        <v>1372082.6</v>
      </c>
      <c r="T559" s="83">
        <v>0</v>
      </c>
      <c r="U559" s="1" t="s">
        <v>122</v>
      </c>
      <c r="V559" s="1" t="s">
        <v>837</v>
      </c>
      <c r="W559" s="1">
        <v>3280.0940773799998</v>
      </c>
      <c r="X559" s="1"/>
      <c r="Y559" s="83" t="str">
        <f>VLOOKUP(LossTable[[#This Row],[Department]],$A$15:$B$40,2,FALSE)</f>
        <v>Insurance</v>
      </c>
    </row>
    <row r="560" spans="4:25" x14ac:dyDescent="0.25">
      <c r="D560" s="78">
        <v>426794</v>
      </c>
      <c r="E560" s="78">
        <v>280066590</v>
      </c>
      <c r="F560" s="83" t="s">
        <v>45</v>
      </c>
      <c r="G560" s="1" t="s">
        <v>289</v>
      </c>
      <c r="H560" s="1" t="s">
        <v>16</v>
      </c>
      <c r="I560" s="1" t="s">
        <v>290</v>
      </c>
      <c r="J560" s="1">
        <v>6499999.7999999998</v>
      </c>
      <c r="K560" s="1">
        <v>60000000</v>
      </c>
      <c r="L560" s="1">
        <v>0</v>
      </c>
      <c r="M560" s="1">
        <v>0</v>
      </c>
      <c r="N560" s="1" t="s">
        <v>291</v>
      </c>
      <c r="O560" s="1">
        <v>0.21676117</v>
      </c>
      <c r="P560" s="1">
        <v>0.10833333000000001</v>
      </c>
      <c r="Q560" s="83">
        <v>10.820333</v>
      </c>
      <c r="R560" s="83">
        <v>10.820333</v>
      </c>
      <c r="S560" s="1">
        <v>10.820333</v>
      </c>
      <c r="T560" s="83">
        <v>0</v>
      </c>
      <c r="U560" s="1" t="s">
        <v>122</v>
      </c>
      <c r="V560" s="1" t="s">
        <v>837</v>
      </c>
      <c r="W560" s="1">
        <v>3280.0940773799998</v>
      </c>
      <c r="X560" s="1"/>
      <c r="Y560" s="83" t="str">
        <f>VLOOKUP(LossTable[[#This Row],[Department]],$A$15:$B$40,2,FALSE)</f>
        <v>FP</v>
      </c>
    </row>
    <row r="561" spans="4:25" x14ac:dyDescent="0.25">
      <c r="D561" s="78">
        <v>427960</v>
      </c>
      <c r="E561" s="78">
        <v>280066590</v>
      </c>
      <c r="F561" s="83" t="s">
        <v>94</v>
      </c>
      <c r="G561" s="1" t="s">
        <v>344</v>
      </c>
      <c r="H561" s="1" t="s">
        <v>16</v>
      </c>
      <c r="I561" s="1" t="s">
        <v>345</v>
      </c>
      <c r="J561" s="1">
        <v>180000</v>
      </c>
      <c r="K561" s="1">
        <v>9000000</v>
      </c>
      <c r="L561" s="1">
        <v>0</v>
      </c>
      <c r="M561" s="1">
        <v>0</v>
      </c>
      <c r="N561" s="1" t="s">
        <v>346</v>
      </c>
      <c r="O561" s="1">
        <v>1.93333321</v>
      </c>
      <c r="P561" s="1">
        <v>0.02</v>
      </c>
      <c r="Q561" s="83">
        <v>2807.0508</v>
      </c>
      <c r="R561" s="83">
        <v>2807.0508</v>
      </c>
      <c r="S561" s="1">
        <v>2807.0508</v>
      </c>
      <c r="T561" s="83">
        <v>0</v>
      </c>
      <c r="U561" s="1" t="s">
        <v>122</v>
      </c>
      <c r="V561" s="1" t="s">
        <v>837</v>
      </c>
      <c r="W561" s="1">
        <v>3280.0940773799998</v>
      </c>
      <c r="X561" s="1"/>
      <c r="Y561" s="83" t="str">
        <f>VLOOKUP(LossTable[[#This Row],[Department]],$A$15:$B$40,2,FALSE)</f>
        <v>TP</v>
      </c>
    </row>
    <row r="562" spans="4:25" x14ac:dyDescent="0.25">
      <c r="D562" s="78">
        <v>431319</v>
      </c>
      <c r="E562" s="78">
        <v>280066590</v>
      </c>
      <c r="F562" s="83" t="s">
        <v>94</v>
      </c>
      <c r="G562" s="1" t="s">
        <v>269</v>
      </c>
      <c r="H562" s="1" t="s">
        <v>16</v>
      </c>
      <c r="I562" s="1" t="s">
        <v>270</v>
      </c>
      <c r="J562" s="1">
        <v>817989.91020000004</v>
      </c>
      <c r="K562" s="1">
        <v>9088776.7799999993</v>
      </c>
      <c r="L562" s="1">
        <v>0</v>
      </c>
      <c r="M562" s="1">
        <v>0</v>
      </c>
      <c r="N562" s="1" t="s">
        <v>271</v>
      </c>
      <c r="O562" s="1">
        <v>1.07922893</v>
      </c>
      <c r="P562" s="1">
        <v>0.09</v>
      </c>
      <c r="Q562" s="83">
        <v>286.97129999999999</v>
      </c>
      <c r="R562" s="83">
        <v>286.97129999999999</v>
      </c>
      <c r="S562" s="1">
        <v>286.97129999999999</v>
      </c>
      <c r="T562" s="83">
        <v>0</v>
      </c>
      <c r="U562" s="1" t="s">
        <v>122</v>
      </c>
      <c r="V562" s="1" t="s">
        <v>837</v>
      </c>
      <c r="W562" s="1">
        <v>3280.0940773799998</v>
      </c>
      <c r="X562" s="1"/>
      <c r="Y562" s="83" t="str">
        <f>VLOOKUP(LossTable[[#This Row],[Department]],$A$15:$B$40,2,FALSE)</f>
        <v>TP</v>
      </c>
    </row>
    <row r="563" spans="4:25" x14ac:dyDescent="0.25">
      <c r="D563" s="78">
        <v>431801</v>
      </c>
      <c r="E563" s="78">
        <v>280066590</v>
      </c>
      <c r="F563" s="83" t="s">
        <v>94</v>
      </c>
      <c r="G563" s="1" t="s">
        <v>272</v>
      </c>
      <c r="H563" s="1" t="s">
        <v>16</v>
      </c>
      <c r="I563" s="1" t="s">
        <v>294</v>
      </c>
      <c r="J563" s="1">
        <v>1500000</v>
      </c>
      <c r="K563" s="1">
        <v>15000000</v>
      </c>
      <c r="L563" s="1">
        <v>0</v>
      </c>
      <c r="M563" s="1">
        <v>0</v>
      </c>
      <c r="N563" s="1" t="s">
        <v>295</v>
      </c>
      <c r="O563" s="1">
        <v>0.12</v>
      </c>
      <c r="P563" s="1">
        <v>0.1</v>
      </c>
      <c r="Q563" s="83">
        <v>138.273</v>
      </c>
      <c r="R563" s="83">
        <v>138.273</v>
      </c>
      <c r="S563" s="1">
        <v>138.273</v>
      </c>
      <c r="T563" s="83">
        <v>0</v>
      </c>
      <c r="U563" s="1" t="s">
        <v>122</v>
      </c>
      <c r="V563" s="1" t="s">
        <v>837</v>
      </c>
      <c r="W563" s="1">
        <v>3280.0940773799998</v>
      </c>
      <c r="X563" s="1"/>
      <c r="Y563" s="83" t="str">
        <f>VLOOKUP(LossTable[[#This Row],[Department]],$A$15:$B$40,2,FALSE)</f>
        <v>TP</v>
      </c>
    </row>
    <row r="564" spans="4:25" x14ac:dyDescent="0.25">
      <c r="D564" s="78">
        <v>434180</v>
      </c>
      <c r="E564" s="78">
        <v>280066590</v>
      </c>
      <c r="F564" s="83" t="s">
        <v>94</v>
      </c>
      <c r="G564" s="1" t="s">
        <v>382</v>
      </c>
      <c r="H564" s="1" t="s">
        <v>16</v>
      </c>
      <c r="I564" s="1" t="s">
        <v>383</v>
      </c>
      <c r="J564" s="1">
        <v>1000000</v>
      </c>
      <c r="K564" s="1">
        <v>10000000</v>
      </c>
      <c r="L564" s="1">
        <v>0</v>
      </c>
      <c r="M564" s="1">
        <v>0</v>
      </c>
      <c r="N564" s="1" t="s">
        <v>257</v>
      </c>
      <c r="O564" s="1">
        <v>1.05</v>
      </c>
      <c r="P564" s="1">
        <v>0.1</v>
      </c>
      <c r="Q564" s="83">
        <v>25728.437000000002</v>
      </c>
      <c r="R564" s="83">
        <v>25728.437000000002</v>
      </c>
      <c r="S564" s="1">
        <v>25728.437000000002</v>
      </c>
      <c r="T564" s="83">
        <v>0</v>
      </c>
      <c r="U564" s="1" t="s">
        <v>122</v>
      </c>
      <c r="V564" s="1" t="s">
        <v>837</v>
      </c>
      <c r="W564" s="1">
        <v>3280.0940773799998</v>
      </c>
      <c r="X564" s="1"/>
      <c r="Y564" s="83" t="str">
        <f>VLOOKUP(LossTable[[#This Row],[Department]],$A$15:$B$40,2,FALSE)</f>
        <v>TP</v>
      </c>
    </row>
    <row r="565" spans="4:25" x14ac:dyDescent="0.25">
      <c r="D565" s="78">
        <v>435835</v>
      </c>
      <c r="E565" s="78">
        <v>280066590</v>
      </c>
      <c r="F565" s="83" t="s">
        <v>94</v>
      </c>
      <c r="G565" s="1" t="s">
        <v>167</v>
      </c>
      <c r="H565" s="1" t="s">
        <v>14</v>
      </c>
      <c r="I565" s="1" t="s">
        <v>168</v>
      </c>
      <c r="J565" s="1">
        <v>26250000</v>
      </c>
      <c r="K565" s="1">
        <v>375000000</v>
      </c>
      <c r="L565" s="1">
        <v>0</v>
      </c>
      <c r="M565" s="1">
        <v>0</v>
      </c>
      <c r="N565" s="1" t="s">
        <v>169</v>
      </c>
      <c r="O565" s="1">
        <v>0.95251441000000003</v>
      </c>
      <c r="P565" s="1">
        <v>7.0000000000000007E-2</v>
      </c>
      <c r="Q565" s="83">
        <v>248856.38399999999</v>
      </c>
      <c r="R565" s="83">
        <v>248856.38399999999</v>
      </c>
      <c r="S565" s="1">
        <v>248856.38399999999</v>
      </c>
      <c r="T565" s="83">
        <v>0</v>
      </c>
      <c r="U565" s="1" t="s">
        <v>122</v>
      </c>
      <c r="V565" s="1" t="s">
        <v>837</v>
      </c>
      <c r="W565" s="1">
        <v>3280.0940773799998</v>
      </c>
      <c r="X565" s="1"/>
      <c r="Y565" s="83" t="str">
        <f>VLOOKUP(LossTable[[#This Row],[Department]],$A$15:$B$40,2,FALSE)</f>
        <v>TP</v>
      </c>
    </row>
    <row r="566" spans="4:25" x14ac:dyDescent="0.25">
      <c r="D566" s="78">
        <v>436977</v>
      </c>
      <c r="E566" s="78">
        <v>280066590</v>
      </c>
      <c r="F566" s="83" t="s">
        <v>45</v>
      </c>
      <c r="G566" s="1" t="s">
        <v>358</v>
      </c>
      <c r="H566" s="1" t="s">
        <v>16</v>
      </c>
      <c r="I566" s="1" t="s">
        <v>359</v>
      </c>
      <c r="J566" s="1">
        <v>5174783.8514999999</v>
      </c>
      <c r="K566" s="1">
        <v>68997118.019999996</v>
      </c>
      <c r="L566" s="1">
        <v>0</v>
      </c>
      <c r="M566" s="1">
        <v>0</v>
      </c>
      <c r="N566" s="1" t="s">
        <v>360</v>
      </c>
      <c r="O566" s="1">
        <v>0.45</v>
      </c>
      <c r="P566" s="1">
        <v>7.4999999999999997E-2</v>
      </c>
      <c r="Q566" s="83">
        <v>41469.978750000002</v>
      </c>
      <c r="R566" s="83">
        <v>41469.978750000002</v>
      </c>
      <c r="S566" s="1">
        <v>41469.978750000002</v>
      </c>
      <c r="T566" s="83">
        <v>0</v>
      </c>
      <c r="U566" s="1" t="s">
        <v>122</v>
      </c>
      <c r="V566" s="1" t="s">
        <v>837</v>
      </c>
      <c r="W566" s="1">
        <v>3280.0940773799998</v>
      </c>
      <c r="X566" s="1"/>
      <c r="Y566" s="83" t="str">
        <f>VLOOKUP(LossTable[[#This Row],[Department]],$A$15:$B$40,2,FALSE)</f>
        <v>FP</v>
      </c>
    </row>
    <row r="567" spans="4:25" x14ac:dyDescent="0.25">
      <c r="D567" s="78">
        <v>438221</v>
      </c>
      <c r="E567" s="78">
        <v>280066590</v>
      </c>
      <c r="F567" s="83" t="s">
        <v>12</v>
      </c>
      <c r="G567" s="1" t="s">
        <v>186</v>
      </c>
      <c r="H567" s="1" t="s">
        <v>14</v>
      </c>
      <c r="I567" s="1" t="s">
        <v>187</v>
      </c>
      <c r="J567" s="1">
        <v>22336875</v>
      </c>
      <c r="K567" s="1">
        <v>99275000</v>
      </c>
      <c r="L567" s="1">
        <v>0</v>
      </c>
      <c r="M567" s="1">
        <v>0</v>
      </c>
      <c r="N567" s="1" t="s">
        <v>122</v>
      </c>
      <c r="O567" s="1">
        <v>0.67357942000000004</v>
      </c>
      <c r="P567" s="1">
        <v>0.22500000000000001</v>
      </c>
      <c r="Q567" s="83">
        <v>15746.710499999999</v>
      </c>
      <c r="R567" s="83">
        <v>15746.710499999999</v>
      </c>
      <c r="S567" s="1">
        <v>15746.710499999999</v>
      </c>
      <c r="T567" s="83">
        <v>0</v>
      </c>
      <c r="U567" s="1" t="s">
        <v>122</v>
      </c>
      <c r="V567" s="1" t="s">
        <v>837</v>
      </c>
      <c r="W567" s="1">
        <v>3280.0940773799998</v>
      </c>
      <c r="X567" s="1"/>
      <c r="Y567" s="83" t="str">
        <f>VLOOKUP(LossTable[[#This Row],[Department]],$A$15:$B$40,2,FALSE)</f>
        <v>Bermuda</v>
      </c>
    </row>
    <row r="568" spans="4:25" x14ac:dyDescent="0.25">
      <c r="D568" s="78">
        <v>443387</v>
      </c>
      <c r="E568" s="78">
        <v>280066590</v>
      </c>
      <c r="F568" s="83" t="s">
        <v>12</v>
      </c>
      <c r="G568" s="1" t="s">
        <v>177</v>
      </c>
      <c r="H568" s="1" t="s">
        <v>14</v>
      </c>
      <c r="I568" s="1" t="s">
        <v>178</v>
      </c>
      <c r="J568" s="1">
        <v>3375000</v>
      </c>
      <c r="K568" s="1">
        <v>33750000</v>
      </c>
      <c r="L568" s="1">
        <v>0</v>
      </c>
      <c r="M568" s="1">
        <v>0</v>
      </c>
      <c r="N568" s="1" t="s">
        <v>179</v>
      </c>
      <c r="O568" s="1">
        <v>1</v>
      </c>
      <c r="P568" s="1">
        <v>0.1</v>
      </c>
      <c r="Q568" s="83">
        <v>8357.6509999999998</v>
      </c>
      <c r="R568" s="83">
        <v>8357.6509999999998</v>
      </c>
      <c r="S568" s="1">
        <v>8357.6509999999998</v>
      </c>
      <c r="T568" s="83">
        <v>0</v>
      </c>
      <c r="U568" s="1" t="s">
        <v>122</v>
      </c>
      <c r="V568" s="1" t="s">
        <v>837</v>
      </c>
      <c r="W568" s="1">
        <v>3280.0940773799998</v>
      </c>
      <c r="X568" s="1"/>
      <c r="Y568" s="83" t="str">
        <f>VLOOKUP(LossTable[[#This Row],[Department]],$A$15:$B$40,2,FALSE)</f>
        <v>Bermuda</v>
      </c>
    </row>
    <row r="569" spans="4:25" x14ac:dyDescent="0.25">
      <c r="D569" s="78">
        <v>445341</v>
      </c>
      <c r="E569" s="78">
        <v>280066590</v>
      </c>
      <c r="F569" s="83" t="s">
        <v>94</v>
      </c>
      <c r="G569" s="1" t="s">
        <v>416</v>
      </c>
      <c r="H569" s="1" t="s">
        <v>16</v>
      </c>
      <c r="I569" s="1" t="s">
        <v>423</v>
      </c>
      <c r="J569" s="1">
        <v>11250000</v>
      </c>
      <c r="K569" s="1">
        <v>375000000</v>
      </c>
      <c r="L569" s="1">
        <v>0</v>
      </c>
      <c r="M569" s="1">
        <v>0</v>
      </c>
      <c r="N569" s="1" t="s">
        <v>424</v>
      </c>
      <c r="O569" s="1">
        <v>4.9333330000000002E-2</v>
      </c>
      <c r="P569" s="1">
        <v>0.03</v>
      </c>
      <c r="Q569" s="83">
        <v>21.348600000000001</v>
      </c>
      <c r="R569" s="83">
        <v>21.348600000000001</v>
      </c>
      <c r="S569" s="1">
        <v>21.348600000000001</v>
      </c>
      <c r="T569" s="83">
        <v>0</v>
      </c>
      <c r="U569" s="1" t="s">
        <v>122</v>
      </c>
      <c r="V569" s="1" t="s">
        <v>837</v>
      </c>
      <c r="W569" s="1">
        <v>3280.0940773799998</v>
      </c>
      <c r="X569" s="1"/>
      <c r="Y569" s="83" t="str">
        <f>VLOOKUP(LossTable[[#This Row],[Department]],$A$15:$B$40,2,FALSE)</f>
        <v>TP</v>
      </c>
    </row>
    <row r="570" spans="4:25" x14ac:dyDescent="0.25">
      <c r="D570" s="78">
        <v>446146</v>
      </c>
      <c r="E570" s="78">
        <v>280066590</v>
      </c>
      <c r="F570" s="83" t="s">
        <v>94</v>
      </c>
      <c r="G570" s="1" t="s">
        <v>527</v>
      </c>
      <c r="H570" s="1" t="s">
        <v>16</v>
      </c>
      <c r="I570" s="1" t="s">
        <v>758</v>
      </c>
      <c r="J570" s="1">
        <v>3750000</v>
      </c>
      <c r="K570" s="1">
        <v>150000000</v>
      </c>
      <c r="L570" s="1">
        <v>0</v>
      </c>
      <c r="M570" s="1">
        <v>0</v>
      </c>
      <c r="N570" s="1" t="s">
        <v>122</v>
      </c>
      <c r="O570" s="1">
        <v>5.2747130000000003E-2</v>
      </c>
      <c r="P570" s="1">
        <v>2.5000000000000001E-2</v>
      </c>
      <c r="Q570" s="83">
        <v>40.307499999999997</v>
      </c>
      <c r="R570" s="83">
        <v>40.307499999999997</v>
      </c>
      <c r="S570" s="1">
        <v>40.307499999999997</v>
      </c>
      <c r="T570" s="83">
        <v>0</v>
      </c>
      <c r="U570" s="1" t="s">
        <v>122</v>
      </c>
      <c r="V570" s="1" t="s">
        <v>837</v>
      </c>
      <c r="W570" s="1">
        <v>3280.0940773799998</v>
      </c>
      <c r="X570" s="1"/>
      <c r="Y570" s="83" t="str">
        <f>VLOOKUP(LossTable[[#This Row],[Department]],$A$15:$B$40,2,FALSE)</f>
        <v>TP</v>
      </c>
    </row>
    <row r="571" spans="4:25" x14ac:dyDescent="0.25">
      <c r="D571" s="78">
        <v>446934</v>
      </c>
      <c r="E571" s="78">
        <v>280066590</v>
      </c>
      <c r="F571" s="83" t="s">
        <v>12</v>
      </c>
      <c r="G571" s="1" t="s">
        <v>473</v>
      </c>
      <c r="H571" s="1" t="s">
        <v>16</v>
      </c>
      <c r="I571" s="1" t="s">
        <v>474</v>
      </c>
      <c r="J571" s="1">
        <v>375000</v>
      </c>
      <c r="K571" s="1">
        <v>5000000</v>
      </c>
      <c r="L571" s="1">
        <v>0</v>
      </c>
      <c r="M571" s="1">
        <v>0</v>
      </c>
      <c r="N571" s="1" t="s">
        <v>475</v>
      </c>
      <c r="O571" s="1">
        <v>0.56998199999999999</v>
      </c>
      <c r="P571" s="1">
        <v>7.4999999999999997E-2</v>
      </c>
      <c r="Q571" s="83">
        <v>1092.5654999999999</v>
      </c>
      <c r="R571" s="83">
        <v>1092.5654999999999</v>
      </c>
      <c r="S571" s="1">
        <v>1092.5654999999999</v>
      </c>
      <c r="T571" s="83">
        <v>0</v>
      </c>
      <c r="U571" s="1" t="s">
        <v>122</v>
      </c>
      <c r="V571" s="1" t="s">
        <v>837</v>
      </c>
      <c r="W571" s="1">
        <v>3280.0940773799998</v>
      </c>
      <c r="X571" s="1"/>
      <c r="Y571" s="83" t="str">
        <f>VLOOKUP(LossTable[[#This Row],[Department]],$A$15:$B$40,2,FALSE)</f>
        <v>Bermuda</v>
      </c>
    </row>
    <row r="572" spans="4:25" x14ac:dyDescent="0.25">
      <c r="D572" s="78">
        <v>448038</v>
      </c>
      <c r="E572" s="78">
        <v>280066590</v>
      </c>
      <c r="F572" s="83" t="s">
        <v>12</v>
      </c>
      <c r="G572" s="1" t="s">
        <v>508</v>
      </c>
      <c r="H572" s="1" t="s">
        <v>16</v>
      </c>
      <c r="I572" s="1" t="s">
        <v>509</v>
      </c>
      <c r="J572" s="1">
        <v>7500000</v>
      </c>
      <c r="K572" s="1">
        <v>150000000</v>
      </c>
      <c r="L572" s="1">
        <v>0</v>
      </c>
      <c r="M572" s="1">
        <v>0</v>
      </c>
      <c r="N572" s="1" t="s">
        <v>510</v>
      </c>
      <c r="O572" s="1">
        <v>0.09</v>
      </c>
      <c r="P572" s="1">
        <v>0.05</v>
      </c>
      <c r="Q572" s="83">
        <v>9251.3349999999991</v>
      </c>
      <c r="R572" s="83">
        <v>9251.3349999999991</v>
      </c>
      <c r="S572" s="1">
        <v>9251.3349999999991</v>
      </c>
      <c r="T572" s="83">
        <v>0</v>
      </c>
      <c r="U572" s="1" t="s">
        <v>122</v>
      </c>
      <c r="V572" s="1" t="s">
        <v>837</v>
      </c>
      <c r="W572" s="1">
        <v>3280.0940773799998</v>
      </c>
      <c r="X572" s="1"/>
      <c r="Y572" s="83" t="str">
        <f>VLOOKUP(LossTable[[#This Row],[Department]],$A$15:$B$40,2,FALSE)</f>
        <v>Bermuda</v>
      </c>
    </row>
    <row r="573" spans="4:25" x14ac:dyDescent="0.25">
      <c r="D573" s="78">
        <v>448494</v>
      </c>
      <c r="E573" s="78">
        <v>280066590</v>
      </c>
      <c r="F573" s="83" t="s">
        <v>94</v>
      </c>
      <c r="G573" s="1" t="s">
        <v>533</v>
      </c>
      <c r="H573" s="1" t="s">
        <v>16</v>
      </c>
      <c r="I573" s="1" t="s">
        <v>549</v>
      </c>
      <c r="J573" s="1">
        <v>35000000</v>
      </c>
      <c r="K573" s="1">
        <v>500000000</v>
      </c>
      <c r="L573" s="1">
        <v>0</v>
      </c>
      <c r="M573" s="1">
        <v>0</v>
      </c>
      <c r="N573" s="1" t="s">
        <v>550</v>
      </c>
      <c r="O573" s="1">
        <v>0.05</v>
      </c>
      <c r="P573" s="1">
        <v>7.0000000000000007E-2</v>
      </c>
      <c r="Q573" s="83">
        <v>16961.265299999999</v>
      </c>
      <c r="R573" s="83">
        <v>16961.265299999999</v>
      </c>
      <c r="S573" s="1">
        <v>16961.265299999999</v>
      </c>
      <c r="T573" s="83">
        <v>0</v>
      </c>
      <c r="U573" s="1" t="s">
        <v>122</v>
      </c>
      <c r="V573" s="1" t="s">
        <v>837</v>
      </c>
      <c r="W573" s="1">
        <v>3280.0940773799998</v>
      </c>
      <c r="X573" s="1"/>
      <c r="Y573" s="83" t="str">
        <f>VLOOKUP(LossTable[[#This Row],[Department]],$A$15:$B$40,2,FALSE)</f>
        <v>TP</v>
      </c>
    </row>
    <row r="574" spans="4:25" x14ac:dyDescent="0.25">
      <c r="D574" s="78">
        <v>448596</v>
      </c>
      <c r="E574" s="78">
        <v>280066590</v>
      </c>
      <c r="F574" s="83" t="s">
        <v>94</v>
      </c>
      <c r="G574" s="1" t="s">
        <v>183</v>
      </c>
      <c r="H574" s="1" t="s">
        <v>14</v>
      </c>
      <c r="I574" s="1" t="s">
        <v>184</v>
      </c>
      <c r="J574" s="1">
        <v>20904000</v>
      </c>
      <c r="K574" s="1">
        <v>402000000</v>
      </c>
      <c r="L574" s="1">
        <v>0</v>
      </c>
      <c r="M574" s="1">
        <v>0</v>
      </c>
      <c r="N574" s="1" t="s">
        <v>185</v>
      </c>
      <c r="O574" s="1">
        <v>0.90540511999999995</v>
      </c>
      <c r="P574" s="1">
        <v>5.1999999999999998E-2</v>
      </c>
      <c r="Q574" s="83">
        <v>190572.50367999999</v>
      </c>
      <c r="R574" s="83">
        <v>190572.50367999999</v>
      </c>
      <c r="S574" s="1">
        <v>190572.50367999999</v>
      </c>
      <c r="T574" s="83">
        <v>0</v>
      </c>
      <c r="U574" s="1" t="s">
        <v>122</v>
      </c>
      <c r="V574" s="1" t="s">
        <v>837</v>
      </c>
      <c r="W574" s="1">
        <v>3280.0940773799998</v>
      </c>
      <c r="X574" s="1"/>
      <c r="Y574" s="83" t="str">
        <f>VLOOKUP(LossTable[[#This Row],[Department]],$A$15:$B$40,2,FALSE)</f>
        <v>TP</v>
      </c>
    </row>
    <row r="575" spans="4:25" x14ac:dyDescent="0.25">
      <c r="D575" s="78">
        <v>448798</v>
      </c>
      <c r="E575" s="78">
        <v>280066590</v>
      </c>
      <c r="F575" s="83" t="s">
        <v>92</v>
      </c>
      <c r="G575" s="1" t="s">
        <v>562</v>
      </c>
      <c r="H575" s="1" t="s">
        <v>16</v>
      </c>
      <c r="I575" s="1" t="s">
        <v>563</v>
      </c>
      <c r="J575" s="1">
        <v>7669590.4588918304</v>
      </c>
      <c r="K575" s="1">
        <v>153391809.17783701</v>
      </c>
      <c r="L575" s="1">
        <v>0</v>
      </c>
      <c r="M575" s="1">
        <v>0</v>
      </c>
      <c r="N575" s="1" t="s">
        <v>564</v>
      </c>
      <c r="O575" s="1">
        <v>4.6056670000000001E-2</v>
      </c>
      <c r="P575" s="1">
        <v>0.05</v>
      </c>
      <c r="Q575" s="83">
        <v>187.38813218999999</v>
      </c>
      <c r="R575" s="83">
        <v>187.38813218999999</v>
      </c>
      <c r="S575" s="1">
        <v>187.38813218999999</v>
      </c>
      <c r="T575" s="83">
        <v>0</v>
      </c>
      <c r="U575" s="1" t="s">
        <v>122</v>
      </c>
      <c r="V575" s="1" t="s">
        <v>837</v>
      </c>
      <c r="W575" s="1">
        <v>3280.0940773799998</v>
      </c>
      <c r="X575" s="1"/>
      <c r="Y575" s="83" t="str">
        <f>VLOOKUP(LossTable[[#This Row],[Department]],$A$15:$B$40,2,FALSE)</f>
        <v>FP</v>
      </c>
    </row>
    <row r="576" spans="4:25" x14ac:dyDescent="0.25">
      <c r="D576" s="78">
        <v>448888</v>
      </c>
      <c r="E576" s="78">
        <v>280066590</v>
      </c>
      <c r="F576" s="83" t="s">
        <v>45</v>
      </c>
      <c r="G576" s="1" t="s">
        <v>551</v>
      </c>
      <c r="H576" s="1" t="s">
        <v>14</v>
      </c>
      <c r="I576" s="1" t="s">
        <v>552</v>
      </c>
      <c r="J576" s="1">
        <v>1500000</v>
      </c>
      <c r="K576" s="1">
        <v>10000000</v>
      </c>
      <c r="L576" s="1">
        <v>0</v>
      </c>
      <c r="M576" s="1">
        <v>0</v>
      </c>
      <c r="N576" s="1" t="s">
        <v>176</v>
      </c>
      <c r="O576" s="1">
        <v>3.1739999999999999</v>
      </c>
      <c r="P576" s="1">
        <v>0.15</v>
      </c>
      <c r="Q576" s="83">
        <v>13691.102999999999</v>
      </c>
      <c r="R576" s="83">
        <v>13691.102999999999</v>
      </c>
      <c r="S576" s="1">
        <v>13691.102999999999</v>
      </c>
      <c r="T576" s="83">
        <v>0</v>
      </c>
      <c r="U576" s="1" t="s">
        <v>122</v>
      </c>
      <c r="V576" s="1" t="s">
        <v>837</v>
      </c>
      <c r="W576" s="1">
        <v>3280.0940773799998</v>
      </c>
      <c r="X576" s="1"/>
      <c r="Y576" s="83" t="str">
        <f>VLOOKUP(LossTable[[#This Row],[Department]],$A$15:$B$40,2,FALSE)</f>
        <v>FP</v>
      </c>
    </row>
    <row r="577" spans="4:25" x14ac:dyDescent="0.25">
      <c r="D577" s="78">
        <v>449439</v>
      </c>
      <c r="E577" s="78">
        <v>280066590</v>
      </c>
      <c r="F577" s="83" t="s">
        <v>21</v>
      </c>
      <c r="G577" s="1" t="s">
        <v>567</v>
      </c>
      <c r="H577" s="1" t="s">
        <v>14</v>
      </c>
      <c r="I577" s="1" t="s">
        <v>568</v>
      </c>
      <c r="J577" s="1">
        <v>3032192.2302246098</v>
      </c>
      <c r="K577" s="1">
        <v>134764099.12109399</v>
      </c>
      <c r="L577" s="1">
        <v>0</v>
      </c>
      <c r="M577" s="1">
        <v>0</v>
      </c>
      <c r="N577" s="1" t="s">
        <v>335</v>
      </c>
      <c r="O577" s="1">
        <v>0.628</v>
      </c>
      <c r="P577" s="1">
        <v>2.2499999999999999E-2</v>
      </c>
      <c r="Q577" s="83">
        <v>191.77190726000001</v>
      </c>
      <c r="R577" s="83">
        <v>191.77190726000001</v>
      </c>
      <c r="S577" s="1">
        <v>191.77190726000001</v>
      </c>
      <c r="T577" s="83">
        <v>0</v>
      </c>
      <c r="U577" s="1" t="s">
        <v>122</v>
      </c>
      <c r="V577" s="1" t="s">
        <v>837</v>
      </c>
      <c r="W577" s="1">
        <v>3280.0940773799998</v>
      </c>
      <c r="X577" s="1"/>
      <c r="Y577" s="83" t="str">
        <f>VLOOKUP(LossTable[[#This Row],[Department]],$A$15:$B$40,2,FALSE)</f>
        <v>London</v>
      </c>
    </row>
    <row r="578" spans="4:25" x14ac:dyDescent="0.25">
      <c r="D578" s="78">
        <v>449981</v>
      </c>
      <c r="E578" s="78">
        <v>280066590</v>
      </c>
      <c r="F578" s="83" t="s">
        <v>94</v>
      </c>
      <c r="G578" s="1" t="s">
        <v>584</v>
      </c>
      <c r="H578" s="1" t="s">
        <v>16</v>
      </c>
      <c r="I578" s="1" t="s">
        <v>585</v>
      </c>
      <c r="J578" s="1">
        <v>900000</v>
      </c>
      <c r="K578" s="1">
        <v>15000000</v>
      </c>
      <c r="L578" s="1">
        <v>0</v>
      </c>
      <c r="M578" s="1">
        <v>0</v>
      </c>
      <c r="N578" s="1" t="s">
        <v>271</v>
      </c>
      <c r="O578" s="1">
        <v>0.22500000000000001</v>
      </c>
      <c r="P578" s="1">
        <v>0.06</v>
      </c>
      <c r="Q578" s="83">
        <v>8.8632000000000009</v>
      </c>
      <c r="R578" s="83">
        <v>8.8632000000000009</v>
      </c>
      <c r="S578" s="1">
        <v>8.8632000000000009</v>
      </c>
      <c r="T578" s="83">
        <v>0</v>
      </c>
      <c r="U578" s="1" t="s">
        <v>122</v>
      </c>
      <c r="V578" s="1" t="s">
        <v>837</v>
      </c>
      <c r="W578" s="1">
        <v>3280.0940773799998</v>
      </c>
      <c r="X578" s="1"/>
      <c r="Y578" s="83" t="str">
        <f>VLOOKUP(LossTable[[#This Row],[Department]],$A$15:$B$40,2,FALSE)</f>
        <v>TP</v>
      </c>
    </row>
    <row r="579" spans="4:25" x14ac:dyDescent="0.25">
      <c r="D579" s="78">
        <v>462541</v>
      </c>
      <c r="E579" s="78">
        <v>280066590</v>
      </c>
      <c r="F579" s="83" t="s">
        <v>94</v>
      </c>
      <c r="G579" s="1" t="s">
        <v>586</v>
      </c>
      <c r="H579" s="1" t="s">
        <v>14</v>
      </c>
      <c r="I579" s="1" t="s">
        <v>587</v>
      </c>
      <c r="J579" s="1">
        <v>12500000</v>
      </c>
      <c r="K579" s="1">
        <v>25000000</v>
      </c>
      <c r="L579" s="1">
        <v>0</v>
      </c>
      <c r="M579" s="1">
        <v>0</v>
      </c>
      <c r="N579" s="1" t="s">
        <v>588</v>
      </c>
      <c r="O579" s="1">
        <v>0.3</v>
      </c>
      <c r="P579" s="1">
        <v>0.5</v>
      </c>
      <c r="Q579" s="83">
        <v>6007.91</v>
      </c>
      <c r="R579" s="83">
        <v>6007.91</v>
      </c>
      <c r="S579" s="1">
        <v>6007.91</v>
      </c>
      <c r="T579" s="83">
        <v>0</v>
      </c>
      <c r="U579" s="1" t="s">
        <v>122</v>
      </c>
      <c r="V579" s="1" t="s">
        <v>837</v>
      </c>
      <c r="W579" s="1">
        <v>3280.0940773799998</v>
      </c>
      <c r="X579" s="1"/>
      <c r="Y579" s="83" t="str">
        <f>VLOOKUP(LossTable[[#This Row],[Department]],$A$15:$B$40,2,FALSE)</f>
        <v>TP</v>
      </c>
    </row>
    <row r="580" spans="4:25" x14ac:dyDescent="0.25">
      <c r="D580" s="78">
        <v>462731</v>
      </c>
      <c r="E580" s="78">
        <v>280066590</v>
      </c>
      <c r="F580" s="83" t="s">
        <v>94</v>
      </c>
      <c r="G580" s="1" t="s">
        <v>598</v>
      </c>
      <c r="H580" s="1" t="s">
        <v>14</v>
      </c>
      <c r="I580" s="1" t="s">
        <v>599</v>
      </c>
      <c r="J580" s="1">
        <v>375000</v>
      </c>
      <c r="K580" s="1">
        <v>5000000</v>
      </c>
      <c r="L580" s="1">
        <v>0</v>
      </c>
      <c r="M580" s="1">
        <v>0</v>
      </c>
      <c r="N580" s="1" t="s">
        <v>122</v>
      </c>
      <c r="O580" s="1">
        <v>5.6174999999999997</v>
      </c>
      <c r="P580" s="1">
        <v>7.4999999999999997E-2</v>
      </c>
      <c r="Q580" s="83">
        <v>7990.7887499999997</v>
      </c>
      <c r="R580" s="83">
        <v>7990.7887499999997</v>
      </c>
      <c r="S580" s="1">
        <v>7990.7887499999997</v>
      </c>
      <c r="T580" s="83">
        <v>0</v>
      </c>
      <c r="U580" s="1" t="s">
        <v>122</v>
      </c>
      <c r="V580" s="1" t="s">
        <v>837</v>
      </c>
      <c r="W580" s="1">
        <v>3280.0940773799998</v>
      </c>
      <c r="X580" s="1"/>
      <c r="Y580" s="83" t="str">
        <f>VLOOKUP(LossTable[[#This Row],[Department]],$A$15:$B$40,2,FALSE)</f>
        <v>TP</v>
      </c>
    </row>
    <row r="581" spans="4:25" x14ac:dyDescent="0.25">
      <c r="D581" s="78">
        <v>464234</v>
      </c>
      <c r="E581" s="78">
        <v>280066590</v>
      </c>
      <c r="F581" s="83" t="s">
        <v>94</v>
      </c>
      <c r="G581" s="1" t="s">
        <v>555</v>
      </c>
      <c r="H581" s="1" t="s">
        <v>14</v>
      </c>
      <c r="I581" s="1" t="s">
        <v>556</v>
      </c>
      <c r="J581" s="1">
        <v>12500000</v>
      </c>
      <c r="K581" s="1">
        <v>50000000</v>
      </c>
      <c r="L581" s="1">
        <v>0</v>
      </c>
      <c r="M581" s="1">
        <v>0</v>
      </c>
      <c r="N581" s="1" t="s">
        <v>166</v>
      </c>
      <c r="O581" s="1">
        <v>0.4</v>
      </c>
      <c r="P581" s="1">
        <v>0.25</v>
      </c>
      <c r="Q581" s="83">
        <v>19832.377499999999</v>
      </c>
      <c r="R581" s="83">
        <v>19832.377499999999</v>
      </c>
      <c r="S581" s="1">
        <v>19832.377499999999</v>
      </c>
      <c r="T581" s="83">
        <v>0</v>
      </c>
      <c r="U581" s="1" t="s">
        <v>122</v>
      </c>
      <c r="V581" s="1" t="s">
        <v>837</v>
      </c>
      <c r="W581" s="1">
        <v>3280.0940773799998</v>
      </c>
      <c r="X581" s="1"/>
      <c r="Y581" s="83" t="str">
        <f>VLOOKUP(LossTable[[#This Row],[Department]],$A$15:$B$40,2,FALSE)</f>
        <v>TP</v>
      </c>
    </row>
    <row r="582" spans="4:25" x14ac:dyDescent="0.25">
      <c r="D582" s="78">
        <v>467463</v>
      </c>
      <c r="E582" s="78">
        <v>280066590</v>
      </c>
      <c r="F582" s="83" t="s">
        <v>12</v>
      </c>
      <c r="G582" s="1" t="s">
        <v>625</v>
      </c>
      <c r="H582" s="1" t="s">
        <v>14</v>
      </c>
      <c r="I582" s="1" t="s">
        <v>626</v>
      </c>
      <c r="J582" s="1">
        <v>52500000</v>
      </c>
      <c r="K582" s="1">
        <v>1050000000</v>
      </c>
      <c r="L582" s="1">
        <v>0</v>
      </c>
      <c r="M582" s="1">
        <v>0</v>
      </c>
      <c r="N582" s="1" t="s">
        <v>122</v>
      </c>
      <c r="O582" s="1">
        <v>0.51428571000000001</v>
      </c>
      <c r="P582" s="1">
        <v>0.05</v>
      </c>
      <c r="Q582" s="83">
        <v>22474.8855</v>
      </c>
      <c r="R582" s="83">
        <v>22474.8855</v>
      </c>
      <c r="S582" s="1">
        <v>22474.8855</v>
      </c>
      <c r="T582" s="83">
        <v>0</v>
      </c>
      <c r="U582" s="1" t="s">
        <v>122</v>
      </c>
      <c r="V582" s="1" t="s">
        <v>837</v>
      </c>
      <c r="W582" s="1">
        <v>3280.0940773799998</v>
      </c>
      <c r="X582" s="1"/>
      <c r="Y582" s="83" t="str">
        <f>VLOOKUP(LossTable[[#This Row],[Department]],$A$15:$B$40,2,FALSE)</f>
        <v>Bermuda</v>
      </c>
    </row>
    <row r="583" spans="4:25" x14ac:dyDescent="0.25">
      <c r="D583" s="78">
        <v>468726</v>
      </c>
      <c r="E583" s="78">
        <v>280066590</v>
      </c>
      <c r="F583" s="83" t="s">
        <v>94</v>
      </c>
      <c r="G583" s="1" t="s">
        <v>600</v>
      </c>
      <c r="H583" s="1" t="s">
        <v>14</v>
      </c>
      <c r="I583" s="1" t="s">
        <v>601</v>
      </c>
      <c r="J583" s="1">
        <v>20000000</v>
      </c>
      <c r="K583" s="1">
        <v>2000000000</v>
      </c>
      <c r="L583" s="1">
        <v>0</v>
      </c>
      <c r="M583" s="1">
        <v>0</v>
      </c>
      <c r="N583" s="1" t="s">
        <v>122</v>
      </c>
      <c r="O583" s="1">
        <v>0.72499999999999998</v>
      </c>
      <c r="P583" s="1">
        <v>0.01</v>
      </c>
      <c r="Q583" s="83">
        <v>261543.04569999999</v>
      </c>
      <c r="R583" s="83">
        <v>261543.04569999999</v>
      </c>
      <c r="S583" s="1">
        <v>261543.04569999999</v>
      </c>
      <c r="T583" s="83">
        <v>0</v>
      </c>
      <c r="U583" s="1" t="s">
        <v>122</v>
      </c>
      <c r="V583" s="1" t="s">
        <v>837</v>
      </c>
      <c r="W583" s="1">
        <v>3280.0940773799998</v>
      </c>
      <c r="X583" s="1"/>
      <c r="Y583" s="83" t="str">
        <f>VLOOKUP(LossTable[[#This Row],[Department]],$A$15:$B$40,2,FALSE)</f>
        <v>TP</v>
      </c>
    </row>
    <row r="584" spans="4:25" x14ac:dyDescent="0.25">
      <c r="D584" s="78">
        <v>474032</v>
      </c>
      <c r="E584" s="78">
        <v>280066590</v>
      </c>
      <c r="F584" s="83" t="s">
        <v>21</v>
      </c>
      <c r="G584" s="1" t="s">
        <v>688</v>
      </c>
      <c r="H584" s="1" t="s">
        <v>14</v>
      </c>
      <c r="I584" s="1" t="s">
        <v>689</v>
      </c>
      <c r="J584" s="1">
        <v>42500000</v>
      </c>
      <c r="K584" s="1">
        <v>500000000</v>
      </c>
      <c r="L584" s="1">
        <v>0</v>
      </c>
      <c r="M584" s="1">
        <v>0</v>
      </c>
      <c r="N584" s="1" t="s">
        <v>156</v>
      </c>
      <c r="O584" s="1">
        <v>0.47139999999999999</v>
      </c>
      <c r="P584" s="1">
        <v>8.5000000000000006E-2</v>
      </c>
      <c r="Q584" s="83">
        <v>37453.89935</v>
      </c>
      <c r="R584" s="83">
        <v>37453.89935</v>
      </c>
      <c r="S584" s="1">
        <v>37453.89935</v>
      </c>
      <c r="T584" s="83">
        <v>0</v>
      </c>
      <c r="U584" s="1" t="s">
        <v>122</v>
      </c>
      <c r="V584" s="1" t="s">
        <v>837</v>
      </c>
      <c r="W584" s="1">
        <v>3280.0940773799998</v>
      </c>
      <c r="X584" s="1"/>
      <c r="Y584" s="83" t="str">
        <f>VLOOKUP(LossTable[[#This Row],[Department]],$A$15:$B$40,2,FALSE)</f>
        <v>London</v>
      </c>
    </row>
    <row r="585" spans="4:25" x14ac:dyDescent="0.25">
      <c r="D585" s="78">
        <v>475611</v>
      </c>
      <c r="E585" s="78">
        <v>280066590</v>
      </c>
      <c r="F585" s="83" t="s">
        <v>21</v>
      </c>
      <c r="G585" s="1" t="s">
        <v>673</v>
      </c>
      <c r="H585" s="1" t="s">
        <v>14</v>
      </c>
      <c r="I585" s="1" t="s">
        <v>674</v>
      </c>
      <c r="J585" s="1">
        <v>14875000</v>
      </c>
      <c r="K585" s="1">
        <v>350000000</v>
      </c>
      <c r="L585" s="1">
        <v>0</v>
      </c>
      <c r="M585" s="1">
        <v>0</v>
      </c>
      <c r="N585" s="1" t="s">
        <v>160</v>
      </c>
      <c r="O585" s="1">
        <v>3.34565891</v>
      </c>
      <c r="P585" s="1">
        <v>4.2500000000000003E-2</v>
      </c>
      <c r="Q585" s="83">
        <v>143861.18547500001</v>
      </c>
      <c r="R585" s="83">
        <v>143861.18547500001</v>
      </c>
      <c r="S585" s="1">
        <v>143861.18547500001</v>
      </c>
      <c r="T585" s="83">
        <v>0</v>
      </c>
      <c r="U585" s="1" t="s">
        <v>122</v>
      </c>
      <c r="V585" s="1" t="s">
        <v>837</v>
      </c>
      <c r="W585" s="1">
        <v>3280.0940773799998</v>
      </c>
      <c r="X585" s="1"/>
      <c r="Y585" s="83" t="str">
        <f>VLOOKUP(LossTable[[#This Row],[Department]],$A$15:$B$40,2,FALSE)</f>
        <v>London</v>
      </c>
    </row>
    <row r="586" spans="4:25" x14ac:dyDescent="0.25">
      <c r="D586" s="78">
        <v>484541</v>
      </c>
      <c r="E586" s="78">
        <v>280066590</v>
      </c>
      <c r="F586" s="83" t="s">
        <v>94</v>
      </c>
      <c r="G586" s="1" t="s">
        <v>596</v>
      </c>
      <c r="H586" s="1" t="s">
        <v>14</v>
      </c>
      <c r="I586" s="1" t="s">
        <v>742</v>
      </c>
      <c r="J586" s="1">
        <v>1500000</v>
      </c>
      <c r="K586" s="1">
        <v>20000000</v>
      </c>
      <c r="L586" s="1">
        <v>0</v>
      </c>
      <c r="M586" s="1">
        <v>0</v>
      </c>
      <c r="N586" s="1" t="s">
        <v>122</v>
      </c>
      <c r="O586" s="1">
        <v>0.95</v>
      </c>
      <c r="P586" s="1">
        <v>7.4999999999999997E-2</v>
      </c>
      <c r="Q586" s="83">
        <v>999.99</v>
      </c>
      <c r="R586" s="83">
        <v>999.99</v>
      </c>
      <c r="S586" s="1">
        <v>999.99</v>
      </c>
      <c r="T586" s="83">
        <v>0</v>
      </c>
      <c r="U586" s="1" t="s">
        <v>122</v>
      </c>
      <c r="V586" s="1" t="s">
        <v>837</v>
      </c>
      <c r="W586" s="1">
        <v>3280.0940773799998</v>
      </c>
      <c r="X586" s="1"/>
      <c r="Y586" s="83" t="str">
        <f>VLOOKUP(LossTable[[#This Row],[Department]],$A$15:$B$40,2,FALSE)</f>
        <v>TP</v>
      </c>
    </row>
    <row r="587" spans="4:25" x14ac:dyDescent="0.25">
      <c r="D587" s="78">
        <v>484776</v>
      </c>
      <c r="E587" s="78">
        <v>280066590</v>
      </c>
      <c r="F587" s="83" t="s">
        <v>12</v>
      </c>
      <c r="G587" s="1" t="s">
        <v>744</v>
      </c>
      <c r="H587" s="1" t="s">
        <v>14</v>
      </c>
      <c r="I587" s="1" t="s">
        <v>745</v>
      </c>
      <c r="J587" s="1">
        <v>12114900</v>
      </c>
      <c r="K587" s="1">
        <v>210000000</v>
      </c>
      <c r="L587" s="1">
        <v>0</v>
      </c>
      <c r="M587" s="1">
        <v>0</v>
      </c>
      <c r="N587" s="1" t="s">
        <v>122</v>
      </c>
      <c r="O587" s="1">
        <v>1.73333333</v>
      </c>
      <c r="P587" s="1">
        <v>5.7689999999999998E-2</v>
      </c>
      <c r="Q587" s="83">
        <v>191004.49932209999</v>
      </c>
      <c r="R587" s="83">
        <v>191004.49932209999</v>
      </c>
      <c r="S587" s="1">
        <v>191004.49932209999</v>
      </c>
      <c r="T587" s="83">
        <v>0</v>
      </c>
      <c r="U587" s="1" t="s">
        <v>122</v>
      </c>
      <c r="V587" s="1" t="s">
        <v>837</v>
      </c>
      <c r="W587" s="1">
        <v>3280.0940773799998</v>
      </c>
      <c r="X587" s="1"/>
      <c r="Y587" s="83" t="str">
        <f>VLOOKUP(LossTable[[#This Row],[Department]],$A$15:$B$40,2,FALSE)</f>
        <v>Bermuda</v>
      </c>
    </row>
    <row r="588" spans="4:25" x14ac:dyDescent="0.25">
      <c r="D588" s="78">
        <v>485125</v>
      </c>
      <c r="E588" s="78">
        <v>280066590</v>
      </c>
      <c r="F588" s="83" t="s">
        <v>94</v>
      </c>
      <c r="G588" s="1" t="s">
        <v>808</v>
      </c>
      <c r="H588" s="1" t="s">
        <v>16</v>
      </c>
      <c r="I588" s="1" t="s">
        <v>809</v>
      </c>
      <c r="J588" s="1">
        <v>3403678.8454999998</v>
      </c>
      <c r="K588" s="1">
        <v>68073576.909999996</v>
      </c>
      <c r="L588" s="1">
        <v>0</v>
      </c>
      <c r="M588" s="1">
        <v>0</v>
      </c>
      <c r="N588" s="1" t="s">
        <v>122</v>
      </c>
      <c r="O588" s="1">
        <v>5.5E-2</v>
      </c>
      <c r="P588" s="1">
        <v>0.05</v>
      </c>
      <c r="Q588" s="83">
        <v>11.727499999999999</v>
      </c>
      <c r="R588" s="83">
        <v>11.727499999999999</v>
      </c>
      <c r="S588" s="1">
        <v>11.727499999999999</v>
      </c>
      <c r="T588" s="83">
        <v>0</v>
      </c>
      <c r="U588" s="1" t="s">
        <v>122</v>
      </c>
      <c r="V588" s="1" t="s">
        <v>837</v>
      </c>
      <c r="W588" s="1">
        <v>3280.0940773799998</v>
      </c>
      <c r="X588" s="1"/>
      <c r="Y588" s="83" t="str">
        <f>VLOOKUP(LossTable[[#This Row],[Department]],$A$15:$B$40,2,FALSE)</f>
        <v>TP</v>
      </c>
    </row>
    <row r="589" spans="4:25" x14ac:dyDescent="0.25">
      <c r="D589" s="78">
        <v>102</v>
      </c>
      <c r="E589" s="78">
        <v>280037801</v>
      </c>
      <c r="F589" s="83" t="s">
        <v>86</v>
      </c>
      <c r="G589" s="1" t="s">
        <v>217</v>
      </c>
      <c r="H589" s="1" t="s">
        <v>16</v>
      </c>
      <c r="I589" s="1" t="s">
        <v>217</v>
      </c>
      <c r="J589" s="1">
        <v>152353276.241009</v>
      </c>
      <c r="K589" s="1">
        <v>0</v>
      </c>
      <c r="L589" s="1">
        <v>0</v>
      </c>
      <c r="M589" s="1">
        <v>0</v>
      </c>
      <c r="N589" s="1" t="s">
        <v>44</v>
      </c>
      <c r="O589" s="1">
        <v>0</v>
      </c>
      <c r="P589" s="1">
        <v>1</v>
      </c>
      <c r="Q589" s="83">
        <v>307.49983700000001</v>
      </c>
      <c r="R589" s="83">
        <v>307.49983700000001</v>
      </c>
      <c r="S589" s="1">
        <v>307.49983700000001</v>
      </c>
      <c r="T589" s="83">
        <v>0</v>
      </c>
      <c r="U589" s="1" t="s">
        <v>122</v>
      </c>
      <c r="V589" s="1" t="s">
        <v>852</v>
      </c>
      <c r="W589" s="1">
        <v>3949.1976460300002</v>
      </c>
      <c r="X589" s="1"/>
      <c r="Y589" s="83" t="str">
        <f>VLOOKUP(LossTable[[#This Row],[Department]],$A$15:$B$40,2,FALSE)</f>
        <v>FP</v>
      </c>
    </row>
    <row r="590" spans="4:25" x14ac:dyDescent="0.25">
      <c r="D590" s="78">
        <v>109</v>
      </c>
      <c r="E590" s="78">
        <v>280037801</v>
      </c>
      <c r="F590" s="83" t="s">
        <v>86</v>
      </c>
      <c r="G590" s="1" t="s">
        <v>217</v>
      </c>
      <c r="H590" s="1" t="s">
        <v>16</v>
      </c>
      <c r="I590" s="1" t="s">
        <v>217</v>
      </c>
      <c r="J590" s="1">
        <v>87372584.063106105</v>
      </c>
      <c r="K590" s="1">
        <v>0</v>
      </c>
      <c r="L590" s="1">
        <v>0</v>
      </c>
      <c r="M590" s="1">
        <v>0</v>
      </c>
      <c r="N590" s="1" t="s">
        <v>44</v>
      </c>
      <c r="O590" s="1">
        <v>0</v>
      </c>
      <c r="P590" s="1">
        <v>1</v>
      </c>
      <c r="Q590" s="83">
        <v>83435.016518999997</v>
      </c>
      <c r="R590" s="83">
        <v>83435.016518999997</v>
      </c>
      <c r="S590" s="1">
        <v>83435.016518999997</v>
      </c>
      <c r="T590" s="83">
        <v>0</v>
      </c>
      <c r="U590" s="1" t="s">
        <v>122</v>
      </c>
      <c r="V590" s="1" t="s">
        <v>852</v>
      </c>
      <c r="W590" s="1">
        <v>3949.1976460300002</v>
      </c>
      <c r="X590" s="1"/>
      <c r="Y590" s="83" t="str">
        <f>VLOOKUP(LossTable[[#This Row],[Department]],$A$15:$B$40,2,FALSE)</f>
        <v>FP</v>
      </c>
    </row>
    <row r="591" spans="4:25" x14ac:dyDescent="0.25">
      <c r="D591" s="78">
        <v>116</v>
      </c>
      <c r="E591" s="78">
        <v>280037801</v>
      </c>
      <c r="F591" s="83" t="s">
        <v>42</v>
      </c>
      <c r="G591" s="1" t="s">
        <v>43</v>
      </c>
      <c r="H591" s="1" t="s">
        <v>16</v>
      </c>
      <c r="I591" s="1" t="s">
        <v>43</v>
      </c>
      <c r="J591" s="1">
        <v>88718863.125521794</v>
      </c>
      <c r="K591" s="1">
        <v>0</v>
      </c>
      <c r="L591" s="1">
        <v>0</v>
      </c>
      <c r="M591" s="1">
        <v>0</v>
      </c>
      <c r="N591" s="1" t="s">
        <v>44</v>
      </c>
      <c r="O591" s="1">
        <v>0</v>
      </c>
      <c r="P591" s="1">
        <v>1</v>
      </c>
      <c r="Q591" s="83">
        <v>598.11015199999997</v>
      </c>
      <c r="R591" s="83">
        <v>598.11015199999997</v>
      </c>
      <c r="S591" s="1">
        <v>598.11015199999997</v>
      </c>
      <c r="T591" s="83">
        <v>0</v>
      </c>
      <c r="U591" s="1" t="s">
        <v>122</v>
      </c>
      <c r="V591" s="1" t="s">
        <v>852</v>
      </c>
      <c r="W591" s="1">
        <v>3949.1976460300002</v>
      </c>
      <c r="X591" s="1"/>
      <c r="Y591" s="83" t="str">
        <f>VLOOKUP(LossTable[[#This Row],[Department]],$A$15:$B$40,2,FALSE)</f>
        <v>FP</v>
      </c>
    </row>
    <row r="592" spans="4:25" x14ac:dyDescent="0.25">
      <c r="D592" s="78">
        <v>121</v>
      </c>
      <c r="E592" s="78">
        <v>280037801</v>
      </c>
      <c r="F592" s="83" t="s">
        <v>92</v>
      </c>
      <c r="G592" s="1" t="s">
        <v>220</v>
      </c>
      <c r="H592" s="1" t="s">
        <v>16</v>
      </c>
      <c r="I592" s="1" t="s">
        <v>220</v>
      </c>
      <c r="J592" s="1">
        <v>46647943.011836402</v>
      </c>
      <c r="K592" s="1">
        <v>0</v>
      </c>
      <c r="L592" s="1">
        <v>0</v>
      </c>
      <c r="M592" s="1">
        <v>0</v>
      </c>
      <c r="N592" s="1" t="s">
        <v>44</v>
      </c>
      <c r="O592" s="1">
        <v>0</v>
      </c>
      <c r="P592" s="1">
        <v>1</v>
      </c>
      <c r="Q592" s="83">
        <v>418.763822</v>
      </c>
      <c r="R592" s="83">
        <v>418.763822</v>
      </c>
      <c r="S592" s="1">
        <v>418.763822</v>
      </c>
      <c r="T592" s="83">
        <v>0</v>
      </c>
      <c r="U592" s="1" t="s">
        <v>122</v>
      </c>
      <c r="V592" s="1" t="s">
        <v>852</v>
      </c>
      <c r="W592" s="1">
        <v>3949.1976460300002</v>
      </c>
      <c r="X592" s="1"/>
      <c r="Y592" s="83" t="str">
        <f>VLOOKUP(LossTable[[#This Row],[Department]],$A$15:$B$40,2,FALSE)</f>
        <v>FP</v>
      </c>
    </row>
    <row r="593" spans="4:25" x14ac:dyDescent="0.25">
      <c r="D593" s="78">
        <v>128</v>
      </c>
      <c r="E593" s="78">
        <v>280037801</v>
      </c>
      <c r="F593" s="83" t="s">
        <v>92</v>
      </c>
      <c r="G593" s="1" t="s">
        <v>220</v>
      </c>
      <c r="H593" s="1" t="s">
        <v>16</v>
      </c>
      <c r="I593" s="1" t="s">
        <v>220</v>
      </c>
      <c r="J593" s="1">
        <v>53671848.623498403</v>
      </c>
      <c r="K593" s="1">
        <v>0</v>
      </c>
      <c r="L593" s="1">
        <v>0</v>
      </c>
      <c r="M593" s="1">
        <v>0</v>
      </c>
      <c r="N593" s="1" t="s">
        <v>44</v>
      </c>
      <c r="O593" s="1">
        <v>0</v>
      </c>
      <c r="P593" s="1">
        <v>1</v>
      </c>
      <c r="Q593" s="83">
        <v>12530.890455999999</v>
      </c>
      <c r="R593" s="83">
        <v>12530.890455999999</v>
      </c>
      <c r="S593" s="1">
        <v>12530.890455999999</v>
      </c>
      <c r="T593" s="83">
        <v>0</v>
      </c>
      <c r="U593" s="1" t="s">
        <v>122</v>
      </c>
      <c r="V593" s="1" t="s">
        <v>852</v>
      </c>
      <c r="W593" s="1">
        <v>3949.1976460300002</v>
      </c>
      <c r="X593" s="1"/>
      <c r="Y593" s="83" t="str">
        <f>VLOOKUP(LossTable[[#This Row],[Department]],$A$15:$B$40,2,FALSE)</f>
        <v>FP</v>
      </c>
    </row>
    <row r="594" spans="4:25" x14ac:dyDescent="0.25">
      <c r="D594" s="78">
        <v>140</v>
      </c>
      <c r="E594" s="78">
        <v>280037801</v>
      </c>
      <c r="F594" s="83" t="s">
        <v>45</v>
      </c>
      <c r="G594" s="1" t="s">
        <v>46</v>
      </c>
      <c r="H594" s="1" t="s">
        <v>16</v>
      </c>
      <c r="I594" s="1" t="s">
        <v>46</v>
      </c>
      <c r="J594" s="1">
        <v>58298719</v>
      </c>
      <c r="K594" s="1">
        <v>0</v>
      </c>
      <c r="L594" s="1">
        <v>0</v>
      </c>
      <c r="M594" s="1">
        <v>0</v>
      </c>
      <c r="N594" s="1" t="s">
        <v>44</v>
      </c>
      <c r="O594" s="1">
        <v>0</v>
      </c>
      <c r="P594" s="1">
        <v>1</v>
      </c>
      <c r="Q594" s="83">
        <v>24672.926019999999</v>
      </c>
      <c r="R594" s="83">
        <v>24672.926019999999</v>
      </c>
      <c r="S594" s="1">
        <v>24672.926019999999</v>
      </c>
      <c r="T594" s="83">
        <v>0</v>
      </c>
      <c r="U594" s="1" t="s">
        <v>122</v>
      </c>
      <c r="V594" s="1" t="s">
        <v>852</v>
      </c>
      <c r="W594" s="1">
        <v>3949.1976460300002</v>
      </c>
      <c r="X594" s="1"/>
      <c r="Y594" s="83" t="str">
        <f>VLOOKUP(LossTable[[#This Row],[Department]],$A$15:$B$40,2,FALSE)</f>
        <v>FP</v>
      </c>
    </row>
    <row r="595" spans="4:25" x14ac:dyDescent="0.25">
      <c r="D595" s="78">
        <v>147</v>
      </c>
      <c r="E595" s="78">
        <v>280037801</v>
      </c>
      <c r="F595" s="83" t="s">
        <v>45</v>
      </c>
      <c r="G595" s="1" t="s">
        <v>46</v>
      </c>
      <c r="H595" s="1" t="s">
        <v>16</v>
      </c>
      <c r="I595" s="1" t="s">
        <v>46</v>
      </c>
      <c r="J595" s="1">
        <v>1347147300</v>
      </c>
      <c r="K595" s="1">
        <v>0</v>
      </c>
      <c r="L595" s="1">
        <v>0</v>
      </c>
      <c r="M595" s="1">
        <v>0</v>
      </c>
      <c r="N595" s="1" t="s">
        <v>44</v>
      </c>
      <c r="O595" s="1">
        <v>0</v>
      </c>
      <c r="P595" s="1">
        <v>1</v>
      </c>
      <c r="Q595" s="83">
        <v>204435.21922200001</v>
      </c>
      <c r="R595" s="83">
        <v>204435.21922200001</v>
      </c>
      <c r="S595" s="1">
        <v>204435.21922200001</v>
      </c>
      <c r="T595" s="83">
        <v>0</v>
      </c>
      <c r="U595" s="1" t="s">
        <v>122</v>
      </c>
      <c r="V595" s="1" t="s">
        <v>852</v>
      </c>
      <c r="W595" s="1">
        <v>3949.1976460300002</v>
      </c>
      <c r="X595" s="1"/>
      <c r="Y595" s="83" t="str">
        <f>VLOOKUP(LossTable[[#This Row],[Department]],$A$15:$B$40,2,FALSE)</f>
        <v>FP</v>
      </c>
    </row>
    <row r="596" spans="4:25" x14ac:dyDescent="0.25">
      <c r="D596" s="78">
        <v>288758</v>
      </c>
      <c r="E596" s="78">
        <v>280037801</v>
      </c>
      <c r="F596" s="83" t="s">
        <v>87</v>
      </c>
      <c r="G596" s="1" t="s">
        <v>224</v>
      </c>
      <c r="H596" s="1" t="s">
        <v>14</v>
      </c>
      <c r="I596" s="1" t="s">
        <v>222</v>
      </c>
      <c r="J596" s="1">
        <v>1020000</v>
      </c>
      <c r="K596" s="1">
        <v>1020000</v>
      </c>
      <c r="L596" s="1">
        <v>0</v>
      </c>
      <c r="M596" s="1">
        <v>0</v>
      </c>
      <c r="N596" s="1" t="s">
        <v>14</v>
      </c>
      <c r="O596" s="1">
        <v>9.8039219999999996E-2</v>
      </c>
      <c r="P596" s="1">
        <v>1</v>
      </c>
      <c r="Q596" s="83">
        <v>471.48</v>
      </c>
      <c r="R596" s="83">
        <v>471.48</v>
      </c>
      <c r="S596" s="1">
        <v>471.48</v>
      </c>
      <c r="T596" s="83">
        <v>0</v>
      </c>
      <c r="U596" s="1" t="s">
        <v>122</v>
      </c>
      <c r="V596" s="1" t="s">
        <v>852</v>
      </c>
      <c r="W596" s="1">
        <v>3949.1976460300002</v>
      </c>
      <c r="X596" s="1"/>
      <c r="Y596" s="83" t="str">
        <f>VLOOKUP(LossTable[[#This Row],[Department]],$A$15:$B$40,2,FALSE)</f>
        <v>Insurance</v>
      </c>
    </row>
    <row r="597" spans="4:25" x14ac:dyDescent="0.25">
      <c r="D597" s="78">
        <v>329067</v>
      </c>
      <c r="E597" s="78">
        <v>280037801</v>
      </c>
      <c r="F597" s="83" t="s">
        <v>127</v>
      </c>
      <c r="G597" s="1" t="s">
        <v>128</v>
      </c>
      <c r="H597" s="1" t="s">
        <v>14</v>
      </c>
      <c r="I597" s="1" t="s">
        <v>129</v>
      </c>
      <c r="J597" s="1">
        <v>100178784.83</v>
      </c>
      <c r="K597" s="1">
        <v>100178784.83</v>
      </c>
      <c r="L597" s="1">
        <v>0</v>
      </c>
      <c r="M597" s="1">
        <v>0</v>
      </c>
      <c r="N597" s="1" t="s">
        <v>14</v>
      </c>
      <c r="O597" s="1">
        <v>2.4955379999999999E-2</v>
      </c>
      <c r="P597" s="1">
        <v>1</v>
      </c>
      <c r="Q597" s="83">
        <v>125610.92</v>
      </c>
      <c r="R597" s="83">
        <v>125610.92</v>
      </c>
      <c r="S597" s="1">
        <v>125610.92</v>
      </c>
      <c r="T597" s="83">
        <v>0</v>
      </c>
      <c r="U597" s="1" t="s">
        <v>122</v>
      </c>
      <c r="V597" s="1" t="s">
        <v>852</v>
      </c>
      <c r="W597" s="1">
        <v>3949.1976460300002</v>
      </c>
      <c r="X597" s="1"/>
      <c r="Y597" s="83" t="str">
        <f>VLOOKUP(LossTable[[#This Row],[Department]],$A$15:$B$40,2,FALSE)</f>
        <v>Insurance</v>
      </c>
    </row>
    <row r="598" spans="4:25" x14ac:dyDescent="0.25">
      <c r="D598" s="78">
        <v>387391</v>
      </c>
      <c r="E598" s="78">
        <v>280037801</v>
      </c>
      <c r="F598" s="83" t="s">
        <v>87</v>
      </c>
      <c r="G598" s="1" t="s">
        <v>151</v>
      </c>
      <c r="H598" s="1" t="s">
        <v>14</v>
      </c>
      <c r="I598" s="1" t="s">
        <v>152</v>
      </c>
      <c r="J598" s="1">
        <v>352227968.97000003</v>
      </c>
      <c r="K598" s="1">
        <v>352227968.97000003</v>
      </c>
      <c r="L598" s="1">
        <v>0</v>
      </c>
      <c r="M598" s="1">
        <v>0</v>
      </c>
      <c r="N598" s="1" t="s">
        <v>14</v>
      </c>
      <c r="O598" s="1">
        <v>2.83907E-3</v>
      </c>
      <c r="P598" s="1">
        <v>1</v>
      </c>
      <c r="Q598" s="83">
        <v>201.55</v>
      </c>
      <c r="R598" s="83">
        <v>201.55</v>
      </c>
      <c r="S598" s="1">
        <v>201.55</v>
      </c>
      <c r="T598" s="83">
        <v>0</v>
      </c>
      <c r="U598" s="1" t="s">
        <v>122</v>
      </c>
      <c r="V598" s="1" t="s">
        <v>852</v>
      </c>
      <c r="W598" s="1">
        <v>3949.1976460300002</v>
      </c>
      <c r="X598" s="1"/>
      <c r="Y598" s="83" t="str">
        <f>VLOOKUP(LossTable[[#This Row],[Department]],$A$15:$B$40,2,FALSE)</f>
        <v>Insurance</v>
      </c>
    </row>
    <row r="599" spans="4:25" x14ac:dyDescent="0.25">
      <c r="D599" s="78">
        <v>388108</v>
      </c>
      <c r="E599" s="78">
        <v>280037801</v>
      </c>
      <c r="F599" s="83" t="s">
        <v>133</v>
      </c>
      <c r="G599" s="1" t="s">
        <v>140</v>
      </c>
      <c r="H599" s="1" t="s">
        <v>14</v>
      </c>
      <c r="I599" s="1" t="s">
        <v>141</v>
      </c>
      <c r="J599" s="1">
        <v>394874353.98000002</v>
      </c>
      <c r="K599" s="1">
        <v>394874353.98000002</v>
      </c>
      <c r="L599" s="1">
        <v>0</v>
      </c>
      <c r="M599" s="1">
        <v>0</v>
      </c>
      <c r="N599" s="1" t="s">
        <v>14</v>
      </c>
      <c r="O599" s="1">
        <v>2.5325E-4</v>
      </c>
      <c r="P599" s="1">
        <v>1</v>
      </c>
      <c r="Q599" s="83">
        <v>219340.09</v>
      </c>
      <c r="R599" s="83">
        <v>219340.09</v>
      </c>
      <c r="S599" s="1">
        <v>219340.09</v>
      </c>
      <c r="T599" s="83">
        <v>0</v>
      </c>
      <c r="U599" s="1" t="s">
        <v>122</v>
      </c>
      <c r="V599" s="1" t="s">
        <v>852</v>
      </c>
      <c r="W599" s="1">
        <v>3949.1976460300002</v>
      </c>
      <c r="X599" s="1"/>
      <c r="Y599" s="83" t="str">
        <f>VLOOKUP(LossTable[[#This Row],[Department]],$A$15:$B$40,2,FALSE)</f>
        <v>Insurance</v>
      </c>
    </row>
    <row r="600" spans="4:25" x14ac:dyDescent="0.25">
      <c r="D600" s="78">
        <v>427852</v>
      </c>
      <c r="E600" s="78">
        <v>280037801</v>
      </c>
      <c r="F600" s="83" t="s">
        <v>12</v>
      </c>
      <c r="G600" s="1" t="s">
        <v>249</v>
      </c>
      <c r="H600" s="1" t="s">
        <v>14</v>
      </c>
      <c r="I600" s="1" t="s">
        <v>250</v>
      </c>
      <c r="J600" s="1">
        <v>5683187.5</v>
      </c>
      <c r="K600" s="1">
        <v>227327500</v>
      </c>
      <c r="L600" s="1">
        <v>0</v>
      </c>
      <c r="M600" s="1">
        <v>0</v>
      </c>
      <c r="N600" s="1" t="s">
        <v>251</v>
      </c>
      <c r="O600" s="1">
        <v>0.8</v>
      </c>
      <c r="P600" s="1">
        <v>2.5000000000000001E-2</v>
      </c>
      <c r="Q600" s="83">
        <v>24155.304749999999</v>
      </c>
      <c r="R600" s="83">
        <v>24155.304749999999</v>
      </c>
      <c r="S600" s="1">
        <v>24155.304749999999</v>
      </c>
      <c r="T600" s="83">
        <v>0</v>
      </c>
      <c r="U600" s="1" t="s">
        <v>122</v>
      </c>
      <c r="V600" s="1" t="s">
        <v>852</v>
      </c>
      <c r="W600" s="1">
        <v>3949.1976460300002</v>
      </c>
      <c r="X600" s="1"/>
      <c r="Y600" s="83" t="str">
        <f>VLOOKUP(LossTable[[#This Row],[Department]],$A$15:$B$40,2,FALSE)</f>
        <v>Bermuda</v>
      </c>
    </row>
    <row r="601" spans="4:25" x14ac:dyDescent="0.25">
      <c r="D601" s="78">
        <v>427961</v>
      </c>
      <c r="E601" s="78">
        <v>280037801</v>
      </c>
      <c r="F601" s="83" t="s">
        <v>94</v>
      </c>
      <c r="G601" s="1" t="s">
        <v>344</v>
      </c>
      <c r="H601" s="1" t="s">
        <v>16</v>
      </c>
      <c r="I601" s="1" t="s">
        <v>755</v>
      </c>
      <c r="J601" s="1">
        <v>200000</v>
      </c>
      <c r="K601" s="1">
        <v>10000000</v>
      </c>
      <c r="L601" s="1">
        <v>0</v>
      </c>
      <c r="M601" s="1">
        <v>0</v>
      </c>
      <c r="N601" s="1" t="s">
        <v>315</v>
      </c>
      <c r="O601" s="1">
        <v>0.40000011000000002</v>
      </c>
      <c r="P601" s="1">
        <v>0.02</v>
      </c>
      <c r="Q601" s="83">
        <v>1024.2008000000001</v>
      </c>
      <c r="R601" s="83">
        <v>1024.2008000000001</v>
      </c>
      <c r="S601" s="1">
        <v>1024.2008000000001</v>
      </c>
      <c r="T601" s="83">
        <v>0</v>
      </c>
      <c r="U601" s="1" t="s">
        <v>122</v>
      </c>
      <c r="V601" s="1" t="s">
        <v>852</v>
      </c>
      <c r="W601" s="1">
        <v>3949.1976460300002</v>
      </c>
      <c r="X601" s="1"/>
      <c r="Y601" s="83" t="str">
        <f>VLOOKUP(LossTable[[#This Row],[Department]],$A$15:$B$40,2,FALSE)</f>
        <v>TP</v>
      </c>
    </row>
    <row r="602" spans="4:25" x14ac:dyDescent="0.25">
      <c r="D602" s="78">
        <v>430385</v>
      </c>
      <c r="E602" s="78">
        <v>280037801</v>
      </c>
      <c r="F602" s="83" t="s">
        <v>94</v>
      </c>
      <c r="G602" s="1" t="s">
        <v>313</v>
      </c>
      <c r="H602" s="1" t="s">
        <v>16</v>
      </c>
      <c r="I602" s="1" t="s">
        <v>324</v>
      </c>
      <c r="J602" s="1">
        <v>1050000</v>
      </c>
      <c r="K602" s="1">
        <v>20000000</v>
      </c>
      <c r="L602" s="1">
        <v>0</v>
      </c>
      <c r="M602" s="1">
        <v>0</v>
      </c>
      <c r="N602" s="1" t="s">
        <v>325</v>
      </c>
      <c r="O602" s="1">
        <v>0.17</v>
      </c>
      <c r="P602" s="1">
        <v>5.2499999999999998E-2</v>
      </c>
      <c r="Q602" s="83">
        <v>38194.533300000003</v>
      </c>
      <c r="R602" s="83">
        <v>38194.533300000003</v>
      </c>
      <c r="S602" s="1">
        <v>38194.533300000003</v>
      </c>
      <c r="T602" s="83">
        <v>0</v>
      </c>
      <c r="U602" s="1" t="s">
        <v>122</v>
      </c>
      <c r="V602" s="1" t="s">
        <v>852</v>
      </c>
      <c r="W602" s="1">
        <v>3949.1976460300002</v>
      </c>
      <c r="X602" s="1"/>
      <c r="Y602" s="83" t="str">
        <f>VLOOKUP(LossTable[[#This Row],[Department]],$A$15:$B$40,2,FALSE)</f>
        <v>TP</v>
      </c>
    </row>
    <row r="603" spans="4:25" x14ac:dyDescent="0.25">
      <c r="D603" s="78">
        <v>431800</v>
      </c>
      <c r="E603" s="78">
        <v>280037801</v>
      </c>
      <c r="F603" s="83" t="s">
        <v>94</v>
      </c>
      <c r="G603" s="1" t="s">
        <v>272</v>
      </c>
      <c r="H603" s="1" t="s">
        <v>16</v>
      </c>
      <c r="I603" s="1" t="s">
        <v>273</v>
      </c>
      <c r="J603" s="1">
        <v>1500000</v>
      </c>
      <c r="K603" s="1">
        <v>15000000</v>
      </c>
      <c r="L603" s="1">
        <v>0</v>
      </c>
      <c r="M603" s="1">
        <v>0</v>
      </c>
      <c r="N603" s="1" t="s">
        <v>274</v>
      </c>
      <c r="O603" s="1">
        <v>0.27500000000000002</v>
      </c>
      <c r="P603" s="1">
        <v>0.1</v>
      </c>
      <c r="Q603" s="83">
        <v>647.71100000000001</v>
      </c>
      <c r="R603" s="83">
        <v>647.71100000000001</v>
      </c>
      <c r="S603" s="1">
        <v>647.71100000000001</v>
      </c>
      <c r="T603" s="83">
        <v>0</v>
      </c>
      <c r="U603" s="1" t="s">
        <v>122</v>
      </c>
      <c r="V603" s="1" t="s">
        <v>852</v>
      </c>
      <c r="W603" s="1">
        <v>3949.1976460300002</v>
      </c>
      <c r="X603" s="1"/>
      <c r="Y603" s="83" t="str">
        <f>VLOOKUP(LossTable[[#This Row],[Department]],$A$15:$B$40,2,FALSE)</f>
        <v>TP</v>
      </c>
    </row>
    <row r="604" spans="4:25" x14ac:dyDescent="0.25">
      <c r="D604" s="78">
        <v>435689</v>
      </c>
      <c r="E604" s="78">
        <v>280037801</v>
      </c>
      <c r="F604" s="83" t="s">
        <v>94</v>
      </c>
      <c r="G604" s="1" t="s">
        <v>167</v>
      </c>
      <c r="H604" s="1" t="s">
        <v>16</v>
      </c>
      <c r="I604" s="1" t="s">
        <v>404</v>
      </c>
      <c r="J604" s="1">
        <v>5250000</v>
      </c>
      <c r="K604" s="1">
        <v>30000000</v>
      </c>
      <c r="L604" s="1">
        <v>0</v>
      </c>
      <c r="M604" s="1">
        <v>0</v>
      </c>
      <c r="N604" s="1" t="s">
        <v>122</v>
      </c>
      <c r="O604" s="1">
        <v>0.49996528000000001</v>
      </c>
      <c r="P604" s="1">
        <v>0.17499999999999999</v>
      </c>
      <c r="Q604" s="83">
        <v>17391.556</v>
      </c>
      <c r="R604" s="83">
        <v>17391.556</v>
      </c>
      <c r="S604" s="1">
        <v>17391.556</v>
      </c>
      <c r="T604" s="83">
        <v>0</v>
      </c>
      <c r="U604" s="1" t="s">
        <v>122</v>
      </c>
      <c r="V604" s="1" t="s">
        <v>852</v>
      </c>
      <c r="W604" s="1">
        <v>3949.1976460300002</v>
      </c>
      <c r="X604" s="1"/>
      <c r="Y604" s="83" t="str">
        <f>VLOOKUP(LossTable[[#This Row],[Department]],$A$15:$B$40,2,FALSE)</f>
        <v>TP</v>
      </c>
    </row>
    <row r="605" spans="4:25" x14ac:dyDescent="0.25">
      <c r="D605" s="78">
        <v>435696</v>
      </c>
      <c r="E605" s="78">
        <v>280037801</v>
      </c>
      <c r="F605" s="83" t="s">
        <v>94</v>
      </c>
      <c r="G605" s="1" t="s">
        <v>318</v>
      </c>
      <c r="H605" s="1" t="s">
        <v>16</v>
      </c>
      <c r="I605" s="1" t="s">
        <v>414</v>
      </c>
      <c r="J605" s="1">
        <v>4500000</v>
      </c>
      <c r="K605" s="1">
        <v>90000000</v>
      </c>
      <c r="L605" s="1">
        <v>0</v>
      </c>
      <c r="M605" s="1">
        <v>0</v>
      </c>
      <c r="N605" s="1" t="s">
        <v>415</v>
      </c>
      <c r="O605" s="1">
        <v>0.45</v>
      </c>
      <c r="P605" s="1">
        <v>0.05</v>
      </c>
      <c r="Q605" s="83">
        <v>4299.6324999999997</v>
      </c>
      <c r="R605" s="83">
        <v>4299.6324999999997</v>
      </c>
      <c r="S605" s="1">
        <v>4299.6324999999997</v>
      </c>
      <c r="T605" s="83">
        <v>0</v>
      </c>
      <c r="U605" s="1" t="s">
        <v>122</v>
      </c>
      <c r="V605" s="1" t="s">
        <v>852</v>
      </c>
      <c r="W605" s="1">
        <v>3949.1976460300002</v>
      </c>
      <c r="X605" s="1"/>
      <c r="Y605" s="83" t="str">
        <f>VLOOKUP(LossTable[[#This Row],[Department]],$A$15:$B$40,2,FALSE)</f>
        <v>TP</v>
      </c>
    </row>
    <row r="606" spans="4:25" x14ac:dyDescent="0.25">
      <c r="D606" s="78">
        <v>437878</v>
      </c>
      <c r="E606" s="78">
        <v>280037801</v>
      </c>
      <c r="F606" s="83" t="s">
        <v>45</v>
      </c>
      <c r="G606" s="1" t="s">
        <v>355</v>
      </c>
      <c r="H606" s="1" t="s">
        <v>16</v>
      </c>
      <c r="I606" s="1" t="s">
        <v>356</v>
      </c>
      <c r="J606" s="1">
        <v>1500000</v>
      </c>
      <c r="K606" s="1">
        <v>10000000</v>
      </c>
      <c r="L606" s="1">
        <v>0</v>
      </c>
      <c r="M606" s="1">
        <v>0</v>
      </c>
      <c r="N606" s="1" t="s">
        <v>357</v>
      </c>
      <c r="O606" s="1">
        <v>0.10790130000000001</v>
      </c>
      <c r="P606" s="1">
        <v>0.15</v>
      </c>
      <c r="Q606" s="83">
        <v>771.495</v>
      </c>
      <c r="R606" s="83">
        <v>771.495</v>
      </c>
      <c r="S606" s="1">
        <v>771.495</v>
      </c>
      <c r="T606" s="83">
        <v>0</v>
      </c>
      <c r="U606" s="1" t="s">
        <v>122</v>
      </c>
      <c r="V606" s="1" t="s">
        <v>852</v>
      </c>
      <c r="W606" s="1">
        <v>3949.1976460300002</v>
      </c>
      <c r="X606" s="1"/>
      <c r="Y606" s="83" t="str">
        <f>VLOOKUP(LossTable[[#This Row],[Department]],$A$15:$B$40,2,FALSE)</f>
        <v>FP</v>
      </c>
    </row>
    <row r="607" spans="4:25" x14ac:dyDescent="0.25">
      <c r="D607" s="78">
        <v>437966</v>
      </c>
      <c r="E607" s="78">
        <v>280037801</v>
      </c>
      <c r="F607" s="83" t="s">
        <v>45</v>
      </c>
      <c r="G607" s="1" t="s">
        <v>374</v>
      </c>
      <c r="H607" s="1" t="s">
        <v>16</v>
      </c>
      <c r="I607" s="1" t="s">
        <v>375</v>
      </c>
      <c r="J607" s="1">
        <v>6000000</v>
      </c>
      <c r="K607" s="1">
        <v>30000000</v>
      </c>
      <c r="L607" s="1">
        <v>0</v>
      </c>
      <c r="M607" s="1">
        <v>0</v>
      </c>
      <c r="N607" s="1" t="s">
        <v>376</v>
      </c>
      <c r="O607" s="1">
        <v>0.13092852999999999</v>
      </c>
      <c r="P607" s="1">
        <v>0.2</v>
      </c>
      <c r="Q607" s="83">
        <v>266.22199999999998</v>
      </c>
      <c r="R607" s="83">
        <v>266.22199999999998</v>
      </c>
      <c r="S607" s="1">
        <v>266.22199999999998</v>
      </c>
      <c r="T607" s="83">
        <v>0</v>
      </c>
      <c r="U607" s="1" t="s">
        <v>122</v>
      </c>
      <c r="V607" s="1" t="s">
        <v>852</v>
      </c>
      <c r="W607" s="1">
        <v>3949.1976460300002</v>
      </c>
      <c r="X607" s="1"/>
      <c r="Y607" s="83" t="str">
        <f>VLOOKUP(LossTable[[#This Row],[Department]],$A$15:$B$40,2,FALSE)</f>
        <v>FP</v>
      </c>
    </row>
    <row r="608" spans="4:25" x14ac:dyDescent="0.25">
      <c r="D608" s="78">
        <v>438659</v>
      </c>
      <c r="E608" s="78">
        <v>280037801</v>
      </c>
      <c r="F608" s="83" t="s">
        <v>94</v>
      </c>
      <c r="G608" s="1" t="s">
        <v>485</v>
      </c>
      <c r="H608" s="1" t="s">
        <v>14</v>
      </c>
      <c r="I608" s="1" t="s">
        <v>486</v>
      </c>
      <c r="J608" s="1">
        <v>9375000</v>
      </c>
      <c r="K608" s="1">
        <v>62500000</v>
      </c>
      <c r="L608" s="1">
        <v>0</v>
      </c>
      <c r="M608" s="1">
        <v>0</v>
      </c>
      <c r="N608" s="1" t="s">
        <v>122</v>
      </c>
      <c r="O608" s="1">
        <v>0.8</v>
      </c>
      <c r="P608" s="1">
        <v>0.15</v>
      </c>
      <c r="Q608" s="83">
        <v>49536.364500000003</v>
      </c>
      <c r="R608" s="83">
        <v>49536.364500000003</v>
      </c>
      <c r="S608" s="1">
        <v>49536.364500000003</v>
      </c>
      <c r="T608" s="83">
        <v>0</v>
      </c>
      <c r="U608" s="1" t="s">
        <v>122</v>
      </c>
      <c r="V608" s="1" t="s">
        <v>852</v>
      </c>
      <c r="W608" s="1">
        <v>3949.1976460300002</v>
      </c>
      <c r="X608" s="1"/>
      <c r="Y608" s="83" t="str">
        <f>VLOOKUP(LossTable[[#This Row],[Department]],$A$15:$B$40,2,FALSE)</f>
        <v>TP</v>
      </c>
    </row>
    <row r="609" spans="4:25" x14ac:dyDescent="0.25">
      <c r="D609" s="78">
        <v>442600</v>
      </c>
      <c r="E609" s="78">
        <v>280037801</v>
      </c>
      <c r="F609" s="83" t="s">
        <v>45</v>
      </c>
      <c r="G609" s="1" t="s">
        <v>465</v>
      </c>
      <c r="H609" s="1" t="s">
        <v>16</v>
      </c>
      <c r="I609" s="1" t="s">
        <v>466</v>
      </c>
      <c r="J609" s="1">
        <v>24995559</v>
      </c>
      <c r="K609" s="1">
        <v>510000000</v>
      </c>
      <c r="L609" s="1">
        <v>0</v>
      </c>
      <c r="M609" s="1">
        <v>0</v>
      </c>
      <c r="N609" s="1" t="s">
        <v>467</v>
      </c>
      <c r="O609" s="1">
        <v>8.0872099999999992E-3</v>
      </c>
      <c r="P609" s="1">
        <v>4.9010900000000003E-2</v>
      </c>
      <c r="Q609" s="83">
        <v>1935.2115601</v>
      </c>
      <c r="R609" s="83">
        <v>1935.2115601</v>
      </c>
      <c r="S609" s="1">
        <v>1935.2115601</v>
      </c>
      <c r="T609" s="83">
        <v>0</v>
      </c>
      <c r="U609" s="1" t="s">
        <v>122</v>
      </c>
      <c r="V609" s="1" t="s">
        <v>852</v>
      </c>
      <c r="W609" s="1">
        <v>3949.1976460300002</v>
      </c>
      <c r="X609" s="1"/>
      <c r="Y609" s="83" t="str">
        <f>VLOOKUP(LossTable[[#This Row],[Department]],$A$15:$B$40,2,FALSE)</f>
        <v>FP</v>
      </c>
    </row>
    <row r="610" spans="4:25" x14ac:dyDescent="0.25">
      <c r="D610" s="78">
        <v>442828</v>
      </c>
      <c r="E610" s="78">
        <v>280037801</v>
      </c>
      <c r="F610" s="83" t="s">
        <v>21</v>
      </c>
      <c r="G610" s="1" t="s">
        <v>408</v>
      </c>
      <c r="H610" s="1" t="s">
        <v>14</v>
      </c>
      <c r="I610" s="1" t="s">
        <v>409</v>
      </c>
      <c r="J610" s="1">
        <v>850000</v>
      </c>
      <c r="K610" s="1">
        <v>20000000</v>
      </c>
      <c r="L610" s="1">
        <v>0</v>
      </c>
      <c r="M610" s="1">
        <v>0</v>
      </c>
      <c r="N610" s="1" t="s">
        <v>410</v>
      </c>
      <c r="O610" s="1">
        <v>1.5</v>
      </c>
      <c r="P610" s="1">
        <v>4.2500000000000003E-2</v>
      </c>
      <c r="Q610" s="83">
        <v>75.124274999999997</v>
      </c>
      <c r="R610" s="83">
        <v>75.124274999999997</v>
      </c>
      <c r="S610" s="1">
        <v>75.124274999999997</v>
      </c>
      <c r="T610" s="83">
        <v>0</v>
      </c>
      <c r="U610" s="1" t="s">
        <v>122</v>
      </c>
      <c r="V610" s="1" t="s">
        <v>852</v>
      </c>
      <c r="W610" s="1">
        <v>3949.1976460300002</v>
      </c>
      <c r="X610" s="1"/>
      <c r="Y610" s="83" t="str">
        <f>VLOOKUP(LossTable[[#This Row],[Department]],$A$15:$B$40,2,FALSE)</f>
        <v>London</v>
      </c>
    </row>
    <row r="611" spans="4:25" x14ac:dyDescent="0.25">
      <c r="D611" s="78">
        <v>445340</v>
      </c>
      <c r="E611" s="78">
        <v>280037801</v>
      </c>
      <c r="F611" s="83" t="s">
        <v>94</v>
      </c>
      <c r="G611" s="1" t="s">
        <v>416</v>
      </c>
      <c r="H611" s="1" t="s">
        <v>16</v>
      </c>
      <c r="I611" s="1" t="s">
        <v>487</v>
      </c>
      <c r="J611" s="1">
        <v>6750000</v>
      </c>
      <c r="K611" s="1">
        <v>225000000</v>
      </c>
      <c r="L611" s="1">
        <v>0</v>
      </c>
      <c r="M611" s="1">
        <v>0</v>
      </c>
      <c r="N611" s="1" t="s">
        <v>488</v>
      </c>
      <c r="O611" s="1">
        <v>8.777778E-2</v>
      </c>
      <c r="P611" s="1">
        <v>0.03</v>
      </c>
      <c r="Q611" s="83">
        <v>333.71429999999998</v>
      </c>
      <c r="R611" s="83">
        <v>333.71429999999998</v>
      </c>
      <c r="S611" s="1">
        <v>333.71429999999998</v>
      </c>
      <c r="T611" s="83">
        <v>0</v>
      </c>
      <c r="U611" s="1" t="s">
        <v>122</v>
      </c>
      <c r="V611" s="1" t="s">
        <v>852</v>
      </c>
      <c r="W611" s="1">
        <v>3949.1976460300002</v>
      </c>
      <c r="X611" s="1"/>
      <c r="Y611" s="83" t="str">
        <f>VLOOKUP(LossTable[[#This Row],[Department]],$A$15:$B$40,2,FALSE)</f>
        <v>TP</v>
      </c>
    </row>
    <row r="612" spans="4:25" x14ac:dyDescent="0.25">
      <c r="D612" s="78">
        <v>445969</v>
      </c>
      <c r="E612" s="78">
        <v>280037801</v>
      </c>
      <c r="F612" s="83" t="s">
        <v>94</v>
      </c>
      <c r="G612" s="1" t="s">
        <v>470</v>
      </c>
      <c r="H612" s="1" t="s">
        <v>16</v>
      </c>
      <c r="I612" s="1" t="s">
        <v>471</v>
      </c>
      <c r="J612" s="1">
        <v>1000000</v>
      </c>
      <c r="K612" s="1">
        <v>20000000</v>
      </c>
      <c r="L612" s="1">
        <v>0</v>
      </c>
      <c r="M612" s="1">
        <v>0</v>
      </c>
      <c r="N612" s="1" t="s">
        <v>325</v>
      </c>
      <c r="O612" s="1">
        <v>0.28000842999999997</v>
      </c>
      <c r="P612" s="1">
        <v>0.05</v>
      </c>
      <c r="Q612" s="83">
        <v>14122.126</v>
      </c>
      <c r="R612" s="83">
        <v>14122.126</v>
      </c>
      <c r="S612" s="1">
        <v>14122.126</v>
      </c>
      <c r="T612" s="83">
        <v>0</v>
      </c>
      <c r="U612" s="1" t="s">
        <v>122</v>
      </c>
      <c r="V612" s="1" t="s">
        <v>852</v>
      </c>
      <c r="W612" s="1">
        <v>3949.1976460300002</v>
      </c>
      <c r="X612" s="1"/>
      <c r="Y612" s="83" t="str">
        <f>VLOOKUP(LossTable[[#This Row],[Department]],$A$15:$B$40,2,FALSE)</f>
        <v>TP</v>
      </c>
    </row>
    <row r="613" spans="4:25" x14ac:dyDescent="0.25">
      <c r="D613" s="78">
        <v>445988</v>
      </c>
      <c r="E613" s="78">
        <v>280037801</v>
      </c>
      <c r="F613" s="83" t="s">
        <v>94</v>
      </c>
      <c r="G613" s="1" t="s">
        <v>491</v>
      </c>
      <c r="H613" s="1" t="s">
        <v>16</v>
      </c>
      <c r="I613" s="1" t="s">
        <v>505</v>
      </c>
      <c r="J613" s="1">
        <v>746029.98149999999</v>
      </c>
      <c r="K613" s="1">
        <v>14920599.630000001</v>
      </c>
      <c r="L613" s="1">
        <v>0</v>
      </c>
      <c r="M613" s="1">
        <v>0</v>
      </c>
      <c r="N613" s="1" t="s">
        <v>341</v>
      </c>
      <c r="O613" s="1">
        <v>4.6618E-2</v>
      </c>
      <c r="P613" s="1">
        <v>0.05</v>
      </c>
      <c r="Q613" s="83">
        <v>1095.627</v>
      </c>
      <c r="R613" s="83">
        <v>1095.627</v>
      </c>
      <c r="S613" s="1">
        <v>1095.627</v>
      </c>
      <c r="T613" s="83">
        <v>0</v>
      </c>
      <c r="U613" s="1" t="s">
        <v>122</v>
      </c>
      <c r="V613" s="1" t="s">
        <v>852</v>
      </c>
      <c r="W613" s="1">
        <v>3949.1976460300002</v>
      </c>
      <c r="X613" s="1"/>
      <c r="Y613" s="83" t="str">
        <f>VLOOKUP(LossTable[[#This Row],[Department]],$A$15:$B$40,2,FALSE)</f>
        <v>TP</v>
      </c>
    </row>
    <row r="614" spans="4:25" x14ac:dyDescent="0.25">
      <c r="D614" s="78">
        <v>448037</v>
      </c>
      <c r="E614" s="78">
        <v>280037801</v>
      </c>
      <c r="F614" s="83" t="s">
        <v>12</v>
      </c>
      <c r="G614" s="1" t="s">
        <v>508</v>
      </c>
      <c r="H614" s="1" t="s">
        <v>16</v>
      </c>
      <c r="I614" s="1" t="s">
        <v>537</v>
      </c>
      <c r="J614" s="1">
        <v>6250000</v>
      </c>
      <c r="K614" s="1">
        <v>125000000</v>
      </c>
      <c r="L614" s="1">
        <v>0</v>
      </c>
      <c r="M614" s="1">
        <v>0</v>
      </c>
      <c r="N614" s="1" t="s">
        <v>538</v>
      </c>
      <c r="O614" s="1">
        <v>0.29200186</v>
      </c>
      <c r="P614" s="1">
        <v>0.05</v>
      </c>
      <c r="Q614" s="83">
        <v>13099.502</v>
      </c>
      <c r="R614" s="83">
        <v>13099.502</v>
      </c>
      <c r="S614" s="1">
        <v>13099.502</v>
      </c>
      <c r="T614" s="83">
        <v>0</v>
      </c>
      <c r="U614" s="1" t="s">
        <v>122</v>
      </c>
      <c r="V614" s="1" t="s">
        <v>852</v>
      </c>
      <c r="W614" s="1">
        <v>3949.1976460300002</v>
      </c>
      <c r="X614" s="1"/>
      <c r="Y614" s="83" t="str">
        <f>VLOOKUP(LossTable[[#This Row],[Department]],$A$15:$B$40,2,FALSE)</f>
        <v>Bermuda</v>
      </c>
    </row>
    <row r="615" spans="4:25" x14ac:dyDescent="0.25">
      <c r="D615" s="78">
        <v>448493</v>
      </c>
      <c r="E615" s="78">
        <v>280037801</v>
      </c>
      <c r="F615" s="83" t="s">
        <v>94</v>
      </c>
      <c r="G615" s="1" t="s">
        <v>533</v>
      </c>
      <c r="H615" s="1" t="s">
        <v>16</v>
      </c>
      <c r="I615" s="1" t="s">
        <v>541</v>
      </c>
      <c r="J615" s="1">
        <v>24000000</v>
      </c>
      <c r="K615" s="1">
        <v>400000000</v>
      </c>
      <c r="L615" s="1">
        <v>0</v>
      </c>
      <c r="M615" s="1">
        <v>0</v>
      </c>
      <c r="N615" s="1" t="s">
        <v>542</v>
      </c>
      <c r="O615" s="1">
        <v>0.105</v>
      </c>
      <c r="P615" s="1">
        <v>0.06</v>
      </c>
      <c r="Q615" s="83">
        <v>25482.1008</v>
      </c>
      <c r="R615" s="83">
        <v>25482.1008</v>
      </c>
      <c r="S615" s="1">
        <v>25482.1008</v>
      </c>
      <c r="T615" s="83">
        <v>0</v>
      </c>
      <c r="U615" s="1" t="s">
        <v>122</v>
      </c>
      <c r="V615" s="1" t="s">
        <v>852</v>
      </c>
      <c r="W615" s="1">
        <v>3949.1976460300002</v>
      </c>
      <c r="X615" s="1"/>
      <c r="Y615" s="83" t="str">
        <f>VLOOKUP(LossTable[[#This Row],[Department]],$A$15:$B$40,2,FALSE)</f>
        <v>TP</v>
      </c>
    </row>
    <row r="616" spans="4:25" x14ac:dyDescent="0.25">
      <c r="D616" s="78">
        <v>449414</v>
      </c>
      <c r="E616" s="78">
        <v>280037801</v>
      </c>
      <c r="F616" s="83" t="s">
        <v>92</v>
      </c>
      <c r="G616" s="1" t="s">
        <v>575</v>
      </c>
      <c r="H616" s="1" t="s">
        <v>14</v>
      </c>
      <c r="I616" s="1" t="s">
        <v>576</v>
      </c>
      <c r="J616" s="1">
        <v>8810414.67189789</v>
      </c>
      <c r="K616" s="1">
        <v>352416586.875916</v>
      </c>
      <c r="L616" s="1">
        <v>0</v>
      </c>
      <c r="M616" s="1">
        <v>0</v>
      </c>
      <c r="N616" s="1" t="s">
        <v>153</v>
      </c>
      <c r="O616" s="1">
        <v>7.1478E-2</v>
      </c>
      <c r="P616" s="1">
        <v>2.5000000000000001E-2</v>
      </c>
      <c r="Q616" s="83">
        <v>4.4210660800000001</v>
      </c>
      <c r="R616" s="83">
        <v>4.4210660800000001</v>
      </c>
      <c r="S616" s="1">
        <v>4.4210660800000001</v>
      </c>
      <c r="T616" s="83">
        <v>0</v>
      </c>
      <c r="U616" s="1" t="s">
        <v>122</v>
      </c>
      <c r="V616" s="1" t="s">
        <v>852</v>
      </c>
      <c r="W616" s="1">
        <v>3949.1976460300002</v>
      </c>
      <c r="X616" s="1"/>
      <c r="Y616" s="83" t="str">
        <f>VLOOKUP(LossTable[[#This Row],[Department]],$A$15:$B$40,2,FALSE)</f>
        <v>FP</v>
      </c>
    </row>
    <row r="617" spans="4:25" x14ac:dyDescent="0.25">
      <c r="D617" s="78">
        <v>456611</v>
      </c>
      <c r="E617" s="78">
        <v>280037801</v>
      </c>
      <c r="F617" s="83" t="s">
        <v>94</v>
      </c>
      <c r="G617" s="1" t="s">
        <v>580</v>
      </c>
      <c r="H617" s="1" t="s">
        <v>16</v>
      </c>
      <c r="I617" s="1" t="s">
        <v>581</v>
      </c>
      <c r="J617" s="1">
        <v>900000</v>
      </c>
      <c r="K617" s="1">
        <v>45000000</v>
      </c>
      <c r="L617" s="1">
        <v>0</v>
      </c>
      <c r="M617" s="1">
        <v>0</v>
      </c>
      <c r="N617" s="1" t="s">
        <v>122</v>
      </c>
      <c r="O617" s="1">
        <v>0.16</v>
      </c>
      <c r="P617" s="1">
        <v>0.02</v>
      </c>
      <c r="Q617" s="83">
        <v>531.09939999999995</v>
      </c>
      <c r="R617" s="83">
        <v>531.09939999999995</v>
      </c>
      <c r="S617" s="1">
        <v>531.09939999999995</v>
      </c>
      <c r="T617" s="83">
        <v>0</v>
      </c>
      <c r="U617" s="1" t="s">
        <v>122</v>
      </c>
      <c r="V617" s="1" t="s">
        <v>852</v>
      </c>
      <c r="W617" s="1">
        <v>3949.1976460300002</v>
      </c>
      <c r="X617" s="1"/>
      <c r="Y617" s="83" t="str">
        <f>VLOOKUP(LossTable[[#This Row],[Department]],$A$15:$B$40,2,FALSE)</f>
        <v>TP</v>
      </c>
    </row>
    <row r="618" spans="4:25" x14ac:dyDescent="0.25">
      <c r="D618" s="78">
        <v>458368</v>
      </c>
      <c r="E618" s="78">
        <v>280037801</v>
      </c>
      <c r="F618" s="83" t="s">
        <v>21</v>
      </c>
      <c r="G618" s="1" t="s">
        <v>523</v>
      </c>
      <c r="H618" s="1" t="s">
        <v>14</v>
      </c>
      <c r="I618" s="1" t="s">
        <v>524</v>
      </c>
      <c r="J618" s="1">
        <v>5775000</v>
      </c>
      <c r="K618" s="1">
        <v>150000000</v>
      </c>
      <c r="L618" s="1">
        <v>0</v>
      </c>
      <c r="M618" s="1">
        <v>0</v>
      </c>
      <c r="N618" s="1" t="s">
        <v>161</v>
      </c>
      <c r="O618" s="1">
        <v>4.1666666699999997</v>
      </c>
      <c r="P618" s="1">
        <v>3.85E-2</v>
      </c>
      <c r="Q618" s="83">
        <v>31990.642530000001</v>
      </c>
      <c r="R618" s="83">
        <v>31990.642530000001</v>
      </c>
      <c r="S618" s="1">
        <v>31990.642530000001</v>
      </c>
      <c r="T618" s="83">
        <v>0</v>
      </c>
      <c r="U618" s="1" t="s">
        <v>122</v>
      </c>
      <c r="V618" s="1" t="s">
        <v>852</v>
      </c>
      <c r="W618" s="1">
        <v>3949.1976460300002</v>
      </c>
      <c r="X618" s="1"/>
      <c r="Y618" s="83" t="str">
        <f>VLOOKUP(LossTable[[#This Row],[Department]],$A$15:$B$40,2,FALSE)</f>
        <v>London</v>
      </c>
    </row>
    <row r="619" spans="4:25" x14ac:dyDescent="0.25">
      <c r="D619" s="78">
        <v>459195</v>
      </c>
      <c r="E619" s="78">
        <v>280037801</v>
      </c>
      <c r="F619" s="83" t="s">
        <v>21</v>
      </c>
      <c r="G619" s="1" t="s">
        <v>539</v>
      </c>
      <c r="H619" s="1" t="s">
        <v>14</v>
      </c>
      <c r="I619" s="1" t="s">
        <v>540</v>
      </c>
      <c r="J619" s="1">
        <v>2245050</v>
      </c>
      <c r="K619" s="1">
        <v>16630000</v>
      </c>
      <c r="L619" s="1">
        <v>0</v>
      </c>
      <c r="M619" s="1">
        <v>0</v>
      </c>
      <c r="N619" s="1" t="s">
        <v>137</v>
      </c>
      <c r="O619" s="1">
        <v>0.99551497</v>
      </c>
      <c r="P619" s="1">
        <v>0.13500000000000001</v>
      </c>
      <c r="Q619" s="83">
        <v>4804.6445999999996</v>
      </c>
      <c r="R619" s="83">
        <v>4804.6445999999996</v>
      </c>
      <c r="S619" s="1">
        <v>4804.6445999999996</v>
      </c>
      <c r="T619" s="83">
        <v>0</v>
      </c>
      <c r="U619" s="1" t="s">
        <v>122</v>
      </c>
      <c r="V619" s="1" t="s">
        <v>852</v>
      </c>
      <c r="W619" s="1">
        <v>3949.1976460300002</v>
      </c>
      <c r="X619" s="1"/>
      <c r="Y619" s="83" t="str">
        <f>VLOOKUP(LossTable[[#This Row],[Department]],$A$15:$B$40,2,FALSE)</f>
        <v>London</v>
      </c>
    </row>
    <row r="620" spans="4:25" x14ac:dyDescent="0.25">
      <c r="D620" s="78">
        <v>468497</v>
      </c>
      <c r="E620" s="78">
        <v>280037801</v>
      </c>
      <c r="F620" s="83" t="s">
        <v>12</v>
      </c>
      <c r="G620" s="1" t="s">
        <v>631</v>
      </c>
      <c r="H620" s="1" t="s">
        <v>14</v>
      </c>
      <c r="I620" s="1" t="s">
        <v>632</v>
      </c>
      <c r="J620" s="1">
        <v>6750000</v>
      </c>
      <c r="K620" s="1">
        <v>135000000</v>
      </c>
      <c r="L620" s="1">
        <v>0</v>
      </c>
      <c r="M620" s="1">
        <v>0</v>
      </c>
      <c r="N620" s="1" t="s">
        <v>155</v>
      </c>
      <c r="O620" s="1">
        <v>0.94444444000000005</v>
      </c>
      <c r="P620" s="1">
        <v>0.05</v>
      </c>
      <c r="Q620" s="83">
        <v>202669.397</v>
      </c>
      <c r="R620" s="83">
        <v>202669.397</v>
      </c>
      <c r="S620" s="1">
        <v>202669.397</v>
      </c>
      <c r="T620" s="83">
        <v>0</v>
      </c>
      <c r="U620" s="1" t="s">
        <v>122</v>
      </c>
      <c r="V620" s="1" t="s">
        <v>852</v>
      </c>
      <c r="W620" s="1">
        <v>3949.1976460300002</v>
      </c>
      <c r="X620" s="1"/>
      <c r="Y620" s="83" t="str">
        <f>VLOOKUP(LossTable[[#This Row],[Department]],$A$15:$B$40,2,FALSE)</f>
        <v>Bermuda</v>
      </c>
    </row>
    <row r="621" spans="4:25" x14ac:dyDescent="0.25">
      <c r="D621" s="78">
        <v>468872</v>
      </c>
      <c r="E621" s="78">
        <v>280037801</v>
      </c>
      <c r="F621" s="83" t="s">
        <v>94</v>
      </c>
      <c r="G621" s="1" t="s">
        <v>591</v>
      </c>
      <c r="H621" s="1" t="s">
        <v>16</v>
      </c>
      <c r="I621" s="1" t="s">
        <v>650</v>
      </c>
      <c r="J621" s="1">
        <v>2500000</v>
      </c>
      <c r="K621" s="1">
        <v>50000000</v>
      </c>
      <c r="L621" s="1">
        <v>0</v>
      </c>
      <c r="M621" s="1">
        <v>0</v>
      </c>
      <c r="N621" s="1" t="s">
        <v>651</v>
      </c>
      <c r="O621" s="1">
        <v>0.51004959999999999</v>
      </c>
      <c r="P621" s="1">
        <v>0.05</v>
      </c>
      <c r="Q621" s="83">
        <v>17.206</v>
      </c>
      <c r="R621" s="83">
        <v>17.206</v>
      </c>
      <c r="S621" s="1">
        <v>17.206</v>
      </c>
      <c r="T621" s="83">
        <v>0</v>
      </c>
      <c r="U621" s="1" t="s">
        <v>122</v>
      </c>
      <c r="V621" s="1" t="s">
        <v>852</v>
      </c>
      <c r="W621" s="1">
        <v>3949.1976460300002</v>
      </c>
      <c r="X621" s="1"/>
      <c r="Y621" s="83" t="str">
        <f>VLOOKUP(LossTable[[#This Row],[Department]],$A$15:$B$40,2,FALSE)</f>
        <v>TP</v>
      </c>
    </row>
    <row r="622" spans="4:25" x14ac:dyDescent="0.25">
      <c r="D622" s="78">
        <v>471244</v>
      </c>
      <c r="E622" s="78">
        <v>280037801</v>
      </c>
      <c r="F622" s="83" t="s">
        <v>45</v>
      </c>
      <c r="G622" s="1" t="s">
        <v>767</v>
      </c>
      <c r="H622" s="1" t="s">
        <v>16</v>
      </c>
      <c r="I622" s="1" t="s">
        <v>768</v>
      </c>
      <c r="J622" s="1">
        <v>4000000</v>
      </c>
      <c r="K622" s="1">
        <v>20000000</v>
      </c>
      <c r="L622" s="1">
        <v>0</v>
      </c>
      <c r="M622" s="1">
        <v>0</v>
      </c>
      <c r="N622" s="1" t="s">
        <v>248</v>
      </c>
      <c r="O622" s="1">
        <v>0.24723000000000001</v>
      </c>
      <c r="P622" s="1">
        <v>0.2</v>
      </c>
      <c r="Q622" s="83">
        <v>5.5519999999999996</v>
      </c>
      <c r="R622" s="83">
        <v>5.5519999999999996</v>
      </c>
      <c r="S622" s="1">
        <v>5.5519999999999996</v>
      </c>
      <c r="T622" s="83">
        <v>0.49446000000000001</v>
      </c>
      <c r="U622" s="1" t="s">
        <v>122</v>
      </c>
      <c r="V622" s="1" t="s">
        <v>852</v>
      </c>
      <c r="W622" s="1">
        <v>3949.1976460300002</v>
      </c>
      <c r="X622" s="1"/>
      <c r="Y622" s="83" t="str">
        <f>VLOOKUP(LossTable[[#This Row],[Department]],$A$15:$B$40,2,FALSE)</f>
        <v>FP</v>
      </c>
    </row>
    <row r="623" spans="4:25" x14ac:dyDescent="0.25">
      <c r="D623" s="78">
        <v>471410</v>
      </c>
      <c r="E623" s="78">
        <v>280037801</v>
      </c>
      <c r="F623" s="83" t="s">
        <v>45</v>
      </c>
      <c r="G623" s="1" t="s">
        <v>675</v>
      </c>
      <c r="H623" s="1" t="s">
        <v>14</v>
      </c>
      <c r="I623" s="1" t="s">
        <v>676</v>
      </c>
      <c r="J623" s="1">
        <v>71136509.881500006</v>
      </c>
      <c r="K623" s="1">
        <v>2371216996.0500002</v>
      </c>
      <c r="L623" s="1">
        <v>0</v>
      </c>
      <c r="M623" s="1">
        <v>0</v>
      </c>
      <c r="N623" s="1" t="s">
        <v>14</v>
      </c>
      <c r="O623" s="1">
        <v>0.12172348</v>
      </c>
      <c r="P623" s="1">
        <v>0.03</v>
      </c>
      <c r="Q623" s="83">
        <v>95320.685100000002</v>
      </c>
      <c r="R623" s="83">
        <v>95320.685100000002</v>
      </c>
      <c r="S623" s="1">
        <v>95320.685100000002</v>
      </c>
      <c r="T623" s="83">
        <v>0</v>
      </c>
      <c r="U623" s="1" t="s">
        <v>122</v>
      </c>
      <c r="V623" s="1" t="s">
        <v>852</v>
      </c>
      <c r="W623" s="1">
        <v>3949.1976460300002</v>
      </c>
      <c r="X623" s="1"/>
      <c r="Y623" s="83" t="str">
        <f>VLOOKUP(LossTable[[#This Row],[Department]],$A$15:$B$40,2,FALSE)</f>
        <v>FP</v>
      </c>
    </row>
    <row r="624" spans="4:25" x14ac:dyDescent="0.25">
      <c r="D624" s="78">
        <v>473162</v>
      </c>
      <c r="E624" s="78">
        <v>280037801</v>
      </c>
      <c r="F624" s="83" t="s">
        <v>94</v>
      </c>
      <c r="G624" s="1" t="s">
        <v>671</v>
      </c>
      <c r="H624" s="1" t="s">
        <v>16</v>
      </c>
      <c r="I624" s="1" t="s">
        <v>672</v>
      </c>
      <c r="J624" s="1">
        <v>1250000</v>
      </c>
      <c r="K624" s="1">
        <v>25000000</v>
      </c>
      <c r="L624" s="1">
        <v>0</v>
      </c>
      <c r="M624" s="1">
        <v>0</v>
      </c>
      <c r="N624" s="1" t="s">
        <v>407</v>
      </c>
      <c r="O624" s="1">
        <v>0.35</v>
      </c>
      <c r="P624" s="1">
        <v>0.05</v>
      </c>
      <c r="Q624" s="83">
        <v>44.296999999999997</v>
      </c>
      <c r="R624" s="83">
        <v>44.296999999999997</v>
      </c>
      <c r="S624" s="1">
        <v>44.296999999999997</v>
      </c>
      <c r="T624" s="83">
        <v>0</v>
      </c>
      <c r="U624" s="1" t="s">
        <v>122</v>
      </c>
      <c r="V624" s="1" t="s">
        <v>852</v>
      </c>
      <c r="W624" s="1">
        <v>3949.1976460300002</v>
      </c>
      <c r="X624" s="1"/>
      <c r="Y624" s="83" t="str">
        <f>VLOOKUP(LossTable[[#This Row],[Department]],$A$15:$B$40,2,FALSE)</f>
        <v>TP</v>
      </c>
    </row>
    <row r="625" spans="4:25" x14ac:dyDescent="0.25">
      <c r="D625" s="78">
        <v>475344</v>
      </c>
      <c r="E625" s="78">
        <v>280037801</v>
      </c>
      <c r="F625" s="83" t="s">
        <v>21</v>
      </c>
      <c r="G625" s="1" t="s">
        <v>665</v>
      </c>
      <c r="H625" s="1" t="s">
        <v>14</v>
      </c>
      <c r="I625" s="1" t="s">
        <v>666</v>
      </c>
      <c r="J625" s="1">
        <v>15000000</v>
      </c>
      <c r="K625" s="1">
        <v>200000000</v>
      </c>
      <c r="L625" s="1">
        <v>0</v>
      </c>
      <c r="M625" s="1">
        <v>0</v>
      </c>
      <c r="N625" s="1" t="s">
        <v>142</v>
      </c>
      <c r="O625" s="1">
        <v>0.22</v>
      </c>
      <c r="P625" s="1">
        <v>7.4999999999999997E-2</v>
      </c>
      <c r="Q625" s="83">
        <v>1933.81575</v>
      </c>
      <c r="R625" s="83">
        <v>1933.81575</v>
      </c>
      <c r="S625" s="1">
        <v>1933.81575</v>
      </c>
      <c r="T625" s="83">
        <v>0</v>
      </c>
      <c r="U625" s="1" t="s">
        <v>122</v>
      </c>
      <c r="V625" s="1" t="s">
        <v>852</v>
      </c>
      <c r="W625" s="1">
        <v>3949.1976460300002</v>
      </c>
      <c r="X625" s="1"/>
      <c r="Y625" s="83" t="str">
        <f>VLOOKUP(LossTable[[#This Row],[Department]],$A$15:$B$40,2,FALSE)</f>
        <v>London</v>
      </c>
    </row>
    <row r="626" spans="4:25" x14ac:dyDescent="0.25">
      <c r="D626" s="78">
        <v>477692</v>
      </c>
      <c r="E626" s="78">
        <v>280037801</v>
      </c>
      <c r="F626" s="83" t="s">
        <v>45</v>
      </c>
      <c r="G626" s="1" t="s">
        <v>781</v>
      </c>
      <c r="H626" s="1" t="s">
        <v>16</v>
      </c>
      <c r="I626" s="1" t="s">
        <v>782</v>
      </c>
      <c r="J626" s="1">
        <v>2000000</v>
      </c>
      <c r="K626" s="1">
        <v>20000000</v>
      </c>
      <c r="L626" s="1">
        <v>0</v>
      </c>
      <c r="M626" s="1">
        <v>0</v>
      </c>
      <c r="N626" s="1" t="s">
        <v>248</v>
      </c>
      <c r="O626" s="1">
        <v>0.53041799999999995</v>
      </c>
      <c r="P626" s="1">
        <v>0.1</v>
      </c>
      <c r="Q626" s="83">
        <v>1121.9100000000001</v>
      </c>
      <c r="R626" s="83">
        <v>1121.9100000000001</v>
      </c>
      <c r="S626" s="1">
        <v>1121.9100000000001</v>
      </c>
      <c r="T626" s="83">
        <v>0</v>
      </c>
      <c r="U626" s="1" t="s">
        <v>122</v>
      </c>
      <c r="V626" s="1" t="s">
        <v>852</v>
      </c>
      <c r="W626" s="1">
        <v>3949.1976460300002</v>
      </c>
      <c r="X626" s="1"/>
      <c r="Y626" s="83" t="str">
        <f>VLOOKUP(LossTable[[#This Row],[Department]],$A$15:$B$40,2,FALSE)</f>
        <v>FP</v>
      </c>
    </row>
    <row r="627" spans="4:25" x14ac:dyDescent="0.25">
      <c r="D627" s="78">
        <v>478523</v>
      </c>
      <c r="E627" s="78">
        <v>280037801</v>
      </c>
      <c r="F627" s="83" t="s">
        <v>21</v>
      </c>
      <c r="G627" s="1" t="s">
        <v>708</v>
      </c>
      <c r="H627" s="1" t="s">
        <v>14</v>
      </c>
      <c r="I627" s="1" t="s">
        <v>709</v>
      </c>
      <c r="J627" s="1">
        <v>9217500</v>
      </c>
      <c r="K627" s="1">
        <v>75000000</v>
      </c>
      <c r="L627" s="1">
        <v>0</v>
      </c>
      <c r="M627" s="1">
        <v>0</v>
      </c>
      <c r="N627" s="1" t="s">
        <v>710</v>
      </c>
      <c r="O627" s="1">
        <v>0.26666666999999999</v>
      </c>
      <c r="P627" s="1">
        <v>0.1229</v>
      </c>
      <c r="Q627" s="83">
        <v>683.46779300000003</v>
      </c>
      <c r="R627" s="83">
        <v>683.46779300000003</v>
      </c>
      <c r="S627" s="1">
        <v>683.46779300000003</v>
      </c>
      <c r="T627" s="83">
        <v>0</v>
      </c>
      <c r="U627" s="1" t="s">
        <v>122</v>
      </c>
      <c r="V627" s="1" t="s">
        <v>852</v>
      </c>
      <c r="W627" s="1">
        <v>3949.1976460300002</v>
      </c>
      <c r="X627" s="1"/>
      <c r="Y627" s="83" t="str">
        <f>VLOOKUP(LossTable[[#This Row],[Department]],$A$15:$B$40,2,FALSE)</f>
        <v>London</v>
      </c>
    </row>
    <row r="628" spans="4:25" x14ac:dyDescent="0.25">
      <c r="D628" s="78">
        <v>479468</v>
      </c>
      <c r="E628" s="78">
        <v>280037801</v>
      </c>
      <c r="F628" s="83" t="s">
        <v>12</v>
      </c>
      <c r="G628" s="1" t="s">
        <v>717</v>
      </c>
      <c r="H628" s="1" t="s">
        <v>14</v>
      </c>
      <c r="I628" s="1" t="s">
        <v>718</v>
      </c>
      <c r="J628" s="1">
        <v>8500000</v>
      </c>
      <c r="K628" s="1">
        <v>85000000</v>
      </c>
      <c r="L628" s="1">
        <v>0</v>
      </c>
      <c r="M628" s="1">
        <v>0</v>
      </c>
      <c r="N628" s="1" t="s">
        <v>719</v>
      </c>
      <c r="O628" s="1">
        <v>1.98823529</v>
      </c>
      <c r="P628" s="1">
        <v>0.1</v>
      </c>
      <c r="Q628" s="83">
        <v>9217.31</v>
      </c>
      <c r="R628" s="83">
        <v>9217.31</v>
      </c>
      <c r="S628" s="1">
        <v>9217.31</v>
      </c>
      <c r="T628" s="83">
        <v>0</v>
      </c>
      <c r="U628" s="1" t="s">
        <v>122</v>
      </c>
      <c r="V628" s="1" t="s">
        <v>852</v>
      </c>
      <c r="W628" s="1">
        <v>3949.1976460300002</v>
      </c>
      <c r="X628" s="1"/>
      <c r="Y628" s="83" t="str">
        <f>VLOOKUP(LossTable[[#This Row],[Department]],$A$15:$B$40,2,FALSE)</f>
        <v>Bermuda</v>
      </c>
    </row>
    <row r="629" spans="4:25" x14ac:dyDescent="0.25">
      <c r="D629" s="78">
        <v>480541</v>
      </c>
      <c r="E629" s="78">
        <v>280037801</v>
      </c>
      <c r="F629" s="83" t="s">
        <v>95</v>
      </c>
      <c r="G629" s="1" t="s">
        <v>834</v>
      </c>
      <c r="H629" s="1" t="s">
        <v>14</v>
      </c>
      <c r="I629" s="1" t="s">
        <v>835</v>
      </c>
      <c r="J629" s="1">
        <v>17500000</v>
      </c>
      <c r="K629" s="1">
        <v>50000000</v>
      </c>
      <c r="L629" s="1">
        <v>0</v>
      </c>
      <c r="M629" s="1">
        <v>0</v>
      </c>
      <c r="N629" s="1" t="s">
        <v>122</v>
      </c>
      <c r="O629" s="1">
        <v>1.60806132</v>
      </c>
      <c r="P629" s="1">
        <v>0.35</v>
      </c>
      <c r="Q629" s="83">
        <v>2167.6550000000002</v>
      </c>
      <c r="R629" s="83">
        <v>2167.6550000000002</v>
      </c>
      <c r="S629" s="1">
        <v>2167.6550000000002</v>
      </c>
      <c r="T629" s="83">
        <v>0</v>
      </c>
      <c r="U629" s="1" t="s">
        <v>122</v>
      </c>
      <c r="V629" s="1" t="s">
        <v>852</v>
      </c>
      <c r="W629" s="1">
        <v>3949.1976460300002</v>
      </c>
      <c r="X629" s="1"/>
      <c r="Y629" s="83" t="str">
        <f>VLOOKUP(LossTable[[#This Row],[Department]],$A$15:$B$40,2,FALSE)</f>
        <v>Dublin</v>
      </c>
    </row>
    <row r="630" spans="4:25" x14ac:dyDescent="0.25">
      <c r="D630" s="78">
        <v>484262</v>
      </c>
      <c r="E630" s="78">
        <v>280037801</v>
      </c>
      <c r="F630" s="83" t="s">
        <v>94</v>
      </c>
      <c r="G630" s="1" t="s">
        <v>686</v>
      </c>
      <c r="H630" s="1" t="s">
        <v>16</v>
      </c>
      <c r="I630" s="1" t="s">
        <v>743</v>
      </c>
      <c r="J630" s="1">
        <v>18000000</v>
      </c>
      <c r="K630" s="1">
        <v>450000000</v>
      </c>
      <c r="L630" s="1">
        <v>0</v>
      </c>
      <c r="M630" s="1">
        <v>0</v>
      </c>
      <c r="N630" s="1" t="s">
        <v>122</v>
      </c>
      <c r="O630" s="1">
        <v>4.5555560000000002E-2</v>
      </c>
      <c r="P630" s="1">
        <v>0.04</v>
      </c>
      <c r="Q630" s="83">
        <v>2126.7800000000002</v>
      </c>
      <c r="R630" s="83">
        <v>2126.7800000000002</v>
      </c>
      <c r="S630" s="1">
        <v>2126.7800000000002</v>
      </c>
      <c r="T630" s="83">
        <v>0</v>
      </c>
      <c r="U630" s="1" t="s">
        <v>122</v>
      </c>
      <c r="V630" s="1" t="s">
        <v>852</v>
      </c>
      <c r="W630" s="1">
        <v>3949.1976460300002</v>
      </c>
      <c r="X630" s="1"/>
      <c r="Y630" s="83" t="str">
        <f>VLOOKUP(LossTable[[#This Row],[Department]],$A$15:$B$40,2,FALSE)</f>
        <v>TP</v>
      </c>
    </row>
    <row r="631" spans="4:25" x14ac:dyDescent="0.25">
      <c r="D631" s="78">
        <v>484305</v>
      </c>
      <c r="E631" s="78">
        <v>280037801</v>
      </c>
      <c r="F631" s="83" t="s">
        <v>95</v>
      </c>
      <c r="G631" s="1" t="s">
        <v>695</v>
      </c>
      <c r="H631" s="1" t="s">
        <v>14</v>
      </c>
      <c r="I631" s="1" t="s">
        <v>746</v>
      </c>
      <c r="J631" s="1">
        <v>9985136.6281509399</v>
      </c>
      <c r="K631" s="1">
        <v>58736097.812652603</v>
      </c>
      <c r="L631" s="1">
        <v>0</v>
      </c>
      <c r="M631" s="1">
        <v>0</v>
      </c>
      <c r="N631" s="1" t="s">
        <v>166</v>
      </c>
      <c r="O631" s="1">
        <v>0.76217440999999997</v>
      </c>
      <c r="P631" s="1">
        <v>0.17</v>
      </c>
      <c r="Q631" s="83">
        <v>9927.0071567600007</v>
      </c>
      <c r="R631" s="83">
        <v>9927.0071567600007</v>
      </c>
      <c r="S631" s="1">
        <v>9927.0071567600007</v>
      </c>
      <c r="T631" s="83">
        <v>0</v>
      </c>
      <c r="U631" s="1" t="s">
        <v>122</v>
      </c>
      <c r="V631" s="1" t="s">
        <v>852</v>
      </c>
      <c r="W631" s="1">
        <v>3949.1976460300002</v>
      </c>
      <c r="X631" s="1"/>
      <c r="Y631" s="83" t="str">
        <f>VLOOKUP(LossTable[[#This Row],[Department]],$A$15:$B$40,2,FALSE)</f>
        <v>Dublin</v>
      </c>
    </row>
    <row r="632" spans="4:25" x14ac:dyDescent="0.25">
      <c r="D632" s="78">
        <v>484547</v>
      </c>
      <c r="E632" s="78">
        <v>280037801</v>
      </c>
      <c r="F632" s="83" t="s">
        <v>94</v>
      </c>
      <c r="G632" s="1" t="s">
        <v>702</v>
      </c>
      <c r="H632" s="1" t="s">
        <v>14</v>
      </c>
      <c r="I632" s="1" t="s">
        <v>703</v>
      </c>
      <c r="J632" s="1">
        <v>1125000</v>
      </c>
      <c r="K632" s="1">
        <v>10000000</v>
      </c>
      <c r="L632" s="1">
        <v>0</v>
      </c>
      <c r="M632" s="1">
        <v>0</v>
      </c>
      <c r="N632" s="1" t="s">
        <v>122</v>
      </c>
      <c r="O632" s="1">
        <v>6.0607328100000002</v>
      </c>
      <c r="P632" s="1">
        <v>0.1125</v>
      </c>
      <c r="Q632" s="83">
        <v>29340.367875</v>
      </c>
      <c r="R632" s="83">
        <v>29340.367875</v>
      </c>
      <c r="S632" s="1">
        <v>29340.367875</v>
      </c>
      <c r="T632" s="83">
        <v>0</v>
      </c>
      <c r="U632" s="1" t="s">
        <v>122</v>
      </c>
      <c r="V632" s="1" t="s">
        <v>852</v>
      </c>
      <c r="W632" s="1">
        <v>3949.1976460300002</v>
      </c>
      <c r="X632" s="1"/>
      <c r="Y632" s="83" t="str">
        <f>VLOOKUP(LossTable[[#This Row],[Department]],$A$15:$B$40,2,FALSE)</f>
        <v>TP</v>
      </c>
    </row>
    <row r="633" spans="4:25" x14ac:dyDescent="0.25">
      <c r="D633" s="78">
        <v>485340</v>
      </c>
      <c r="E633" s="78">
        <v>280037801</v>
      </c>
      <c r="F633" s="83" t="s">
        <v>95</v>
      </c>
      <c r="G633" s="1" t="s">
        <v>711</v>
      </c>
      <c r="H633" s="1" t="s">
        <v>14</v>
      </c>
      <c r="I633" s="1" t="s">
        <v>712</v>
      </c>
      <c r="J633" s="1">
        <v>5000100</v>
      </c>
      <c r="K633" s="1">
        <v>30000000</v>
      </c>
      <c r="L633" s="1">
        <v>0</v>
      </c>
      <c r="M633" s="1">
        <v>0</v>
      </c>
      <c r="N633" s="1" t="s">
        <v>122</v>
      </c>
      <c r="O633" s="1">
        <v>1.4316984699999999</v>
      </c>
      <c r="P633" s="1">
        <v>0.16667000000000001</v>
      </c>
      <c r="Q633" s="83">
        <v>431.48029609999998</v>
      </c>
      <c r="R633" s="83">
        <v>431.48029609999998</v>
      </c>
      <c r="S633" s="1">
        <v>431.48029609999998</v>
      </c>
      <c r="T633" s="83">
        <v>0</v>
      </c>
      <c r="U633" s="1" t="s">
        <v>122</v>
      </c>
      <c r="V633" s="1" t="s">
        <v>852</v>
      </c>
      <c r="W633" s="1">
        <v>3949.1976460300002</v>
      </c>
      <c r="X633" s="1"/>
      <c r="Y633" s="83" t="str">
        <f>VLOOKUP(LossTable[[#This Row],[Department]],$A$15:$B$40,2,FALSE)</f>
        <v>Dublin</v>
      </c>
    </row>
    <row r="634" spans="4:25" x14ac:dyDescent="0.25">
      <c r="D634" s="78">
        <v>486171</v>
      </c>
      <c r="E634" s="78">
        <v>280037801</v>
      </c>
      <c r="F634" s="83" t="s">
        <v>12</v>
      </c>
      <c r="G634" s="1" t="s">
        <v>853</v>
      </c>
      <c r="H634" s="1" t="s">
        <v>14</v>
      </c>
      <c r="I634" s="1" t="s">
        <v>856</v>
      </c>
      <c r="J634" s="1">
        <v>14528700.2574757</v>
      </c>
      <c r="K634" s="1">
        <v>968580017.16504502</v>
      </c>
      <c r="L634" s="1">
        <v>0</v>
      </c>
      <c r="M634" s="1">
        <v>0</v>
      </c>
      <c r="N634" s="1" t="s">
        <v>855</v>
      </c>
      <c r="O634" s="1">
        <v>0.88420418000000001</v>
      </c>
      <c r="P634" s="1">
        <v>1.4999999999999999E-2</v>
      </c>
      <c r="Q634" s="83">
        <v>14005.728254789999</v>
      </c>
      <c r="R634" s="83">
        <v>14005.728254789999</v>
      </c>
      <c r="S634" s="1">
        <v>14005.728254789999</v>
      </c>
      <c r="T634" s="83">
        <v>0</v>
      </c>
      <c r="U634" s="1" t="s">
        <v>122</v>
      </c>
      <c r="V634" s="1" t="s">
        <v>852</v>
      </c>
      <c r="W634" s="1">
        <v>3949.1976460300002</v>
      </c>
      <c r="X634" s="1"/>
      <c r="Y634" s="83" t="str">
        <f>VLOOKUP(LossTable[[#This Row],[Department]],$A$15:$B$40,2,FALSE)</f>
        <v>Bermuda</v>
      </c>
    </row>
    <row r="635" spans="4:25" x14ac:dyDescent="0.25">
      <c r="D635" s="78">
        <v>121</v>
      </c>
      <c r="E635" s="78">
        <v>280014790</v>
      </c>
      <c r="F635" s="83" t="s">
        <v>92</v>
      </c>
      <c r="G635" s="1" t="s">
        <v>220</v>
      </c>
      <c r="H635" s="1" t="s">
        <v>16</v>
      </c>
      <c r="I635" s="1" t="s">
        <v>220</v>
      </c>
      <c r="J635" s="1">
        <v>46647943.011836402</v>
      </c>
      <c r="K635" s="1">
        <v>0</v>
      </c>
      <c r="L635" s="1">
        <v>0</v>
      </c>
      <c r="M635" s="1">
        <v>0</v>
      </c>
      <c r="N635" s="1" t="s">
        <v>44</v>
      </c>
      <c r="O635" s="1">
        <v>0</v>
      </c>
      <c r="P635" s="1">
        <v>1</v>
      </c>
      <c r="Q635" s="83">
        <v>130.59257199999999</v>
      </c>
      <c r="R635" s="83">
        <v>130.59257199999999</v>
      </c>
      <c r="S635" s="1">
        <v>130.59257199999999</v>
      </c>
      <c r="T635" s="83">
        <v>0</v>
      </c>
      <c r="U635" s="1" t="s">
        <v>122</v>
      </c>
      <c r="V635" s="1" t="s">
        <v>836</v>
      </c>
      <c r="W635" s="1">
        <v>4781.60363426</v>
      </c>
      <c r="X635" s="1"/>
      <c r="Y635" s="83" t="str">
        <f>VLOOKUP(LossTable[[#This Row],[Department]],$A$15:$B$40,2,FALSE)</f>
        <v>FP</v>
      </c>
    </row>
    <row r="636" spans="4:25" x14ac:dyDescent="0.25">
      <c r="D636" s="78">
        <v>140</v>
      </c>
      <c r="E636" s="78">
        <v>280014790</v>
      </c>
      <c r="F636" s="83" t="s">
        <v>45</v>
      </c>
      <c r="G636" s="1" t="s">
        <v>46</v>
      </c>
      <c r="H636" s="1" t="s">
        <v>16</v>
      </c>
      <c r="I636" s="1" t="s">
        <v>46</v>
      </c>
      <c r="J636" s="1">
        <v>58298719</v>
      </c>
      <c r="K636" s="1">
        <v>0</v>
      </c>
      <c r="L636" s="1">
        <v>0</v>
      </c>
      <c r="M636" s="1">
        <v>0</v>
      </c>
      <c r="N636" s="1" t="s">
        <v>44</v>
      </c>
      <c r="O636" s="1">
        <v>0</v>
      </c>
      <c r="P636" s="1">
        <v>1</v>
      </c>
      <c r="Q636" s="83">
        <v>32965.540096999997</v>
      </c>
      <c r="R636" s="83">
        <v>32965.540096999997</v>
      </c>
      <c r="S636" s="1">
        <v>32965.540096999997</v>
      </c>
      <c r="T636" s="83">
        <v>0</v>
      </c>
      <c r="U636" s="1" t="s">
        <v>122</v>
      </c>
      <c r="V636" s="1" t="s">
        <v>836</v>
      </c>
      <c r="W636" s="1">
        <v>4781.60363426</v>
      </c>
      <c r="X636" s="1"/>
      <c r="Y636" s="83" t="str">
        <f>VLOOKUP(LossTable[[#This Row],[Department]],$A$15:$B$40,2,FALSE)</f>
        <v>FP</v>
      </c>
    </row>
    <row r="637" spans="4:25" x14ac:dyDescent="0.25">
      <c r="D637" s="78">
        <v>288756</v>
      </c>
      <c r="E637" s="78">
        <v>280014790</v>
      </c>
      <c r="F637" s="83" t="s">
        <v>87</v>
      </c>
      <c r="G637" s="1" t="s">
        <v>223</v>
      </c>
      <c r="H637" s="1" t="s">
        <v>14</v>
      </c>
      <c r="I637" s="1" t="s">
        <v>222</v>
      </c>
      <c r="J637" s="1">
        <v>1391867.3</v>
      </c>
      <c r="K637" s="1">
        <v>1391867.3</v>
      </c>
      <c r="L637" s="1">
        <v>0</v>
      </c>
      <c r="M637" s="1">
        <v>0</v>
      </c>
      <c r="N637" s="1" t="s">
        <v>14</v>
      </c>
      <c r="O637" s="1">
        <v>3.5922959999999997E-2</v>
      </c>
      <c r="P637" s="1">
        <v>1</v>
      </c>
      <c r="Q637" s="83">
        <v>11.48</v>
      </c>
      <c r="R637" s="83">
        <v>11.48</v>
      </c>
      <c r="S637" s="1">
        <v>11.48</v>
      </c>
      <c r="T637" s="83">
        <v>0</v>
      </c>
      <c r="U637" s="1" t="s">
        <v>122</v>
      </c>
      <c r="V637" s="1" t="s">
        <v>836</v>
      </c>
      <c r="W637" s="1">
        <v>4781.60363426</v>
      </c>
      <c r="X637" s="1"/>
      <c r="Y637" s="83" t="str">
        <f>VLOOKUP(LossTable[[#This Row],[Department]],$A$15:$B$40,2,FALSE)</f>
        <v>Insurance</v>
      </c>
    </row>
    <row r="638" spans="4:25" x14ac:dyDescent="0.25">
      <c r="D638" s="78">
        <v>326823</v>
      </c>
      <c r="E638" s="78">
        <v>280014790</v>
      </c>
      <c r="F638" s="83" t="s">
        <v>130</v>
      </c>
      <c r="G638" s="1" t="s">
        <v>252</v>
      </c>
      <c r="H638" s="1" t="s">
        <v>16</v>
      </c>
      <c r="I638" s="1" t="s">
        <v>253</v>
      </c>
      <c r="J638" s="1">
        <v>-2092219.9</v>
      </c>
      <c r="K638" s="1">
        <v>-2092219.9</v>
      </c>
      <c r="L638" s="1">
        <v>0</v>
      </c>
      <c r="M638" s="1">
        <v>0</v>
      </c>
      <c r="N638" s="1" t="s">
        <v>254</v>
      </c>
      <c r="O638" s="1">
        <v>0</v>
      </c>
      <c r="P638" s="1">
        <v>1</v>
      </c>
      <c r="Q638" s="83">
        <v>0</v>
      </c>
      <c r="R638" s="83">
        <v>0</v>
      </c>
      <c r="S638" s="1">
        <v>-886.18</v>
      </c>
      <c r="T638" s="83">
        <v>0</v>
      </c>
      <c r="U638" s="1" t="s">
        <v>122</v>
      </c>
      <c r="V638" s="1" t="s">
        <v>836</v>
      </c>
      <c r="W638" s="1">
        <v>4781.60363426</v>
      </c>
      <c r="X638" s="1"/>
      <c r="Y638" s="83" t="str">
        <f>VLOOKUP(LossTable[[#This Row],[Department]],$A$15:$B$40,2,FALSE)</f>
        <v>Insurance</v>
      </c>
    </row>
    <row r="639" spans="4:25" x14ac:dyDescent="0.25">
      <c r="D639" s="78">
        <v>329065</v>
      </c>
      <c r="E639" s="78">
        <v>280014790</v>
      </c>
      <c r="F639" s="83" t="s">
        <v>149</v>
      </c>
      <c r="G639" s="1" t="s">
        <v>225</v>
      </c>
      <c r="H639" s="1" t="s">
        <v>14</v>
      </c>
      <c r="I639" s="1" t="s">
        <v>64</v>
      </c>
      <c r="J639" s="1">
        <v>202012148.33000001</v>
      </c>
      <c r="K639" s="1">
        <v>202012148.33000001</v>
      </c>
      <c r="L639" s="1">
        <v>0</v>
      </c>
      <c r="M639" s="1">
        <v>0</v>
      </c>
      <c r="N639" s="1" t="s">
        <v>14</v>
      </c>
      <c r="O639" s="1">
        <v>3.9601579999999997E-2</v>
      </c>
      <c r="P639" s="1">
        <v>1</v>
      </c>
      <c r="Q639" s="83">
        <v>3058.05</v>
      </c>
      <c r="R639" s="83">
        <v>3058.05</v>
      </c>
      <c r="S639" s="1">
        <v>3058.05</v>
      </c>
      <c r="T639" s="83">
        <v>0</v>
      </c>
      <c r="U639" s="1" t="s">
        <v>122</v>
      </c>
      <c r="V639" s="1" t="s">
        <v>836</v>
      </c>
      <c r="W639" s="1">
        <v>4781.60363426</v>
      </c>
      <c r="X639" s="1"/>
      <c r="Y639" s="83" t="str">
        <f>VLOOKUP(LossTable[[#This Row],[Department]],$A$15:$B$40,2,FALSE)</f>
        <v>Insurance</v>
      </c>
    </row>
    <row r="640" spans="4:25" x14ac:dyDescent="0.25">
      <c r="D640" s="78">
        <v>427852</v>
      </c>
      <c r="E640" s="78">
        <v>280014790</v>
      </c>
      <c r="F640" s="83" t="s">
        <v>12</v>
      </c>
      <c r="G640" s="1" t="s">
        <v>249</v>
      </c>
      <c r="H640" s="1" t="s">
        <v>14</v>
      </c>
      <c r="I640" s="1" t="s">
        <v>250</v>
      </c>
      <c r="J640" s="1">
        <v>5683187.5</v>
      </c>
      <c r="K640" s="1">
        <v>227327500</v>
      </c>
      <c r="L640" s="1">
        <v>0</v>
      </c>
      <c r="M640" s="1">
        <v>0</v>
      </c>
      <c r="N640" s="1" t="s">
        <v>251</v>
      </c>
      <c r="O640" s="1">
        <v>0.8</v>
      </c>
      <c r="P640" s="1">
        <v>2.5000000000000001E-2</v>
      </c>
      <c r="Q640" s="83">
        <v>35398.604500000001</v>
      </c>
      <c r="R640" s="83">
        <v>35398.604500000001</v>
      </c>
      <c r="S640" s="1">
        <v>35398.604500000001</v>
      </c>
      <c r="T640" s="83">
        <v>0</v>
      </c>
      <c r="U640" s="1" t="s">
        <v>122</v>
      </c>
      <c r="V640" s="1" t="s">
        <v>836</v>
      </c>
      <c r="W640" s="1">
        <v>4781.60363426</v>
      </c>
      <c r="X640" s="1"/>
      <c r="Y640" s="83" t="str">
        <f>VLOOKUP(LossTable[[#This Row],[Department]],$A$15:$B$40,2,FALSE)</f>
        <v>Bermuda</v>
      </c>
    </row>
    <row r="641" spans="4:25" x14ac:dyDescent="0.25">
      <c r="D641" s="78">
        <v>430352</v>
      </c>
      <c r="E641" s="78">
        <v>280014790</v>
      </c>
      <c r="F641" s="83" t="s">
        <v>94</v>
      </c>
      <c r="G641" s="1" t="s">
        <v>306</v>
      </c>
      <c r="H641" s="1" t="s">
        <v>16</v>
      </c>
      <c r="I641" s="1" t="s">
        <v>307</v>
      </c>
      <c r="J641" s="1">
        <v>1800000</v>
      </c>
      <c r="K641" s="1">
        <v>15000000</v>
      </c>
      <c r="L641" s="1">
        <v>0</v>
      </c>
      <c r="M641" s="1">
        <v>0</v>
      </c>
      <c r="N641" s="1" t="s">
        <v>308</v>
      </c>
      <c r="O641" s="1">
        <v>0.56666665999999999</v>
      </c>
      <c r="P641" s="1">
        <v>0.12</v>
      </c>
      <c r="Q641" s="83">
        <v>30916.817999999999</v>
      </c>
      <c r="R641" s="83">
        <v>30916.817999999999</v>
      </c>
      <c r="S641" s="1">
        <v>30916.817999999999</v>
      </c>
      <c r="T641" s="83">
        <v>0</v>
      </c>
      <c r="U641" s="1" t="s">
        <v>122</v>
      </c>
      <c r="V641" s="1" t="s">
        <v>836</v>
      </c>
      <c r="W641" s="1">
        <v>4781.60363426</v>
      </c>
      <c r="X641" s="1"/>
      <c r="Y641" s="83" t="str">
        <f>VLOOKUP(LossTable[[#This Row],[Department]],$A$15:$B$40,2,FALSE)</f>
        <v>TP</v>
      </c>
    </row>
    <row r="642" spans="4:25" x14ac:dyDescent="0.25">
      <c r="D642" s="78">
        <v>430385</v>
      </c>
      <c r="E642" s="78">
        <v>280014790</v>
      </c>
      <c r="F642" s="83" t="s">
        <v>94</v>
      </c>
      <c r="G642" s="1" t="s">
        <v>313</v>
      </c>
      <c r="H642" s="1" t="s">
        <v>16</v>
      </c>
      <c r="I642" s="1" t="s">
        <v>324</v>
      </c>
      <c r="J642" s="1">
        <v>1050000</v>
      </c>
      <c r="K642" s="1">
        <v>20000000</v>
      </c>
      <c r="L642" s="1">
        <v>0</v>
      </c>
      <c r="M642" s="1">
        <v>0</v>
      </c>
      <c r="N642" s="1" t="s">
        <v>325</v>
      </c>
      <c r="O642" s="1">
        <v>0.17</v>
      </c>
      <c r="P642" s="1">
        <v>5.2499999999999998E-2</v>
      </c>
      <c r="Q642" s="83">
        <v>40582.952550000002</v>
      </c>
      <c r="R642" s="83">
        <v>40582.952550000002</v>
      </c>
      <c r="S642" s="1">
        <v>40582.952550000002</v>
      </c>
      <c r="T642" s="83">
        <v>0</v>
      </c>
      <c r="U642" s="1" t="s">
        <v>122</v>
      </c>
      <c r="V642" s="1" t="s">
        <v>836</v>
      </c>
      <c r="W642" s="1">
        <v>4781.60363426</v>
      </c>
      <c r="X642" s="1"/>
      <c r="Y642" s="83" t="str">
        <f>VLOOKUP(LossTable[[#This Row],[Department]],$A$15:$B$40,2,FALSE)</f>
        <v>TP</v>
      </c>
    </row>
    <row r="643" spans="4:25" x14ac:dyDescent="0.25">
      <c r="D643" s="78">
        <v>433118</v>
      </c>
      <c r="E643" s="78">
        <v>280014790</v>
      </c>
      <c r="F643" s="83" t="s">
        <v>45</v>
      </c>
      <c r="G643" s="1" t="s">
        <v>304</v>
      </c>
      <c r="H643" s="1" t="s">
        <v>14</v>
      </c>
      <c r="I643" s="1" t="s">
        <v>312</v>
      </c>
      <c r="J643" s="1">
        <v>2705205.46</v>
      </c>
      <c r="K643" s="1">
        <v>10820821.84</v>
      </c>
      <c r="L643" s="1">
        <v>0</v>
      </c>
      <c r="M643" s="1">
        <v>0</v>
      </c>
      <c r="N643" s="1" t="s">
        <v>14</v>
      </c>
      <c r="O643" s="1">
        <v>0.21948424999999999</v>
      </c>
      <c r="P643" s="1">
        <v>0.25</v>
      </c>
      <c r="Q643" s="83">
        <v>6576.6149999999998</v>
      </c>
      <c r="R643" s="83">
        <v>6576.6149999999998</v>
      </c>
      <c r="S643" s="1">
        <v>6576.6149999999998</v>
      </c>
      <c r="T643" s="83">
        <v>0</v>
      </c>
      <c r="U643" s="1" t="s">
        <v>122</v>
      </c>
      <c r="V643" s="1" t="s">
        <v>836</v>
      </c>
      <c r="W643" s="1">
        <v>4781.60363426</v>
      </c>
      <c r="X643" s="1"/>
      <c r="Y643" s="83" t="str">
        <f>VLOOKUP(LossTable[[#This Row],[Department]],$A$15:$B$40,2,FALSE)</f>
        <v>FP</v>
      </c>
    </row>
    <row r="644" spans="4:25" x14ac:dyDescent="0.25">
      <c r="D644" s="78">
        <v>434730</v>
      </c>
      <c r="E644" s="78">
        <v>280014790</v>
      </c>
      <c r="F644" s="83" t="s">
        <v>45</v>
      </c>
      <c r="G644" s="1" t="s">
        <v>401</v>
      </c>
      <c r="H644" s="1" t="s">
        <v>16</v>
      </c>
      <c r="I644" s="1" t="s">
        <v>402</v>
      </c>
      <c r="J644" s="1">
        <v>150000</v>
      </c>
      <c r="K644" s="1">
        <v>3000000</v>
      </c>
      <c r="L644" s="1">
        <v>0</v>
      </c>
      <c r="M644" s="1">
        <v>0</v>
      </c>
      <c r="N644" s="1" t="s">
        <v>403</v>
      </c>
      <c r="O644" s="1">
        <v>4.1666666699999997</v>
      </c>
      <c r="P644" s="1">
        <v>0.05</v>
      </c>
      <c r="Q644" s="83">
        <v>8364.8554999999997</v>
      </c>
      <c r="R644" s="83">
        <v>8364.8554999999997</v>
      </c>
      <c r="S644" s="1">
        <v>8364.8554999999997</v>
      </c>
      <c r="T644" s="83">
        <v>0</v>
      </c>
      <c r="U644" s="1" t="s">
        <v>122</v>
      </c>
      <c r="V644" s="1" t="s">
        <v>836</v>
      </c>
      <c r="W644" s="1">
        <v>4781.60363426</v>
      </c>
      <c r="X644" s="1"/>
      <c r="Y644" s="83" t="str">
        <f>VLOOKUP(LossTable[[#This Row],[Department]],$A$15:$B$40,2,FALSE)</f>
        <v>FP</v>
      </c>
    </row>
    <row r="645" spans="4:25" x14ac:dyDescent="0.25">
      <c r="D645" s="78">
        <v>435053</v>
      </c>
      <c r="E645" s="78">
        <v>280014790</v>
      </c>
      <c r="F645" s="83" t="s">
        <v>94</v>
      </c>
      <c r="G645" s="1" t="s">
        <v>392</v>
      </c>
      <c r="H645" s="1" t="s">
        <v>16</v>
      </c>
      <c r="I645" s="1" t="s">
        <v>393</v>
      </c>
      <c r="J645" s="1">
        <v>330000</v>
      </c>
      <c r="K645" s="1">
        <v>11000000</v>
      </c>
      <c r="L645" s="1">
        <v>0</v>
      </c>
      <c r="M645" s="1">
        <v>0</v>
      </c>
      <c r="N645" s="1" t="s">
        <v>394</v>
      </c>
      <c r="O645" s="1">
        <v>0.10909091</v>
      </c>
      <c r="P645" s="1">
        <v>0.03</v>
      </c>
      <c r="Q645" s="83">
        <v>119.98050000000001</v>
      </c>
      <c r="R645" s="83">
        <v>119.98050000000001</v>
      </c>
      <c r="S645" s="1">
        <v>119.98050000000001</v>
      </c>
      <c r="T645" s="83">
        <v>0</v>
      </c>
      <c r="U645" s="1" t="s">
        <v>122</v>
      </c>
      <c r="V645" s="1" t="s">
        <v>836</v>
      </c>
      <c r="W645" s="1">
        <v>4781.60363426</v>
      </c>
      <c r="X645" s="1"/>
      <c r="Y645" s="83" t="str">
        <f>VLOOKUP(LossTable[[#This Row],[Department]],$A$15:$B$40,2,FALSE)</f>
        <v>TP</v>
      </c>
    </row>
    <row r="646" spans="4:25" x14ac:dyDescent="0.25">
      <c r="D646" s="78">
        <v>437966</v>
      </c>
      <c r="E646" s="78">
        <v>280014790</v>
      </c>
      <c r="F646" s="83" t="s">
        <v>45</v>
      </c>
      <c r="G646" s="1" t="s">
        <v>374</v>
      </c>
      <c r="H646" s="1" t="s">
        <v>16</v>
      </c>
      <c r="I646" s="1" t="s">
        <v>375</v>
      </c>
      <c r="J646" s="1">
        <v>6000000</v>
      </c>
      <c r="K646" s="1">
        <v>30000000</v>
      </c>
      <c r="L646" s="1">
        <v>0</v>
      </c>
      <c r="M646" s="1">
        <v>0</v>
      </c>
      <c r="N646" s="1" t="s">
        <v>376</v>
      </c>
      <c r="O646" s="1">
        <v>0.13092852999999999</v>
      </c>
      <c r="P646" s="1">
        <v>0.2</v>
      </c>
      <c r="Q646" s="83">
        <v>476.714</v>
      </c>
      <c r="R646" s="83">
        <v>476.714</v>
      </c>
      <c r="S646" s="1">
        <v>476.714</v>
      </c>
      <c r="T646" s="83">
        <v>0</v>
      </c>
      <c r="U646" s="1" t="s">
        <v>122</v>
      </c>
      <c r="V646" s="1" t="s">
        <v>836</v>
      </c>
      <c r="W646" s="1">
        <v>4781.60363426</v>
      </c>
      <c r="X646" s="1"/>
      <c r="Y646" s="83" t="str">
        <f>VLOOKUP(LossTable[[#This Row],[Department]],$A$15:$B$40,2,FALSE)</f>
        <v>FP</v>
      </c>
    </row>
    <row r="647" spans="4:25" x14ac:dyDescent="0.25">
      <c r="D647" s="78">
        <v>439158</v>
      </c>
      <c r="E647" s="78">
        <v>280014790</v>
      </c>
      <c r="F647" s="83" t="s">
        <v>94</v>
      </c>
      <c r="G647" s="1" t="s">
        <v>494</v>
      </c>
      <c r="H647" s="1" t="s">
        <v>14</v>
      </c>
      <c r="I647" s="1" t="s">
        <v>495</v>
      </c>
      <c r="J647" s="1">
        <v>500000</v>
      </c>
      <c r="K647" s="1">
        <v>10000000</v>
      </c>
      <c r="L647" s="1">
        <v>0</v>
      </c>
      <c r="M647" s="1">
        <v>0</v>
      </c>
      <c r="N647" s="1" t="s">
        <v>176</v>
      </c>
      <c r="O647" s="1">
        <v>3.8129113000000001</v>
      </c>
      <c r="P647" s="1">
        <v>0.05</v>
      </c>
      <c r="Q647" s="83">
        <v>128044.01300000001</v>
      </c>
      <c r="R647" s="83">
        <v>128044.01300000001</v>
      </c>
      <c r="S647" s="1">
        <v>128044.01300000001</v>
      </c>
      <c r="T647" s="83">
        <v>0</v>
      </c>
      <c r="U647" s="1" t="s">
        <v>122</v>
      </c>
      <c r="V647" s="1" t="s">
        <v>836</v>
      </c>
      <c r="W647" s="1">
        <v>4781.60363426</v>
      </c>
      <c r="X647" s="1"/>
      <c r="Y647" s="83" t="str">
        <f>VLOOKUP(LossTable[[#This Row],[Department]],$A$15:$B$40,2,FALSE)</f>
        <v>TP</v>
      </c>
    </row>
    <row r="648" spans="4:25" x14ac:dyDescent="0.25">
      <c r="D648" s="78">
        <v>441513</v>
      </c>
      <c r="E648" s="78">
        <v>280014790</v>
      </c>
      <c r="F648" s="83" t="s">
        <v>45</v>
      </c>
      <c r="G648" s="1" t="s">
        <v>378</v>
      </c>
      <c r="H648" s="1" t="s">
        <v>14</v>
      </c>
      <c r="I648" s="1" t="s">
        <v>379</v>
      </c>
      <c r="J648" s="1">
        <v>5229116.5109999999</v>
      </c>
      <c r="K648" s="1">
        <v>34860776.740000002</v>
      </c>
      <c r="L648" s="1">
        <v>0</v>
      </c>
      <c r="M648" s="1">
        <v>0</v>
      </c>
      <c r="N648" s="1" t="s">
        <v>14</v>
      </c>
      <c r="O648" s="1">
        <v>1.08403915</v>
      </c>
      <c r="P648" s="1">
        <v>0.15</v>
      </c>
      <c r="Q648" s="83">
        <v>6004.6575000000003</v>
      </c>
      <c r="R648" s="83">
        <v>6004.6575000000003</v>
      </c>
      <c r="S648" s="1">
        <v>6004.6575000000003</v>
      </c>
      <c r="T648" s="83">
        <v>0</v>
      </c>
      <c r="U648" s="1" t="s">
        <v>122</v>
      </c>
      <c r="V648" s="1" t="s">
        <v>836</v>
      </c>
      <c r="W648" s="1">
        <v>4781.60363426</v>
      </c>
      <c r="X648" s="1"/>
      <c r="Y648" s="83" t="str">
        <f>VLOOKUP(LossTable[[#This Row],[Department]],$A$15:$B$40,2,FALSE)</f>
        <v>FP</v>
      </c>
    </row>
    <row r="649" spans="4:25" x14ac:dyDescent="0.25">
      <c r="D649" s="78">
        <v>441843</v>
      </c>
      <c r="E649" s="78">
        <v>280014790</v>
      </c>
      <c r="F649" s="83" t="s">
        <v>94</v>
      </c>
      <c r="G649" s="1" t="s">
        <v>388</v>
      </c>
      <c r="H649" s="1" t="s">
        <v>14</v>
      </c>
      <c r="I649" s="1" t="s">
        <v>389</v>
      </c>
      <c r="J649" s="1">
        <v>3750000</v>
      </c>
      <c r="K649" s="1">
        <v>50000000</v>
      </c>
      <c r="L649" s="1">
        <v>0</v>
      </c>
      <c r="M649" s="1">
        <v>0</v>
      </c>
      <c r="N649" s="1" t="s">
        <v>166</v>
      </c>
      <c r="O649" s="1">
        <v>1.63716916</v>
      </c>
      <c r="P649" s="1">
        <v>7.4999999999999997E-2</v>
      </c>
      <c r="Q649" s="83">
        <v>246542.77499999999</v>
      </c>
      <c r="R649" s="83">
        <v>246542.77499999999</v>
      </c>
      <c r="S649" s="1">
        <v>246542.77499999999</v>
      </c>
      <c r="T649" s="83">
        <v>0</v>
      </c>
      <c r="U649" s="1" t="s">
        <v>122</v>
      </c>
      <c r="V649" s="1" t="s">
        <v>836</v>
      </c>
      <c r="W649" s="1">
        <v>4781.60363426</v>
      </c>
      <c r="X649" s="1"/>
      <c r="Y649" s="83" t="str">
        <f>VLOOKUP(LossTable[[#This Row],[Department]],$A$15:$B$40,2,FALSE)</f>
        <v>TP</v>
      </c>
    </row>
    <row r="650" spans="4:25" x14ac:dyDescent="0.25">
      <c r="D650" s="78">
        <v>445340</v>
      </c>
      <c r="E650" s="78">
        <v>280014790</v>
      </c>
      <c r="F650" s="83" t="s">
        <v>94</v>
      </c>
      <c r="G650" s="1" t="s">
        <v>416</v>
      </c>
      <c r="H650" s="1" t="s">
        <v>16</v>
      </c>
      <c r="I650" s="1" t="s">
        <v>487</v>
      </c>
      <c r="J650" s="1">
        <v>6750000</v>
      </c>
      <c r="K650" s="1">
        <v>225000000</v>
      </c>
      <c r="L650" s="1">
        <v>0</v>
      </c>
      <c r="M650" s="1">
        <v>0</v>
      </c>
      <c r="N650" s="1" t="s">
        <v>488</v>
      </c>
      <c r="O650" s="1">
        <v>8.777778E-2</v>
      </c>
      <c r="P650" s="1">
        <v>0.03</v>
      </c>
      <c r="Q650" s="83">
        <v>1705.8518999999999</v>
      </c>
      <c r="R650" s="83">
        <v>1705.8518999999999</v>
      </c>
      <c r="S650" s="1">
        <v>1705.8518999999999</v>
      </c>
      <c r="T650" s="83">
        <v>0</v>
      </c>
      <c r="U650" s="1" t="s">
        <v>122</v>
      </c>
      <c r="V650" s="1" t="s">
        <v>836</v>
      </c>
      <c r="W650" s="1">
        <v>4781.60363426</v>
      </c>
      <c r="X650" s="1"/>
      <c r="Y650" s="83" t="str">
        <f>VLOOKUP(LossTable[[#This Row],[Department]],$A$15:$B$40,2,FALSE)</f>
        <v>TP</v>
      </c>
    </row>
    <row r="651" spans="4:25" x14ac:dyDescent="0.25">
      <c r="D651" s="78">
        <v>445986</v>
      </c>
      <c r="E651" s="78">
        <v>280014790</v>
      </c>
      <c r="F651" s="83" t="s">
        <v>94</v>
      </c>
      <c r="G651" s="1" t="s">
        <v>491</v>
      </c>
      <c r="H651" s="1" t="s">
        <v>16</v>
      </c>
      <c r="I651" s="1" t="s">
        <v>492</v>
      </c>
      <c r="J651" s="1">
        <v>594927.44550000003</v>
      </c>
      <c r="K651" s="1">
        <v>11898548.91</v>
      </c>
      <c r="L651" s="1">
        <v>0</v>
      </c>
      <c r="M651" s="1">
        <v>0</v>
      </c>
      <c r="N651" s="1" t="s">
        <v>493</v>
      </c>
      <c r="O651" s="1">
        <v>0.49920335999999998</v>
      </c>
      <c r="P651" s="1">
        <v>0.05</v>
      </c>
      <c r="Q651" s="83">
        <v>6928.7385000000004</v>
      </c>
      <c r="R651" s="83">
        <v>6928.7385000000004</v>
      </c>
      <c r="S651" s="1">
        <v>6928.7385000000004</v>
      </c>
      <c r="T651" s="83">
        <v>0</v>
      </c>
      <c r="U651" s="1" t="s">
        <v>122</v>
      </c>
      <c r="V651" s="1" t="s">
        <v>836</v>
      </c>
      <c r="W651" s="1">
        <v>4781.60363426</v>
      </c>
      <c r="X651" s="1"/>
      <c r="Y651" s="83" t="str">
        <f>VLOOKUP(LossTable[[#This Row],[Department]],$A$15:$B$40,2,FALSE)</f>
        <v>TP</v>
      </c>
    </row>
    <row r="652" spans="4:25" x14ac:dyDescent="0.25">
      <c r="D652" s="78">
        <v>446145</v>
      </c>
      <c r="E652" s="78">
        <v>280014790</v>
      </c>
      <c r="F652" s="83" t="s">
        <v>94</v>
      </c>
      <c r="G652" s="1" t="s">
        <v>527</v>
      </c>
      <c r="H652" s="1" t="s">
        <v>16</v>
      </c>
      <c r="I652" s="1" t="s">
        <v>536</v>
      </c>
      <c r="J652" s="1">
        <v>1875000</v>
      </c>
      <c r="K652" s="1">
        <v>75000000</v>
      </c>
      <c r="L652" s="1">
        <v>0</v>
      </c>
      <c r="M652" s="1">
        <v>0</v>
      </c>
      <c r="N652" s="1" t="s">
        <v>122</v>
      </c>
      <c r="O652" s="1">
        <v>0.19903773</v>
      </c>
      <c r="P652" s="1">
        <v>2.5000000000000001E-2</v>
      </c>
      <c r="Q652" s="83">
        <v>79.032499999999999</v>
      </c>
      <c r="R652" s="83">
        <v>79.032499999999999</v>
      </c>
      <c r="S652" s="1">
        <v>79.032499999999999</v>
      </c>
      <c r="T652" s="83">
        <v>0</v>
      </c>
      <c r="U652" s="1" t="s">
        <v>122</v>
      </c>
      <c r="V652" s="1" t="s">
        <v>836</v>
      </c>
      <c r="W652" s="1">
        <v>4781.60363426</v>
      </c>
      <c r="X652" s="1"/>
      <c r="Y652" s="83" t="str">
        <f>VLOOKUP(LossTable[[#This Row],[Department]],$A$15:$B$40,2,FALSE)</f>
        <v>TP</v>
      </c>
    </row>
    <row r="653" spans="4:25" x14ac:dyDescent="0.25">
      <c r="D653" s="78">
        <v>446893</v>
      </c>
      <c r="E653" s="78">
        <v>280014790</v>
      </c>
      <c r="F653" s="83" t="s">
        <v>45</v>
      </c>
      <c r="G653" s="1" t="s">
        <v>457</v>
      </c>
      <c r="H653" s="1" t="s">
        <v>16</v>
      </c>
      <c r="I653" s="1" t="s">
        <v>458</v>
      </c>
      <c r="J653" s="1">
        <v>16151628.977281</v>
      </c>
      <c r="K653" s="1">
        <v>193897106.56999999</v>
      </c>
      <c r="L653" s="1">
        <v>0</v>
      </c>
      <c r="M653" s="1">
        <v>0</v>
      </c>
      <c r="N653" s="1" t="s">
        <v>459</v>
      </c>
      <c r="O653" s="1">
        <v>1.1660500000000001E-2</v>
      </c>
      <c r="P653" s="1">
        <v>8.3299999999999999E-2</v>
      </c>
      <c r="Q653" s="83">
        <v>3987.6734590000001</v>
      </c>
      <c r="R653" s="83">
        <v>3987.6734590000001</v>
      </c>
      <c r="S653" s="1">
        <v>3987.6734590000001</v>
      </c>
      <c r="T653" s="83">
        <v>0</v>
      </c>
      <c r="U653" s="1" t="s">
        <v>122</v>
      </c>
      <c r="V653" s="1" t="s">
        <v>836</v>
      </c>
      <c r="W653" s="1">
        <v>4781.60363426</v>
      </c>
      <c r="X653" s="1"/>
      <c r="Y653" s="83" t="str">
        <f>VLOOKUP(LossTable[[#This Row],[Department]],$A$15:$B$40,2,FALSE)</f>
        <v>FP</v>
      </c>
    </row>
    <row r="654" spans="4:25" x14ac:dyDescent="0.25">
      <c r="D654" s="78">
        <v>447864</v>
      </c>
      <c r="E654" s="78">
        <v>280014790</v>
      </c>
      <c r="F654" s="83" t="s">
        <v>94</v>
      </c>
      <c r="G654" s="1" t="s">
        <v>489</v>
      </c>
      <c r="H654" s="1" t="s">
        <v>16</v>
      </c>
      <c r="I654" s="1" t="s">
        <v>529</v>
      </c>
      <c r="J654" s="1">
        <v>350000</v>
      </c>
      <c r="K654" s="1">
        <v>10000000</v>
      </c>
      <c r="L654" s="1">
        <v>0</v>
      </c>
      <c r="M654" s="1">
        <v>0</v>
      </c>
      <c r="N654" s="1" t="s">
        <v>257</v>
      </c>
      <c r="O654" s="1">
        <v>0.25</v>
      </c>
      <c r="P654" s="1">
        <v>3.5000000000000003E-2</v>
      </c>
      <c r="Q654" s="83">
        <v>64.538250000000005</v>
      </c>
      <c r="R654" s="83">
        <v>64.538250000000005</v>
      </c>
      <c r="S654" s="1">
        <v>64.538250000000005</v>
      </c>
      <c r="T654" s="83">
        <v>0</v>
      </c>
      <c r="U654" s="1" t="s">
        <v>122</v>
      </c>
      <c r="V654" s="1" t="s">
        <v>836</v>
      </c>
      <c r="W654" s="1">
        <v>4781.60363426</v>
      </c>
      <c r="X654" s="1"/>
      <c r="Y654" s="83" t="str">
        <f>VLOOKUP(LossTable[[#This Row],[Department]],$A$15:$B$40,2,FALSE)</f>
        <v>TP</v>
      </c>
    </row>
    <row r="655" spans="4:25" x14ac:dyDescent="0.25">
      <c r="D655" s="78">
        <v>448493</v>
      </c>
      <c r="E655" s="78">
        <v>280014790</v>
      </c>
      <c r="F655" s="83" t="s">
        <v>94</v>
      </c>
      <c r="G655" s="1" t="s">
        <v>533</v>
      </c>
      <c r="H655" s="1" t="s">
        <v>16</v>
      </c>
      <c r="I655" s="1" t="s">
        <v>541</v>
      </c>
      <c r="J655" s="1">
        <v>24000000</v>
      </c>
      <c r="K655" s="1">
        <v>400000000</v>
      </c>
      <c r="L655" s="1">
        <v>0</v>
      </c>
      <c r="M655" s="1">
        <v>0</v>
      </c>
      <c r="N655" s="1" t="s">
        <v>542</v>
      </c>
      <c r="O655" s="1">
        <v>0.105</v>
      </c>
      <c r="P655" s="1">
        <v>0.06</v>
      </c>
      <c r="Q655" s="83">
        <v>34928.782200000001</v>
      </c>
      <c r="R655" s="83">
        <v>34928.782200000001</v>
      </c>
      <c r="S655" s="1">
        <v>34928.782200000001</v>
      </c>
      <c r="T655" s="83">
        <v>0</v>
      </c>
      <c r="U655" s="1" t="s">
        <v>122</v>
      </c>
      <c r="V655" s="1" t="s">
        <v>836</v>
      </c>
      <c r="W655" s="1">
        <v>4781.60363426</v>
      </c>
      <c r="X655" s="1"/>
      <c r="Y655" s="83" t="str">
        <f>VLOOKUP(LossTable[[#This Row],[Department]],$A$15:$B$40,2,FALSE)</f>
        <v>TP</v>
      </c>
    </row>
    <row r="656" spans="4:25" x14ac:dyDescent="0.25">
      <c r="D656" s="78">
        <v>458368</v>
      </c>
      <c r="E656" s="78">
        <v>280014790</v>
      </c>
      <c r="F656" s="83" t="s">
        <v>21</v>
      </c>
      <c r="G656" s="1" t="s">
        <v>523</v>
      </c>
      <c r="H656" s="1" t="s">
        <v>14</v>
      </c>
      <c r="I656" s="1" t="s">
        <v>524</v>
      </c>
      <c r="J656" s="1">
        <v>5775000</v>
      </c>
      <c r="K656" s="1">
        <v>150000000</v>
      </c>
      <c r="L656" s="1">
        <v>0</v>
      </c>
      <c r="M656" s="1">
        <v>0</v>
      </c>
      <c r="N656" s="1" t="s">
        <v>161</v>
      </c>
      <c r="O656" s="1">
        <v>4.1666666699999997</v>
      </c>
      <c r="P656" s="1">
        <v>3.85E-2</v>
      </c>
      <c r="Q656" s="83">
        <v>48849.052559999996</v>
      </c>
      <c r="R656" s="83">
        <v>48849.052559999996</v>
      </c>
      <c r="S656" s="1">
        <v>48849.052559999996</v>
      </c>
      <c r="T656" s="83">
        <v>0</v>
      </c>
      <c r="U656" s="1" t="s">
        <v>122</v>
      </c>
      <c r="V656" s="1" t="s">
        <v>836</v>
      </c>
      <c r="W656" s="1">
        <v>4781.60363426</v>
      </c>
      <c r="X656" s="1"/>
      <c r="Y656" s="83" t="str">
        <f>VLOOKUP(LossTable[[#This Row],[Department]],$A$15:$B$40,2,FALSE)</f>
        <v>London</v>
      </c>
    </row>
    <row r="657" spans="4:25" x14ac:dyDescent="0.25">
      <c r="D657" s="78">
        <v>463414</v>
      </c>
      <c r="E657" s="78">
        <v>280014790</v>
      </c>
      <c r="F657" s="83" t="s">
        <v>94</v>
      </c>
      <c r="G657" s="1" t="s">
        <v>547</v>
      </c>
      <c r="H657" s="1" t="s">
        <v>14</v>
      </c>
      <c r="I657" s="1" t="s">
        <v>548</v>
      </c>
      <c r="J657" s="1">
        <v>15000000</v>
      </c>
      <c r="K657" s="1">
        <v>100000000</v>
      </c>
      <c r="L657" s="1">
        <v>0</v>
      </c>
      <c r="M657" s="1">
        <v>0</v>
      </c>
      <c r="N657" s="1" t="s">
        <v>335</v>
      </c>
      <c r="O657" s="1">
        <v>12.70729618</v>
      </c>
      <c r="P657" s="1">
        <v>0.15</v>
      </c>
      <c r="Q657" s="83">
        <v>829631.73450000002</v>
      </c>
      <c r="R657" s="83">
        <v>829631.73450000002</v>
      </c>
      <c r="S657" s="1">
        <v>829631.73450000002</v>
      </c>
      <c r="T657" s="83">
        <v>0</v>
      </c>
      <c r="U657" s="1" t="s">
        <v>122</v>
      </c>
      <c r="V657" s="1" t="s">
        <v>836</v>
      </c>
      <c r="W657" s="1">
        <v>4781.60363426</v>
      </c>
      <c r="X657" s="1"/>
      <c r="Y657" s="83" t="str">
        <f>VLOOKUP(LossTable[[#This Row],[Department]],$A$15:$B$40,2,FALSE)</f>
        <v>TP</v>
      </c>
    </row>
    <row r="658" spans="4:25" x14ac:dyDescent="0.25">
      <c r="D658" s="78">
        <v>464924</v>
      </c>
      <c r="E658" s="78">
        <v>280014790</v>
      </c>
      <c r="F658" s="83" t="s">
        <v>94</v>
      </c>
      <c r="G658" s="1" t="s">
        <v>616</v>
      </c>
      <c r="H658" s="1" t="s">
        <v>14</v>
      </c>
      <c r="I658" s="1" t="s">
        <v>617</v>
      </c>
      <c r="J658" s="1">
        <v>9600000</v>
      </c>
      <c r="K658" s="1">
        <v>160000000</v>
      </c>
      <c r="L658" s="1">
        <v>0</v>
      </c>
      <c r="M658" s="1">
        <v>0</v>
      </c>
      <c r="N658" s="1" t="s">
        <v>122</v>
      </c>
      <c r="O658" s="1">
        <v>1</v>
      </c>
      <c r="P658" s="1">
        <v>0.06</v>
      </c>
      <c r="Q658" s="83">
        <v>119176.72319999999</v>
      </c>
      <c r="R658" s="83">
        <v>119176.72319999999</v>
      </c>
      <c r="S658" s="1">
        <v>119176.72319999999</v>
      </c>
      <c r="T658" s="83">
        <v>0</v>
      </c>
      <c r="U658" s="1" t="s">
        <v>122</v>
      </c>
      <c r="V658" s="1" t="s">
        <v>836</v>
      </c>
      <c r="W658" s="1">
        <v>4781.60363426</v>
      </c>
      <c r="X658" s="1"/>
      <c r="Y658" s="83" t="str">
        <f>VLOOKUP(LossTable[[#This Row],[Department]],$A$15:$B$40,2,FALSE)</f>
        <v>TP</v>
      </c>
    </row>
    <row r="659" spans="4:25" x14ac:dyDescent="0.25">
      <c r="D659" s="78">
        <v>468497</v>
      </c>
      <c r="E659" s="78">
        <v>280014790</v>
      </c>
      <c r="F659" s="83" t="s">
        <v>12</v>
      </c>
      <c r="G659" s="1" t="s">
        <v>631</v>
      </c>
      <c r="H659" s="1" t="s">
        <v>14</v>
      </c>
      <c r="I659" s="1" t="s">
        <v>632</v>
      </c>
      <c r="J659" s="1">
        <v>6750000</v>
      </c>
      <c r="K659" s="1">
        <v>135000000</v>
      </c>
      <c r="L659" s="1">
        <v>0</v>
      </c>
      <c r="M659" s="1">
        <v>0</v>
      </c>
      <c r="N659" s="1" t="s">
        <v>155</v>
      </c>
      <c r="O659" s="1">
        <v>0.94444444000000005</v>
      </c>
      <c r="P659" s="1">
        <v>0.05</v>
      </c>
      <c r="Q659" s="83">
        <v>293547.91450000001</v>
      </c>
      <c r="R659" s="83">
        <v>293547.91450000001</v>
      </c>
      <c r="S659" s="1">
        <v>293547.91450000001</v>
      </c>
      <c r="T659" s="83">
        <v>0</v>
      </c>
      <c r="U659" s="1" t="s">
        <v>122</v>
      </c>
      <c r="V659" s="1" t="s">
        <v>836</v>
      </c>
      <c r="W659" s="1">
        <v>4781.60363426</v>
      </c>
      <c r="X659" s="1"/>
      <c r="Y659" s="83" t="str">
        <f>VLOOKUP(LossTable[[#This Row],[Department]],$A$15:$B$40,2,FALSE)</f>
        <v>Bermuda</v>
      </c>
    </row>
    <row r="660" spans="4:25" x14ac:dyDescent="0.25">
      <c r="D660" s="78">
        <v>468870</v>
      </c>
      <c r="E660" s="78">
        <v>280014790</v>
      </c>
      <c r="F660" s="83" t="s">
        <v>94</v>
      </c>
      <c r="G660" s="1" t="s">
        <v>591</v>
      </c>
      <c r="H660" s="1" t="s">
        <v>16</v>
      </c>
      <c r="I660" s="1" t="s">
        <v>641</v>
      </c>
      <c r="J660" s="1">
        <v>500000</v>
      </c>
      <c r="K660" s="1">
        <v>10000000</v>
      </c>
      <c r="L660" s="1">
        <v>0</v>
      </c>
      <c r="M660" s="1">
        <v>0</v>
      </c>
      <c r="N660" s="1" t="s">
        <v>642</v>
      </c>
      <c r="O660" s="1">
        <v>9.9176000000000002</v>
      </c>
      <c r="P660" s="1">
        <v>0.05</v>
      </c>
      <c r="Q660" s="83">
        <v>3.347</v>
      </c>
      <c r="R660" s="83">
        <v>3.347</v>
      </c>
      <c r="S660" s="1">
        <v>3.347</v>
      </c>
      <c r="T660" s="83">
        <v>0</v>
      </c>
      <c r="U660" s="1" t="s">
        <v>122</v>
      </c>
      <c r="V660" s="1" t="s">
        <v>836</v>
      </c>
      <c r="W660" s="1">
        <v>4781.60363426</v>
      </c>
      <c r="X660" s="1"/>
      <c r="Y660" s="83" t="str">
        <f>VLOOKUP(LossTable[[#This Row],[Department]],$A$15:$B$40,2,FALSE)</f>
        <v>TP</v>
      </c>
    </row>
    <row r="661" spans="4:25" x14ac:dyDescent="0.25">
      <c r="D661" s="78">
        <v>469841</v>
      </c>
      <c r="E661" s="78">
        <v>280014790</v>
      </c>
      <c r="F661" s="83" t="s">
        <v>94</v>
      </c>
      <c r="G661" s="1" t="s">
        <v>596</v>
      </c>
      <c r="H661" s="1" t="s">
        <v>16</v>
      </c>
      <c r="I661" s="1" t="s">
        <v>597</v>
      </c>
      <c r="J661" s="1">
        <v>300000</v>
      </c>
      <c r="K661" s="1">
        <v>6000000</v>
      </c>
      <c r="L661" s="1">
        <v>0</v>
      </c>
      <c r="M661" s="1">
        <v>0</v>
      </c>
      <c r="N661" s="1" t="s">
        <v>122</v>
      </c>
      <c r="O661" s="1">
        <v>1.33355</v>
      </c>
      <c r="P661" s="1">
        <v>0.05</v>
      </c>
      <c r="Q661" s="83">
        <v>71.521000000000001</v>
      </c>
      <c r="R661" s="83">
        <v>71.521000000000001</v>
      </c>
      <c r="S661" s="1">
        <v>71.521000000000001</v>
      </c>
      <c r="T661" s="83">
        <v>0</v>
      </c>
      <c r="U661" s="1" t="s">
        <v>122</v>
      </c>
      <c r="V661" s="1" t="s">
        <v>836</v>
      </c>
      <c r="W661" s="1">
        <v>4781.60363426</v>
      </c>
      <c r="X661" s="1"/>
      <c r="Y661" s="83" t="str">
        <f>VLOOKUP(LossTable[[#This Row],[Department]],$A$15:$B$40,2,FALSE)</f>
        <v>TP</v>
      </c>
    </row>
    <row r="662" spans="4:25" x14ac:dyDescent="0.25">
      <c r="D662" s="78">
        <v>471244</v>
      </c>
      <c r="E662" s="78">
        <v>280014790</v>
      </c>
      <c r="F662" s="83" t="s">
        <v>45</v>
      </c>
      <c r="G662" s="1" t="s">
        <v>767</v>
      </c>
      <c r="H662" s="1" t="s">
        <v>16</v>
      </c>
      <c r="I662" s="1" t="s">
        <v>768</v>
      </c>
      <c r="J662" s="1">
        <v>4000000</v>
      </c>
      <c r="K662" s="1">
        <v>20000000</v>
      </c>
      <c r="L662" s="1">
        <v>0</v>
      </c>
      <c r="M662" s="1">
        <v>0</v>
      </c>
      <c r="N662" s="1" t="s">
        <v>248</v>
      </c>
      <c r="O662" s="1">
        <v>0.24723000000000001</v>
      </c>
      <c r="P662" s="1">
        <v>0.2</v>
      </c>
      <c r="Q662" s="83">
        <v>34.012</v>
      </c>
      <c r="R662" s="83">
        <v>34.012</v>
      </c>
      <c r="S662" s="1">
        <v>34.012</v>
      </c>
      <c r="T662" s="83">
        <v>3.9447776999999999</v>
      </c>
      <c r="U662" s="1" t="s">
        <v>122</v>
      </c>
      <c r="V662" s="1" t="s">
        <v>836</v>
      </c>
      <c r="W662" s="1">
        <v>4781.60363426</v>
      </c>
      <c r="X662" s="1"/>
      <c r="Y662" s="83" t="str">
        <f>VLOOKUP(LossTable[[#This Row],[Department]],$A$15:$B$40,2,FALSE)</f>
        <v>FP</v>
      </c>
    </row>
    <row r="663" spans="4:25" x14ac:dyDescent="0.25">
      <c r="D663" s="78">
        <v>471712</v>
      </c>
      <c r="E663" s="78">
        <v>280014790</v>
      </c>
      <c r="F663" s="83" t="s">
        <v>45</v>
      </c>
      <c r="G663" s="1" t="s">
        <v>683</v>
      </c>
      <c r="H663" s="1" t="s">
        <v>16</v>
      </c>
      <c r="I663" s="1" t="s">
        <v>684</v>
      </c>
      <c r="J663" s="1">
        <v>15000000</v>
      </c>
      <c r="K663" s="1">
        <v>150000000</v>
      </c>
      <c r="L663" s="1">
        <v>0</v>
      </c>
      <c r="M663" s="1">
        <v>0</v>
      </c>
      <c r="N663" s="1" t="s">
        <v>685</v>
      </c>
      <c r="O663" s="1">
        <v>4.7142530000000002E-2</v>
      </c>
      <c r="P663" s="1">
        <v>0.1</v>
      </c>
      <c r="Q663" s="83">
        <v>17.236000000000001</v>
      </c>
      <c r="R663" s="83">
        <v>17.236000000000001</v>
      </c>
      <c r="S663" s="1">
        <v>17.236000000000001</v>
      </c>
      <c r="T663" s="83">
        <v>0</v>
      </c>
      <c r="U663" s="1" t="s">
        <v>122</v>
      </c>
      <c r="V663" s="1" t="s">
        <v>836</v>
      </c>
      <c r="W663" s="1">
        <v>4781.60363426</v>
      </c>
      <c r="X663" s="1"/>
      <c r="Y663" s="83" t="str">
        <f>VLOOKUP(LossTable[[#This Row],[Department]],$A$15:$B$40,2,FALSE)</f>
        <v>FP</v>
      </c>
    </row>
    <row r="664" spans="4:25" x14ac:dyDescent="0.25">
      <c r="D664" s="78">
        <v>472284</v>
      </c>
      <c r="E664" s="78">
        <v>280014790</v>
      </c>
      <c r="F664" s="83" t="s">
        <v>21</v>
      </c>
      <c r="G664" s="1" t="s">
        <v>627</v>
      </c>
      <c r="H664" s="1" t="s">
        <v>14</v>
      </c>
      <c r="I664" s="1" t="s">
        <v>628</v>
      </c>
      <c r="J664" s="1">
        <v>20000000</v>
      </c>
      <c r="K664" s="1">
        <v>200000000</v>
      </c>
      <c r="L664" s="1">
        <v>0</v>
      </c>
      <c r="M664" s="1">
        <v>0</v>
      </c>
      <c r="N664" s="1" t="s">
        <v>142</v>
      </c>
      <c r="O664" s="1">
        <v>1.1475</v>
      </c>
      <c r="P664" s="1">
        <v>0.1</v>
      </c>
      <c r="Q664" s="83">
        <v>22022.592000000001</v>
      </c>
      <c r="R664" s="83">
        <v>22022.592000000001</v>
      </c>
      <c r="S664" s="1">
        <v>22022.592000000001</v>
      </c>
      <c r="T664" s="83">
        <v>0</v>
      </c>
      <c r="U664" s="1" t="s">
        <v>122</v>
      </c>
      <c r="V664" s="1" t="s">
        <v>836</v>
      </c>
      <c r="W664" s="1">
        <v>4781.60363426</v>
      </c>
      <c r="X664" s="1"/>
      <c r="Y664" s="83" t="str">
        <f>VLOOKUP(LossTable[[#This Row],[Department]],$A$15:$B$40,2,FALSE)</f>
        <v>London</v>
      </c>
    </row>
    <row r="665" spans="4:25" x14ac:dyDescent="0.25">
      <c r="D665" s="78">
        <v>472467</v>
      </c>
      <c r="E665" s="78">
        <v>280014790</v>
      </c>
      <c r="F665" s="83" t="s">
        <v>21</v>
      </c>
      <c r="G665" s="1" t="s">
        <v>633</v>
      </c>
      <c r="H665" s="1" t="s">
        <v>14</v>
      </c>
      <c r="I665" s="1" t="s">
        <v>634</v>
      </c>
      <c r="J665" s="1">
        <v>825000</v>
      </c>
      <c r="K665" s="1">
        <v>10000000</v>
      </c>
      <c r="L665" s="1">
        <v>0</v>
      </c>
      <c r="M665" s="1">
        <v>0</v>
      </c>
      <c r="N665" s="1" t="s">
        <v>176</v>
      </c>
      <c r="O665" s="1">
        <v>5</v>
      </c>
      <c r="P665" s="1">
        <v>8.2500000000000004E-2</v>
      </c>
      <c r="Q665" s="83">
        <v>18980.652075000002</v>
      </c>
      <c r="R665" s="83">
        <v>18980.652075000002</v>
      </c>
      <c r="S665" s="1">
        <v>18980.652075000002</v>
      </c>
      <c r="T665" s="83">
        <v>0</v>
      </c>
      <c r="U665" s="1" t="s">
        <v>122</v>
      </c>
      <c r="V665" s="1" t="s">
        <v>836</v>
      </c>
      <c r="W665" s="1">
        <v>4781.60363426</v>
      </c>
      <c r="X665" s="1"/>
      <c r="Y665" s="83" t="str">
        <f>VLOOKUP(LossTable[[#This Row],[Department]],$A$15:$B$40,2,FALSE)</f>
        <v>London</v>
      </c>
    </row>
    <row r="666" spans="4:25" x14ac:dyDescent="0.25">
      <c r="D666" s="78">
        <v>474074</v>
      </c>
      <c r="E666" s="78">
        <v>280014790</v>
      </c>
      <c r="F666" s="83" t="s">
        <v>94</v>
      </c>
      <c r="G666" s="1" t="s">
        <v>648</v>
      </c>
      <c r="H666" s="1" t="s">
        <v>16</v>
      </c>
      <c r="I666" s="1" t="s">
        <v>657</v>
      </c>
      <c r="J666" s="1">
        <v>450000</v>
      </c>
      <c r="K666" s="1">
        <v>15000000</v>
      </c>
      <c r="L666" s="1">
        <v>0</v>
      </c>
      <c r="M666" s="1">
        <v>0</v>
      </c>
      <c r="N666" s="1" t="s">
        <v>122</v>
      </c>
      <c r="O666" s="1">
        <v>0.29333333</v>
      </c>
      <c r="P666" s="1">
        <v>0.03</v>
      </c>
      <c r="Q666" s="83">
        <v>121.6602</v>
      </c>
      <c r="R666" s="83">
        <v>121.6602</v>
      </c>
      <c r="S666" s="1">
        <v>121.6602</v>
      </c>
      <c r="T666" s="83">
        <v>0</v>
      </c>
      <c r="U666" s="1" t="s">
        <v>122</v>
      </c>
      <c r="V666" s="1" t="s">
        <v>836</v>
      </c>
      <c r="W666" s="1">
        <v>4781.60363426</v>
      </c>
      <c r="X666" s="1"/>
      <c r="Y666" s="83" t="str">
        <f>VLOOKUP(LossTable[[#This Row],[Department]],$A$15:$B$40,2,FALSE)</f>
        <v>TP</v>
      </c>
    </row>
    <row r="667" spans="4:25" x14ac:dyDescent="0.25">
      <c r="D667" s="78">
        <v>475344</v>
      </c>
      <c r="E667" s="78">
        <v>280014790</v>
      </c>
      <c r="F667" s="83" t="s">
        <v>21</v>
      </c>
      <c r="G667" s="1" t="s">
        <v>665</v>
      </c>
      <c r="H667" s="1" t="s">
        <v>14</v>
      </c>
      <c r="I667" s="1" t="s">
        <v>666</v>
      </c>
      <c r="J667" s="1">
        <v>15000000</v>
      </c>
      <c r="K667" s="1">
        <v>200000000</v>
      </c>
      <c r="L667" s="1">
        <v>0</v>
      </c>
      <c r="M667" s="1">
        <v>0</v>
      </c>
      <c r="N667" s="1" t="s">
        <v>142</v>
      </c>
      <c r="O667" s="1">
        <v>0.22</v>
      </c>
      <c r="P667" s="1">
        <v>7.4999999999999997E-2</v>
      </c>
      <c r="Q667" s="83">
        <v>4569.1987499999996</v>
      </c>
      <c r="R667" s="83">
        <v>4569.1987499999996</v>
      </c>
      <c r="S667" s="1">
        <v>4569.1987499999996</v>
      </c>
      <c r="T667" s="83">
        <v>0</v>
      </c>
      <c r="U667" s="1" t="s">
        <v>122</v>
      </c>
      <c r="V667" s="1" t="s">
        <v>836</v>
      </c>
      <c r="W667" s="1">
        <v>4781.60363426</v>
      </c>
      <c r="X667" s="1"/>
      <c r="Y667" s="83" t="str">
        <f>VLOOKUP(LossTable[[#This Row],[Department]],$A$15:$B$40,2,FALSE)</f>
        <v>London</v>
      </c>
    </row>
    <row r="668" spans="4:25" x14ac:dyDescent="0.25">
      <c r="D668" s="78">
        <v>477139</v>
      </c>
      <c r="E668" s="78">
        <v>280014790</v>
      </c>
      <c r="F668" s="83" t="s">
        <v>95</v>
      </c>
      <c r="G668" s="1" t="s">
        <v>697</v>
      </c>
      <c r="H668" s="1" t="s">
        <v>14</v>
      </c>
      <c r="I668" s="1" t="s">
        <v>698</v>
      </c>
      <c r="J668" s="1">
        <v>7216882.2856000001</v>
      </c>
      <c r="K668" s="1">
        <v>180422057.13999999</v>
      </c>
      <c r="L668" s="1">
        <v>0</v>
      </c>
      <c r="M668" s="1">
        <v>0</v>
      </c>
      <c r="N668" s="1" t="s">
        <v>122</v>
      </c>
      <c r="O668" s="1">
        <v>0.79228986999999995</v>
      </c>
      <c r="P668" s="1">
        <v>0.04</v>
      </c>
      <c r="Q668" s="83">
        <v>1719.8624</v>
      </c>
      <c r="R668" s="83">
        <v>1719.8624</v>
      </c>
      <c r="S668" s="1">
        <v>1719.8624</v>
      </c>
      <c r="T668" s="83">
        <v>0</v>
      </c>
      <c r="U668" s="1" t="s">
        <v>122</v>
      </c>
      <c r="V668" s="1" t="s">
        <v>836</v>
      </c>
      <c r="W668" s="1">
        <v>4781.60363426</v>
      </c>
      <c r="X668" s="1"/>
      <c r="Y668" s="83" t="str">
        <f>VLOOKUP(LossTable[[#This Row],[Department]],$A$15:$B$40,2,FALSE)</f>
        <v>Dublin</v>
      </c>
    </row>
    <row r="669" spans="4:25" x14ac:dyDescent="0.25">
      <c r="D669" s="78">
        <v>478528</v>
      </c>
      <c r="E669" s="78">
        <v>280014790</v>
      </c>
      <c r="F669" s="83" t="s">
        <v>94</v>
      </c>
      <c r="G669" s="1" t="s">
        <v>794</v>
      </c>
      <c r="H669" s="1" t="s">
        <v>16</v>
      </c>
      <c r="I669" s="1" t="s">
        <v>847</v>
      </c>
      <c r="J669" s="1">
        <v>2906060.2170000002</v>
      </c>
      <c r="K669" s="1">
        <v>19373734.780000001</v>
      </c>
      <c r="L669" s="1">
        <v>0</v>
      </c>
      <c r="M669" s="1">
        <v>0</v>
      </c>
      <c r="N669" s="1" t="s">
        <v>122</v>
      </c>
      <c r="O669" s="1">
        <v>0.1085</v>
      </c>
      <c r="P669" s="1">
        <v>0.15</v>
      </c>
      <c r="Q669" s="83">
        <v>3.702</v>
      </c>
      <c r="R669" s="83">
        <v>3.702</v>
      </c>
      <c r="S669" s="1">
        <v>3.702</v>
      </c>
      <c r="T669" s="83">
        <v>0</v>
      </c>
      <c r="U669" s="1" t="s">
        <v>122</v>
      </c>
      <c r="V669" s="1" t="s">
        <v>836</v>
      </c>
      <c r="W669" s="1">
        <v>4781.60363426</v>
      </c>
      <c r="X669" s="1"/>
      <c r="Y669" s="83" t="str">
        <f>VLOOKUP(LossTable[[#This Row],[Department]],$A$15:$B$40,2,FALSE)</f>
        <v>TP</v>
      </c>
    </row>
    <row r="670" spans="4:25" x14ac:dyDescent="0.25">
      <c r="D670" s="78">
        <v>484260</v>
      </c>
      <c r="E670" s="78">
        <v>280014790</v>
      </c>
      <c r="F670" s="83" t="s">
        <v>94</v>
      </c>
      <c r="G670" s="1" t="s">
        <v>686</v>
      </c>
      <c r="H670" s="1" t="s">
        <v>16</v>
      </c>
      <c r="I670" s="1" t="s">
        <v>740</v>
      </c>
      <c r="J670" s="1">
        <v>4000000</v>
      </c>
      <c r="K670" s="1">
        <v>100000000</v>
      </c>
      <c r="L670" s="1">
        <v>0</v>
      </c>
      <c r="M670" s="1">
        <v>0</v>
      </c>
      <c r="N670" s="1" t="s">
        <v>122</v>
      </c>
      <c r="O670" s="1">
        <v>0.75</v>
      </c>
      <c r="P670" s="1">
        <v>0.04</v>
      </c>
      <c r="Q670" s="83">
        <v>26359.0216</v>
      </c>
      <c r="R670" s="83">
        <v>26359.0216</v>
      </c>
      <c r="S670" s="1">
        <v>26359.0216</v>
      </c>
      <c r="T670" s="83">
        <v>0</v>
      </c>
      <c r="U670" s="1" t="s">
        <v>122</v>
      </c>
      <c r="V670" s="1" t="s">
        <v>836</v>
      </c>
      <c r="W670" s="1">
        <v>4781.60363426</v>
      </c>
      <c r="X670" s="1"/>
      <c r="Y670" s="83" t="str">
        <f>VLOOKUP(LossTable[[#This Row],[Department]],$A$15:$B$40,2,FALSE)</f>
        <v>TP</v>
      </c>
    </row>
    <row r="671" spans="4:25" x14ac:dyDescent="0.25">
      <c r="D671" s="78">
        <v>484305</v>
      </c>
      <c r="E671" s="78">
        <v>280014790</v>
      </c>
      <c r="F671" s="83" t="s">
        <v>95</v>
      </c>
      <c r="G671" s="1" t="s">
        <v>695</v>
      </c>
      <c r="H671" s="1" t="s">
        <v>14</v>
      </c>
      <c r="I671" s="1" t="s">
        <v>746</v>
      </c>
      <c r="J671" s="1">
        <v>9985136.6281509399</v>
      </c>
      <c r="K671" s="1">
        <v>58736097.812652603</v>
      </c>
      <c r="L671" s="1">
        <v>0</v>
      </c>
      <c r="M671" s="1">
        <v>0</v>
      </c>
      <c r="N671" s="1" t="s">
        <v>166</v>
      </c>
      <c r="O671" s="1">
        <v>0.76217440999999997</v>
      </c>
      <c r="P671" s="1">
        <v>0.17</v>
      </c>
      <c r="Q671" s="83">
        <v>14259.71770189</v>
      </c>
      <c r="R671" s="83">
        <v>14259.71770189</v>
      </c>
      <c r="S671" s="1">
        <v>14259.71770189</v>
      </c>
      <c r="T671" s="83">
        <v>0</v>
      </c>
      <c r="U671" s="1" t="s">
        <v>122</v>
      </c>
      <c r="V671" s="1" t="s">
        <v>836</v>
      </c>
      <c r="W671" s="1">
        <v>4781.60363426</v>
      </c>
      <c r="X671" s="1"/>
      <c r="Y671" s="83" t="str">
        <f>VLOOKUP(LossTable[[#This Row],[Department]],$A$15:$B$40,2,FALSE)</f>
        <v>Dublin</v>
      </c>
    </row>
    <row r="672" spans="4:25" x14ac:dyDescent="0.25">
      <c r="D672" s="78">
        <v>420186</v>
      </c>
      <c r="E672" s="78">
        <v>280066590</v>
      </c>
      <c r="F672" s="83" t="s">
        <v>94</v>
      </c>
      <c r="G672" s="1" t="s">
        <v>170</v>
      </c>
      <c r="H672" s="1" t="s">
        <v>14</v>
      </c>
      <c r="I672" s="1" t="s">
        <v>171</v>
      </c>
      <c r="J672" s="1">
        <v>2250000</v>
      </c>
      <c r="K672" s="1">
        <v>50000000</v>
      </c>
      <c r="L672" s="1">
        <v>0</v>
      </c>
      <c r="M672" s="1">
        <v>0</v>
      </c>
      <c r="N672" s="1" t="s">
        <v>166</v>
      </c>
      <c r="O672" s="1">
        <v>1.3646039999999999</v>
      </c>
      <c r="P672" s="1">
        <v>4.4999999999999998E-2</v>
      </c>
      <c r="Q672" s="83">
        <v>37093.621050000002</v>
      </c>
      <c r="R672" s="83">
        <v>37093.621050000002</v>
      </c>
      <c r="S672" s="1">
        <v>37093.621050000002</v>
      </c>
      <c r="T672" s="83">
        <v>0</v>
      </c>
      <c r="U672" s="1" t="s">
        <v>122</v>
      </c>
      <c r="V672" s="1" t="s">
        <v>837</v>
      </c>
      <c r="W672" s="1">
        <v>3280.0940773799998</v>
      </c>
      <c r="X672" s="1"/>
      <c r="Y672" s="83" t="str">
        <f>VLOOKUP(LossTable[[#This Row],[Department]],$A$15:$B$40,2,FALSE)</f>
        <v>TP</v>
      </c>
    </row>
    <row r="673" spans="4:25" x14ac:dyDescent="0.25">
      <c r="D673" s="78">
        <v>422349</v>
      </c>
      <c r="E673" s="78">
        <v>280066590</v>
      </c>
      <c r="F673" s="83" t="s">
        <v>94</v>
      </c>
      <c r="G673" s="1" t="s">
        <v>275</v>
      </c>
      <c r="H673" s="1" t="s">
        <v>16</v>
      </c>
      <c r="I673" s="1" t="s">
        <v>276</v>
      </c>
      <c r="J673" s="1">
        <v>800000</v>
      </c>
      <c r="K673" s="1">
        <v>40000000</v>
      </c>
      <c r="L673" s="1">
        <v>0</v>
      </c>
      <c r="M673" s="1">
        <v>0</v>
      </c>
      <c r="N673" s="1" t="s">
        <v>277</v>
      </c>
      <c r="O673" s="1">
        <v>0.1125</v>
      </c>
      <c r="P673" s="1">
        <v>0.02</v>
      </c>
      <c r="Q673" s="83">
        <v>449.05180000000001</v>
      </c>
      <c r="R673" s="83">
        <v>449.05180000000001</v>
      </c>
      <c r="S673" s="1">
        <v>449.05180000000001</v>
      </c>
      <c r="T673" s="83">
        <v>0</v>
      </c>
      <c r="U673" s="1" t="s">
        <v>122</v>
      </c>
      <c r="V673" s="1" t="s">
        <v>837</v>
      </c>
      <c r="W673" s="1">
        <v>3280.0940773799998</v>
      </c>
      <c r="X673" s="1"/>
      <c r="Y673" s="83" t="str">
        <f>VLOOKUP(LossTable[[#This Row],[Department]],$A$15:$B$40,2,FALSE)</f>
        <v>TP</v>
      </c>
    </row>
    <row r="674" spans="4:25" x14ac:dyDescent="0.25">
      <c r="D674" s="78">
        <v>426913</v>
      </c>
      <c r="E674" s="78">
        <v>280066590</v>
      </c>
      <c r="F674" s="83" t="s">
        <v>94</v>
      </c>
      <c r="G674" s="1" t="s">
        <v>336</v>
      </c>
      <c r="H674" s="1" t="s">
        <v>14</v>
      </c>
      <c r="I674" s="1" t="s">
        <v>337</v>
      </c>
      <c r="J674" s="1">
        <v>22732750</v>
      </c>
      <c r="K674" s="1">
        <v>227327500</v>
      </c>
      <c r="L674" s="1">
        <v>0</v>
      </c>
      <c r="M674" s="1">
        <v>0</v>
      </c>
      <c r="N674" s="1" t="s">
        <v>251</v>
      </c>
      <c r="O674" s="1">
        <v>0.8</v>
      </c>
      <c r="P674" s="1">
        <v>0.1</v>
      </c>
      <c r="Q674" s="83">
        <v>104808.458</v>
      </c>
      <c r="R674" s="83">
        <v>104808.458</v>
      </c>
      <c r="S674" s="1">
        <v>104808.458</v>
      </c>
      <c r="T674" s="83">
        <v>0</v>
      </c>
      <c r="U674" s="1" t="s">
        <v>122</v>
      </c>
      <c r="V674" s="1" t="s">
        <v>837</v>
      </c>
      <c r="W674" s="1">
        <v>3280.0940773799998</v>
      </c>
      <c r="X674" s="1"/>
      <c r="Y674" s="83" t="str">
        <f>VLOOKUP(LossTable[[#This Row],[Department]],$A$15:$B$40,2,FALSE)</f>
        <v>TP</v>
      </c>
    </row>
    <row r="675" spans="4:25" x14ac:dyDescent="0.25">
      <c r="D675" s="78">
        <v>431320</v>
      </c>
      <c r="E675" s="78">
        <v>280066590</v>
      </c>
      <c r="F675" s="83" t="s">
        <v>94</v>
      </c>
      <c r="G675" s="1" t="s">
        <v>269</v>
      </c>
      <c r="H675" s="1" t="s">
        <v>16</v>
      </c>
      <c r="I675" s="1" t="s">
        <v>342</v>
      </c>
      <c r="J675" s="1">
        <v>542972.55599999998</v>
      </c>
      <c r="K675" s="1">
        <v>6033028.4000000004</v>
      </c>
      <c r="L675" s="1">
        <v>0</v>
      </c>
      <c r="M675" s="1">
        <v>0</v>
      </c>
      <c r="N675" s="1" t="s">
        <v>343</v>
      </c>
      <c r="O675" s="1">
        <v>0.24025046</v>
      </c>
      <c r="P675" s="1">
        <v>0.09</v>
      </c>
      <c r="Q675" s="83">
        <v>25.078499999999998</v>
      </c>
      <c r="R675" s="83">
        <v>25.078499999999998</v>
      </c>
      <c r="S675" s="1">
        <v>25.078499999999998</v>
      </c>
      <c r="T675" s="83">
        <v>0</v>
      </c>
      <c r="U675" s="1" t="s">
        <v>122</v>
      </c>
      <c r="V675" s="1" t="s">
        <v>837</v>
      </c>
      <c r="W675" s="1">
        <v>3280.0940773799998</v>
      </c>
      <c r="X675" s="1"/>
      <c r="Y675" s="83" t="str">
        <f>VLOOKUP(LossTable[[#This Row],[Department]],$A$15:$B$40,2,FALSE)</f>
        <v>TP</v>
      </c>
    </row>
    <row r="676" spans="4:25" x14ac:dyDescent="0.25">
      <c r="D676" s="78">
        <v>431332</v>
      </c>
      <c r="E676" s="78">
        <v>280066590</v>
      </c>
      <c r="F676" s="83" t="s">
        <v>94</v>
      </c>
      <c r="G676" s="1" t="s">
        <v>255</v>
      </c>
      <c r="H676" s="1" t="s">
        <v>16</v>
      </c>
      <c r="I676" s="1" t="s">
        <v>256</v>
      </c>
      <c r="J676" s="1">
        <v>1000000</v>
      </c>
      <c r="K676" s="1">
        <v>10000000</v>
      </c>
      <c r="L676" s="1">
        <v>0</v>
      </c>
      <c r="M676" s="1">
        <v>0</v>
      </c>
      <c r="N676" s="1" t="s">
        <v>257</v>
      </c>
      <c r="O676" s="1">
        <v>0.32499810000000001</v>
      </c>
      <c r="P676" s="1">
        <v>0.1</v>
      </c>
      <c r="Q676" s="83">
        <v>352.012</v>
      </c>
      <c r="R676" s="83">
        <v>352.012</v>
      </c>
      <c r="S676" s="1">
        <v>352.012</v>
      </c>
      <c r="T676" s="83">
        <v>0</v>
      </c>
      <c r="U676" s="1" t="s">
        <v>122</v>
      </c>
      <c r="V676" s="1" t="s">
        <v>837</v>
      </c>
      <c r="W676" s="1">
        <v>3280.0940773799998</v>
      </c>
      <c r="X676" s="1"/>
      <c r="Y676" s="83" t="str">
        <f>VLOOKUP(LossTable[[#This Row],[Department]],$A$15:$B$40,2,FALSE)</f>
        <v>TP</v>
      </c>
    </row>
    <row r="677" spans="4:25" x14ac:dyDescent="0.25">
      <c r="D677" s="78">
        <v>433027</v>
      </c>
      <c r="E677" s="78">
        <v>280066590</v>
      </c>
      <c r="F677" s="83" t="s">
        <v>94</v>
      </c>
      <c r="G677" s="1" t="s">
        <v>367</v>
      </c>
      <c r="H677" s="1" t="s">
        <v>16</v>
      </c>
      <c r="I677" s="1" t="s">
        <v>368</v>
      </c>
      <c r="J677" s="1">
        <v>2000000</v>
      </c>
      <c r="K677" s="1">
        <v>20000000</v>
      </c>
      <c r="L677" s="1">
        <v>0</v>
      </c>
      <c r="M677" s="1">
        <v>0</v>
      </c>
      <c r="N677" s="1" t="s">
        <v>248</v>
      </c>
      <c r="O677" s="1">
        <v>0.58858761999999998</v>
      </c>
      <c r="P677" s="1">
        <v>0.1</v>
      </c>
      <c r="Q677" s="83">
        <v>4377.3789999999999</v>
      </c>
      <c r="R677" s="83">
        <v>4377.3789999999999</v>
      </c>
      <c r="S677" s="1">
        <v>4377.3789999999999</v>
      </c>
      <c r="T677" s="83">
        <v>0</v>
      </c>
      <c r="U677" s="1" t="s">
        <v>122</v>
      </c>
      <c r="V677" s="1" t="s">
        <v>837</v>
      </c>
      <c r="W677" s="1">
        <v>3280.0940773799998</v>
      </c>
      <c r="X677" s="1"/>
      <c r="Y677" s="83" t="str">
        <f>VLOOKUP(LossTable[[#This Row],[Department]],$A$15:$B$40,2,FALSE)</f>
        <v>TP</v>
      </c>
    </row>
    <row r="678" spans="4:25" x14ac:dyDescent="0.25">
      <c r="D678" s="78">
        <v>434017</v>
      </c>
      <c r="E678" s="78">
        <v>280066590</v>
      </c>
      <c r="F678" s="83" t="s">
        <v>94</v>
      </c>
      <c r="G678" s="1" t="s">
        <v>301</v>
      </c>
      <c r="H678" s="1" t="s">
        <v>16</v>
      </c>
      <c r="I678" s="1" t="s">
        <v>369</v>
      </c>
      <c r="J678" s="1">
        <v>337500</v>
      </c>
      <c r="K678" s="1">
        <v>4500000</v>
      </c>
      <c r="L678" s="1">
        <v>0</v>
      </c>
      <c r="M678" s="1">
        <v>0</v>
      </c>
      <c r="N678" s="1" t="s">
        <v>370</v>
      </c>
      <c r="O678" s="1">
        <v>0.30999969999999999</v>
      </c>
      <c r="P678" s="1">
        <v>7.4999999999999997E-2</v>
      </c>
      <c r="Q678" s="83">
        <v>303.42525000000001</v>
      </c>
      <c r="R678" s="83">
        <v>303.42525000000001</v>
      </c>
      <c r="S678" s="1">
        <v>303.42525000000001</v>
      </c>
      <c r="T678" s="83">
        <v>0</v>
      </c>
      <c r="U678" s="1" t="s">
        <v>122</v>
      </c>
      <c r="V678" s="1" t="s">
        <v>837</v>
      </c>
      <c r="W678" s="1">
        <v>3280.0940773799998</v>
      </c>
      <c r="X678" s="1"/>
      <c r="Y678" s="83" t="str">
        <f>VLOOKUP(LossTable[[#This Row],[Department]],$A$15:$B$40,2,FALSE)</f>
        <v>TP</v>
      </c>
    </row>
    <row r="679" spans="4:25" x14ac:dyDescent="0.25">
      <c r="D679" s="78">
        <v>434181</v>
      </c>
      <c r="E679" s="78">
        <v>280066590</v>
      </c>
      <c r="F679" s="83" t="s">
        <v>94</v>
      </c>
      <c r="G679" s="1" t="s">
        <v>382</v>
      </c>
      <c r="H679" s="1" t="s">
        <v>16</v>
      </c>
      <c r="I679" s="1" t="s">
        <v>390</v>
      </c>
      <c r="J679" s="1">
        <v>3300000</v>
      </c>
      <c r="K679" s="1">
        <v>30000000</v>
      </c>
      <c r="L679" s="1">
        <v>0</v>
      </c>
      <c r="M679" s="1">
        <v>0</v>
      </c>
      <c r="N679" s="1" t="s">
        <v>391</v>
      </c>
      <c r="O679" s="1">
        <v>0.17666667</v>
      </c>
      <c r="P679" s="1">
        <v>0.11</v>
      </c>
      <c r="Q679" s="83">
        <v>18398.2634</v>
      </c>
      <c r="R679" s="83">
        <v>18398.2634</v>
      </c>
      <c r="S679" s="1">
        <v>18398.2634</v>
      </c>
      <c r="T679" s="83">
        <v>0</v>
      </c>
      <c r="U679" s="1" t="s">
        <v>122</v>
      </c>
      <c r="V679" s="1" t="s">
        <v>837</v>
      </c>
      <c r="W679" s="1">
        <v>3280.0940773799998</v>
      </c>
      <c r="X679" s="1"/>
      <c r="Y679" s="83" t="str">
        <f>VLOOKUP(LossTable[[#This Row],[Department]],$A$15:$B$40,2,FALSE)</f>
        <v>TP</v>
      </c>
    </row>
    <row r="680" spans="4:25" x14ac:dyDescent="0.25">
      <c r="D680" s="78">
        <v>435399</v>
      </c>
      <c r="E680" s="78">
        <v>280066590</v>
      </c>
      <c r="F680" s="83" t="s">
        <v>94</v>
      </c>
      <c r="G680" s="1" t="s">
        <v>411</v>
      </c>
      <c r="H680" s="1" t="s">
        <v>16</v>
      </c>
      <c r="I680" s="1" t="s">
        <v>412</v>
      </c>
      <c r="J680" s="1">
        <v>1125000</v>
      </c>
      <c r="K680" s="1">
        <v>7500000</v>
      </c>
      <c r="L680" s="1">
        <v>0</v>
      </c>
      <c r="M680" s="1">
        <v>0</v>
      </c>
      <c r="N680" s="1" t="s">
        <v>413</v>
      </c>
      <c r="O680" s="1">
        <v>0.42335519999999999</v>
      </c>
      <c r="P680" s="1">
        <v>0.15</v>
      </c>
      <c r="Q680" s="83">
        <v>9522.9375</v>
      </c>
      <c r="R680" s="83">
        <v>9522.9375</v>
      </c>
      <c r="S680" s="1">
        <v>9522.9375</v>
      </c>
      <c r="T680" s="83">
        <v>0</v>
      </c>
      <c r="U680" s="1" t="s">
        <v>122</v>
      </c>
      <c r="V680" s="1" t="s">
        <v>837</v>
      </c>
      <c r="W680" s="1">
        <v>3280.0940773799998</v>
      </c>
      <c r="X680" s="1"/>
      <c r="Y680" s="83" t="str">
        <f>VLOOKUP(LossTable[[#This Row],[Department]],$A$15:$B$40,2,FALSE)</f>
        <v>TP</v>
      </c>
    </row>
    <row r="681" spans="4:25" x14ac:dyDescent="0.25">
      <c r="D681" s="78">
        <v>436002</v>
      </c>
      <c r="E681" s="78">
        <v>280066590</v>
      </c>
      <c r="F681" s="83" t="s">
        <v>94</v>
      </c>
      <c r="G681" s="1" t="s">
        <v>174</v>
      </c>
      <c r="H681" s="1" t="s">
        <v>14</v>
      </c>
      <c r="I681" s="1" t="s">
        <v>175</v>
      </c>
      <c r="J681" s="1">
        <v>2500000</v>
      </c>
      <c r="K681" s="1">
        <v>250000000</v>
      </c>
      <c r="L681" s="1">
        <v>0</v>
      </c>
      <c r="M681" s="1">
        <v>0</v>
      </c>
      <c r="N681" s="1" t="s">
        <v>150</v>
      </c>
      <c r="O681" s="1">
        <v>1.49105895</v>
      </c>
      <c r="P681" s="1">
        <v>0.01</v>
      </c>
      <c r="Q681" s="83">
        <v>24035.107499999998</v>
      </c>
      <c r="R681" s="83">
        <v>24035.107499999998</v>
      </c>
      <c r="S681" s="1">
        <v>24035.107499999998</v>
      </c>
      <c r="T681" s="83">
        <v>0</v>
      </c>
      <c r="U681" s="1" t="s">
        <v>122</v>
      </c>
      <c r="V681" s="1" t="s">
        <v>837</v>
      </c>
      <c r="W681" s="1">
        <v>3280.0940773799998</v>
      </c>
      <c r="X681" s="1"/>
      <c r="Y681" s="83" t="str">
        <f>VLOOKUP(LossTable[[#This Row],[Department]],$A$15:$B$40,2,FALSE)</f>
        <v>TP</v>
      </c>
    </row>
    <row r="682" spans="4:25" x14ac:dyDescent="0.25">
      <c r="D682" s="78">
        <v>437538</v>
      </c>
      <c r="E682" s="78">
        <v>280066590</v>
      </c>
      <c r="F682" s="83" t="s">
        <v>45</v>
      </c>
      <c r="G682" s="1" t="s">
        <v>462</v>
      </c>
      <c r="H682" s="1" t="s">
        <v>14</v>
      </c>
      <c r="I682" s="1" t="s">
        <v>463</v>
      </c>
      <c r="J682" s="1">
        <v>1725000</v>
      </c>
      <c r="K682" s="1">
        <v>15000000</v>
      </c>
      <c r="L682" s="1">
        <v>0</v>
      </c>
      <c r="M682" s="1">
        <v>0</v>
      </c>
      <c r="N682" s="1" t="s">
        <v>464</v>
      </c>
      <c r="O682" s="1">
        <v>1.77467347</v>
      </c>
      <c r="P682" s="1">
        <v>0.115</v>
      </c>
      <c r="Q682" s="83">
        <v>13229.623</v>
      </c>
      <c r="R682" s="83">
        <v>13229.623</v>
      </c>
      <c r="S682" s="1">
        <v>13229.623</v>
      </c>
      <c r="T682" s="83">
        <v>0</v>
      </c>
      <c r="U682" s="1" t="s">
        <v>122</v>
      </c>
      <c r="V682" s="1" t="s">
        <v>837</v>
      </c>
      <c r="W682" s="1">
        <v>3280.0940773799998</v>
      </c>
      <c r="X682" s="1"/>
      <c r="Y682" s="83" t="str">
        <f>VLOOKUP(LossTable[[#This Row],[Department]],$A$15:$B$40,2,FALSE)</f>
        <v>FP</v>
      </c>
    </row>
    <row r="683" spans="4:25" x14ac:dyDescent="0.25">
      <c r="D683" s="78">
        <v>437854</v>
      </c>
      <c r="E683" s="78">
        <v>280066590</v>
      </c>
      <c r="F683" s="83" t="s">
        <v>94</v>
      </c>
      <c r="G683" s="1" t="s">
        <v>427</v>
      </c>
      <c r="H683" s="1" t="s">
        <v>16</v>
      </c>
      <c r="I683" s="1" t="s">
        <v>428</v>
      </c>
      <c r="J683" s="1">
        <v>500000</v>
      </c>
      <c r="K683" s="1">
        <v>20000000</v>
      </c>
      <c r="L683" s="1">
        <v>0</v>
      </c>
      <c r="M683" s="1">
        <v>0</v>
      </c>
      <c r="N683" s="1" t="s">
        <v>429</v>
      </c>
      <c r="O683" s="1">
        <v>0.6</v>
      </c>
      <c r="P683" s="1">
        <v>2.5000000000000001E-2</v>
      </c>
      <c r="Q683" s="83">
        <v>124.99575</v>
      </c>
      <c r="R683" s="83">
        <v>124.99575</v>
      </c>
      <c r="S683" s="1">
        <v>124.99575</v>
      </c>
      <c r="T683" s="83">
        <v>0</v>
      </c>
      <c r="U683" s="1" t="s">
        <v>122</v>
      </c>
      <c r="V683" s="1" t="s">
        <v>837</v>
      </c>
      <c r="W683" s="1">
        <v>3280.0940773799998</v>
      </c>
      <c r="X683" s="1"/>
      <c r="Y683" s="83" t="str">
        <f>VLOOKUP(LossTable[[#This Row],[Department]],$A$15:$B$40,2,FALSE)</f>
        <v>TP</v>
      </c>
    </row>
    <row r="684" spans="4:25" x14ac:dyDescent="0.25">
      <c r="D684" s="78">
        <v>437880</v>
      </c>
      <c r="E684" s="78">
        <v>280066590</v>
      </c>
      <c r="F684" s="83" t="s">
        <v>45</v>
      </c>
      <c r="G684" s="1" t="s">
        <v>355</v>
      </c>
      <c r="H684" s="1" t="s">
        <v>16</v>
      </c>
      <c r="I684" s="1" t="s">
        <v>366</v>
      </c>
      <c r="J684" s="1">
        <v>5000000</v>
      </c>
      <c r="K684" s="1">
        <v>20000000</v>
      </c>
      <c r="L684" s="1">
        <v>0</v>
      </c>
      <c r="M684" s="1">
        <v>0</v>
      </c>
      <c r="N684" s="1" t="s">
        <v>325</v>
      </c>
      <c r="O684" s="1">
        <v>1.6250000000000001E-2</v>
      </c>
      <c r="P684" s="1">
        <v>0.25</v>
      </c>
      <c r="Q684" s="83">
        <v>511.1</v>
      </c>
      <c r="R684" s="83">
        <v>511.1</v>
      </c>
      <c r="S684" s="1">
        <v>511.1</v>
      </c>
      <c r="T684" s="83">
        <v>0</v>
      </c>
      <c r="U684" s="1" t="s">
        <v>122</v>
      </c>
      <c r="V684" s="1" t="s">
        <v>837</v>
      </c>
      <c r="W684" s="1">
        <v>3280.0940773799998</v>
      </c>
      <c r="X684" s="1"/>
      <c r="Y684" s="83" t="str">
        <f>VLOOKUP(LossTable[[#This Row],[Department]],$A$15:$B$40,2,FALSE)</f>
        <v>FP</v>
      </c>
    </row>
    <row r="685" spans="4:25" x14ac:dyDescent="0.25">
      <c r="D685" s="78">
        <v>438407</v>
      </c>
      <c r="E685" s="78">
        <v>280066590</v>
      </c>
      <c r="F685" s="83" t="s">
        <v>94</v>
      </c>
      <c r="G685" s="1" t="s">
        <v>478</v>
      </c>
      <c r="H685" s="1" t="s">
        <v>14</v>
      </c>
      <c r="I685" s="1" t="s">
        <v>479</v>
      </c>
      <c r="J685" s="1">
        <v>3000000</v>
      </c>
      <c r="K685" s="1">
        <v>200000000</v>
      </c>
      <c r="L685" s="1">
        <v>0</v>
      </c>
      <c r="M685" s="1">
        <v>0</v>
      </c>
      <c r="N685" s="1" t="s">
        <v>142</v>
      </c>
      <c r="O685" s="1">
        <v>1.0506402500000001</v>
      </c>
      <c r="P685" s="1">
        <v>1.4999999999999999E-2</v>
      </c>
      <c r="Q685" s="83">
        <v>88414.165649999995</v>
      </c>
      <c r="R685" s="83">
        <v>88414.165649999995</v>
      </c>
      <c r="S685" s="1">
        <v>88414.165649999995</v>
      </c>
      <c r="T685" s="83">
        <v>0</v>
      </c>
      <c r="U685" s="1" t="s">
        <v>122</v>
      </c>
      <c r="V685" s="1" t="s">
        <v>837</v>
      </c>
      <c r="W685" s="1">
        <v>3280.0940773799998</v>
      </c>
      <c r="X685" s="1"/>
      <c r="Y685" s="83" t="str">
        <f>VLOOKUP(LossTable[[#This Row],[Department]],$A$15:$B$40,2,FALSE)</f>
        <v>TP</v>
      </c>
    </row>
    <row r="686" spans="4:25" x14ac:dyDescent="0.25">
      <c r="D686" s="78">
        <v>439105</v>
      </c>
      <c r="E686" s="78">
        <v>280066590</v>
      </c>
      <c r="F686" s="83" t="s">
        <v>94</v>
      </c>
      <c r="G686" s="1" t="s">
        <v>371</v>
      </c>
      <c r="H686" s="1" t="s">
        <v>14</v>
      </c>
      <c r="I686" s="1" t="s">
        <v>372</v>
      </c>
      <c r="J686" s="1">
        <v>4500000</v>
      </c>
      <c r="K686" s="1">
        <v>30000000</v>
      </c>
      <c r="L686" s="1">
        <v>0</v>
      </c>
      <c r="M686" s="1">
        <v>0</v>
      </c>
      <c r="N686" s="1" t="s">
        <v>373</v>
      </c>
      <c r="O686" s="1">
        <v>1.79433752</v>
      </c>
      <c r="P686" s="1">
        <v>0.15</v>
      </c>
      <c r="Q686" s="83">
        <v>352422.34950000001</v>
      </c>
      <c r="R686" s="83">
        <v>352422.34950000001</v>
      </c>
      <c r="S686" s="1">
        <v>352422.34950000001</v>
      </c>
      <c r="T686" s="83">
        <v>0</v>
      </c>
      <c r="U686" s="1" t="s">
        <v>122</v>
      </c>
      <c r="V686" s="1" t="s">
        <v>837</v>
      </c>
      <c r="W686" s="1">
        <v>3280.0940773799998</v>
      </c>
      <c r="X686" s="1"/>
      <c r="Y686" s="83" t="str">
        <f>VLOOKUP(LossTable[[#This Row],[Department]],$A$15:$B$40,2,FALSE)</f>
        <v>TP</v>
      </c>
    </row>
    <row r="687" spans="4:25" x14ac:dyDescent="0.25">
      <c r="D687" s="78">
        <v>441513</v>
      </c>
      <c r="E687" s="78">
        <v>280066590</v>
      </c>
      <c r="F687" s="83" t="s">
        <v>45</v>
      </c>
      <c r="G687" s="1" t="s">
        <v>378</v>
      </c>
      <c r="H687" s="1" t="s">
        <v>14</v>
      </c>
      <c r="I687" s="1" t="s">
        <v>379</v>
      </c>
      <c r="J687" s="1">
        <v>5229116.5109999999</v>
      </c>
      <c r="K687" s="1">
        <v>34860776.740000002</v>
      </c>
      <c r="L687" s="1">
        <v>0</v>
      </c>
      <c r="M687" s="1">
        <v>0</v>
      </c>
      <c r="N687" s="1" t="s">
        <v>14</v>
      </c>
      <c r="O687" s="1">
        <v>1.08403915</v>
      </c>
      <c r="P687" s="1">
        <v>0.15</v>
      </c>
      <c r="Q687" s="83">
        <v>4524.1260000000002</v>
      </c>
      <c r="R687" s="83">
        <v>4524.1260000000002</v>
      </c>
      <c r="S687" s="1">
        <v>4524.1260000000002</v>
      </c>
      <c r="T687" s="83">
        <v>0</v>
      </c>
      <c r="U687" s="1" t="s">
        <v>122</v>
      </c>
      <c r="V687" s="1" t="s">
        <v>837</v>
      </c>
      <c r="W687" s="1">
        <v>3280.0940773799998</v>
      </c>
      <c r="X687" s="1"/>
      <c r="Y687" s="83" t="str">
        <f>VLOOKUP(LossTable[[#This Row],[Department]],$A$15:$B$40,2,FALSE)</f>
        <v>FP</v>
      </c>
    </row>
    <row r="688" spans="4:25" x14ac:dyDescent="0.25">
      <c r="D688" s="78">
        <v>441843</v>
      </c>
      <c r="E688" s="78">
        <v>280066590</v>
      </c>
      <c r="F688" s="83" t="s">
        <v>94</v>
      </c>
      <c r="G688" s="1" t="s">
        <v>388</v>
      </c>
      <c r="H688" s="1" t="s">
        <v>14</v>
      </c>
      <c r="I688" s="1" t="s">
        <v>389</v>
      </c>
      <c r="J688" s="1">
        <v>3750000</v>
      </c>
      <c r="K688" s="1">
        <v>50000000</v>
      </c>
      <c r="L688" s="1">
        <v>0</v>
      </c>
      <c r="M688" s="1">
        <v>0</v>
      </c>
      <c r="N688" s="1" t="s">
        <v>166</v>
      </c>
      <c r="O688" s="1">
        <v>1.63716916</v>
      </c>
      <c r="P688" s="1">
        <v>7.4999999999999997E-2</v>
      </c>
      <c r="Q688" s="83">
        <v>70140.524999999994</v>
      </c>
      <c r="R688" s="83">
        <v>70140.524999999994</v>
      </c>
      <c r="S688" s="1">
        <v>70140.524999999994</v>
      </c>
      <c r="T688" s="83">
        <v>0</v>
      </c>
      <c r="U688" s="1" t="s">
        <v>122</v>
      </c>
      <c r="V688" s="1" t="s">
        <v>837</v>
      </c>
      <c r="W688" s="1">
        <v>3280.0940773799998</v>
      </c>
      <c r="X688" s="1"/>
      <c r="Y688" s="83" t="str">
        <f>VLOOKUP(LossTable[[#This Row],[Department]],$A$15:$B$40,2,FALSE)</f>
        <v>TP</v>
      </c>
    </row>
    <row r="689" spans="4:25" x14ac:dyDescent="0.25">
      <c r="D689" s="78">
        <v>445340</v>
      </c>
      <c r="E689" s="78">
        <v>280066590</v>
      </c>
      <c r="F689" s="83" t="s">
        <v>94</v>
      </c>
      <c r="G689" s="1" t="s">
        <v>416</v>
      </c>
      <c r="H689" s="1" t="s">
        <v>16</v>
      </c>
      <c r="I689" s="1" t="s">
        <v>487</v>
      </c>
      <c r="J689" s="1">
        <v>6750000</v>
      </c>
      <c r="K689" s="1">
        <v>225000000</v>
      </c>
      <c r="L689" s="1">
        <v>0</v>
      </c>
      <c r="M689" s="1">
        <v>0</v>
      </c>
      <c r="N689" s="1" t="s">
        <v>488</v>
      </c>
      <c r="O689" s="1">
        <v>8.777778E-2</v>
      </c>
      <c r="P689" s="1">
        <v>0.03</v>
      </c>
      <c r="Q689" s="83">
        <v>898.06859999999995</v>
      </c>
      <c r="R689" s="83">
        <v>898.06859999999995</v>
      </c>
      <c r="S689" s="1">
        <v>898.06859999999995</v>
      </c>
      <c r="T689" s="83">
        <v>0</v>
      </c>
      <c r="U689" s="1" t="s">
        <v>122</v>
      </c>
      <c r="V689" s="1" t="s">
        <v>837</v>
      </c>
      <c r="W689" s="1">
        <v>3280.0940773799998</v>
      </c>
      <c r="X689" s="1"/>
      <c r="Y689" s="83" t="str">
        <f>VLOOKUP(LossTable[[#This Row],[Department]],$A$15:$B$40,2,FALSE)</f>
        <v>TP</v>
      </c>
    </row>
    <row r="690" spans="4:25" x14ac:dyDescent="0.25">
      <c r="D690" s="78">
        <v>445986</v>
      </c>
      <c r="E690" s="78">
        <v>280066590</v>
      </c>
      <c r="F690" s="83" t="s">
        <v>94</v>
      </c>
      <c r="G690" s="1" t="s">
        <v>491</v>
      </c>
      <c r="H690" s="1" t="s">
        <v>16</v>
      </c>
      <c r="I690" s="1" t="s">
        <v>492</v>
      </c>
      <c r="J690" s="1">
        <v>594927.44550000003</v>
      </c>
      <c r="K690" s="1">
        <v>11898548.91</v>
      </c>
      <c r="L690" s="1">
        <v>0</v>
      </c>
      <c r="M690" s="1">
        <v>0</v>
      </c>
      <c r="N690" s="1" t="s">
        <v>493</v>
      </c>
      <c r="O690" s="1">
        <v>0.49920335999999998</v>
      </c>
      <c r="P690" s="1">
        <v>0.05</v>
      </c>
      <c r="Q690" s="83">
        <v>1868.6054999999999</v>
      </c>
      <c r="R690" s="83">
        <v>1868.6054999999999</v>
      </c>
      <c r="S690" s="1">
        <v>1868.6054999999999</v>
      </c>
      <c r="T690" s="83">
        <v>0</v>
      </c>
      <c r="U690" s="1" t="s">
        <v>122</v>
      </c>
      <c r="V690" s="1" t="s">
        <v>837</v>
      </c>
      <c r="W690" s="1">
        <v>3280.0940773799998</v>
      </c>
      <c r="X690" s="1"/>
      <c r="Y690" s="83" t="str">
        <f>VLOOKUP(LossTable[[#This Row],[Department]],$A$15:$B$40,2,FALSE)</f>
        <v>TP</v>
      </c>
    </row>
    <row r="691" spans="4:25" x14ac:dyDescent="0.25">
      <c r="D691" s="78">
        <v>446145</v>
      </c>
      <c r="E691" s="78">
        <v>280066590</v>
      </c>
      <c r="F691" s="83" t="s">
        <v>94</v>
      </c>
      <c r="G691" s="1" t="s">
        <v>527</v>
      </c>
      <c r="H691" s="1" t="s">
        <v>16</v>
      </c>
      <c r="I691" s="1" t="s">
        <v>536</v>
      </c>
      <c r="J691" s="1">
        <v>1875000</v>
      </c>
      <c r="K691" s="1">
        <v>75000000</v>
      </c>
      <c r="L691" s="1">
        <v>0</v>
      </c>
      <c r="M691" s="1">
        <v>0</v>
      </c>
      <c r="N691" s="1" t="s">
        <v>122</v>
      </c>
      <c r="O691" s="1">
        <v>0.19903773</v>
      </c>
      <c r="P691" s="1">
        <v>2.5000000000000001E-2</v>
      </c>
      <c r="Q691" s="83">
        <v>65.3035</v>
      </c>
      <c r="R691" s="83">
        <v>65.3035</v>
      </c>
      <c r="S691" s="1">
        <v>65.3035</v>
      </c>
      <c r="T691" s="83">
        <v>0</v>
      </c>
      <c r="U691" s="1" t="s">
        <v>122</v>
      </c>
      <c r="V691" s="1" t="s">
        <v>837</v>
      </c>
      <c r="W691" s="1">
        <v>3280.0940773799998</v>
      </c>
      <c r="X691" s="1"/>
      <c r="Y691" s="83" t="str">
        <f>VLOOKUP(LossTable[[#This Row],[Department]],$A$15:$B$40,2,FALSE)</f>
        <v>TP</v>
      </c>
    </row>
    <row r="692" spans="4:25" x14ac:dyDescent="0.25">
      <c r="D692" s="78">
        <v>446893</v>
      </c>
      <c r="E692" s="78">
        <v>280066590</v>
      </c>
      <c r="F692" s="83" t="s">
        <v>45</v>
      </c>
      <c r="G692" s="1" t="s">
        <v>457</v>
      </c>
      <c r="H692" s="1" t="s">
        <v>16</v>
      </c>
      <c r="I692" s="1" t="s">
        <v>458</v>
      </c>
      <c r="J692" s="1">
        <v>16151628.977281</v>
      </c>
      <c r="K692" s="1">
        <v>193897106.56999999</v>
      </c>
      <c r="L692" s="1">
        <v>0</v>
      </c>
      <c r="M692" s="1">
        <v>0</v>
      </c>
      <c r="N692" s="1" t="s">
        <v>459</v>
      </c>
      <c r="O692" s="1">
        <v>1.1660500000000001E-2</v>
      </c>
      <c r="P692" s="1">
        <v>8.3299999999999999E-2</v>
      </c>
      <c r="Q692" s="83">
        <v>3266.429572</v>
      </c>
      <c r="R692" s="83">
        <v>3266.429572</v>
      </c>
      <c r="S692" s="1">
        <v>3266.429572</v>
      </c>
      <c r="T692" s="83">
        <v>0</v>
      </c>
      <c r="U692" s="1" t="s">
        <v>122</v>
      </c>
      <c r="V692" s="1" t="s">
        <v>837</v>
      </c>
      <c r="W692" s="1">
        <v>3280.0940773799998</v>
      </c>
      <c r="X692" s="1"/>
      <c r="Y692" s="83" t="str">
        <f>VLOOKUP(LossTable[[#This Row],[Department]],$A$15:$B$40,2,FALSE)</f>
        <v>FP</v>
      </c>
    </row>
    <row r="693" spans="4:25" x14ac:dyDescent="0.25">
      <c r="D693" s="78">
        <v>447864</v>
      </c>
      <c r="E693" s="78">
        <v>280066590</v>
      </c>
      <c r="F693" s="83" t="s">
        <v>94</v>
      </c>
      <c r="G693" s="1" t="s">
        <v>489</v>
      </c>
      <c r="H693" s="1" t="s">
        <v>16</v>
      </c>
      <c r="I693" s="1" t="s">
        <v>529</v>
      </c>
      <c r="J693" s="1">
        <v>350000</v>
      </c>
      <c r="K693" s="1">
        <v>10000000</v>
      </c>
      <c r="L693" s="1">
        <v>0</v>
      </c>
      <c r="M693" s="1">
        <v>0</v>
      </c>
      <c r="N693" s="1" t="s">
        <v>257</v>
      </c>
      <c r="O693" s="1">
        <v>0.25</v>
      </c>
      <c r="P693" s="1">
        <v>3.5000000000000003E-2</v>
      </c>
      <c r="Q693" s="83">
        <v>18.133150000000001</v>
      </c>
      <c r="R693" s="83">
        <v>18.133150000000001</v>
      </c>
      <c r="S693" s="1">
        <v>18.133150000000001</v>
      </c>
      <c r="T693" s="83">
        <v>0</v>
      </c>
      <c r="U693" s="1" t="s">
        <v>122</v>
      </c>
      <c r="V693" s="1" t="s">
        <v>837</v>
      </c>
      <c r="W693" s="1">
        <v>3280.0940773799998</v>
      </c>
      <c r="X693" s="1"/>
      <c r="Y693" s="83" t="str">
        <f>VLOOKUP(LossTable[[#This Row],[Department]],$A$15:$B$40,2,FALSE)</f>
        <v>TP</v>
      </c>
    </row>
    <row r="694" spans="4:25" x14ac:dyDescent="0.25">
      <c r="D694" s="78">
        <v>448493</v>
      </c>
      <c r="E694" s="78">
        <v>280066590</v>
      </c>
      <c r="F694" s="83" t="s">
        <v>94</v>
      </c>
      <c r="G694" s="1" t="s">
        <v>533</v>
      </c>
      <c r="H694" s="1" t="s">
        <v>16</v>
      </c>
      <c r="I694" s="1" t="s">
        <v>541</v>
      </c>
      <c r="J694" s="1">
        <v>24000000</v>
      </c>
      <c r="K694" s="1">
        <v>400000000</v>
      </c>
      <c r="L694" s="1">
        <v>0</v>
      </c>
      <c r="M694" s="1">
        <v>0</v>
      </c>
      <c r="N694" s="1" t="s">
        <v>542</v>
      </c>
      <c r="O694" s="1">
        <v>0.105</v>
      </c>
      <c r="P694" s="1">
        <v>0.06</v>
      </c>
      <c r="Q694" s="83">
        <v>20268</v>
      </c>
      <c r="R694" s="83">
        <v>20268</v>
      </c>
      <c r="S694" s="1">
        <v>20268</v>
      </c>
      <c r="T694" s="83">
        <v>0</v>
      </c>
      <c r="U694" s="1" t="s">
        <v>122</v>
      </c>
      <c r="V694" s="1" t="s">
        <v>837</v>
      </c>
      <c r="W694" s="1">
        <v>3280.0940773799998</v>
      </c>
      <c r="X694" s="1"/>
      <c r="Y694" s="83" t="str">
        <f>VLOOKUP(LossTable[[#This Row],[Department]],$A$15:$B$40,2,FALSE)</f>
        <v>TP</v>
      </c>
    </row>
    <row r="695" spans="4:25" x14ac:dyDescent="0.25">
      <c r="D695" s="78">
        <v>458895</v>
      </c>
      <c r="E695" s="78">
        <v>280066590</v>
      </c>
      <c r="F695" s="83" t="s">
        <v>15</v>
      </c>
      <c r="G695" s="1" t="s">
        <v>530</v>
      </c>
      <c r="H695" s="1" t="s">
        <v>14</v>
      </c>
      <c r="I695" s="1" t="s">
        <v>531</v>
      </c>
      <c r="J695" s="1">
        <v>17215620.1601028</v>
      </c>
      <c r="K695" s="1">
        <v>127523112.297058</v>
      </c>
      <c r="L695" s="1">
        <v>0</v>
      </c>
      <c r="M695" s="1">
        <v>0</v>
      </c>
      <c r="N695" s="1" t="s">
        <v>532</v>
      </c>
      <c r="O695" s="1">
        <v>0.66285713999999996</v>
      </c>
      <c r="P695" s="1">
        <v>0.13500000000000001</v>
      </c>
      <c r="Q695" s="83">
        <v>5260.4904823400002</v>
      </c>
      <c r="R695" s="83">
        <v>5260.4904823400002</v>
      </c>
      <c r="S695" s="1">
        <v>5260.4904823400002</v>
      </c>
      <c r="T695" s="83">
        <v>0</v>
      </c>
      <c r="U695" s="1" t="s">
        <v>122</v>
      </c>
      <c r="V695" s="1" t="s">
        <v>837</v>
      </c>
      <c r="W695" s="1">
        <v>3280.0940773799998</v>
      </c>
      <c r="X695" s="1"/>
      <c r="Y695" s="83" t="str">
        <f>VLOOKUP(LossTable[[#This Row],[Department]],$A$15:$B$40,2,FALSE)</f>
        <v>Canada</v>
      </c>
    </row>
    <row r="696" spans="4:25" x14ac:dyDescent="0.25">
      <c r="D696" s="78">
        <v>468836</v>
      </c>
      <c r="E696" s="78">
        <v>280066590</v>
      </c>
      <c r="F696" s="83" t="s">
        <v>94</v>
      </c>
      <c r="G696" s="1" t="s">
        <v>582</v>
      </c>
      <c r="H696" s="1" t="s">
        <v>16</v>
      </c>
      <c r="I696" s="1" t="s">
        <v>635</v>
      </c>
      <c r="J696" s="1">
        <v>300000</v>
      </c>
      <c r="K696" s="1">
        <v>6000000</v>
      </c>
      <c r="L696" s="1">
        <v>0</v>
      </c>
      <c r="M696" s="1">
        <v>0</v>
      </c>
      <c r="N696" s="1" t="s">
        <v>122</v>
      </c>
      <c r="O696" s="1">
        <v>6.9995166700000002</v>
      </c>
      <c r="P696" s="1">
        <v>0.05</v>
      </c>
      <c r="Q696" s="83">
        <v>1024.8320000000001</v>
      </c>
      <c r="R696" s="83">
        <v>1024.8320000000001</v>
      </c>
      <c r="S696" s="1">
        <v>1024.8320000000001</v>
      </c>
      <c r="T696" s="83">
        <v>0</v>
      </c>
      <c r="U696" s="1" t="s">
        <v>122</v>
      </c>
      <c r="V696" s="1" t="s">
        <v>837</v>
      </c>
      <c r="W696" s="1">
        <v>3280.0940773799998</v>
      </c>
      <c r="X696" s="1"/>
      <c r="Y696" s="83" t="str">
        <f>VLOOKUP(LossTable[[#This Row],[Department]],$A$15:$B$40,2,FALSE)</f>
        <v>TP</v>
      </c>
    </row>
    <row r="697" spans="4:25" x14ac:dyDescent="0.25">
      <c r="D697" s="78">
        <v>474074</v>
      </c>
      <c r="E697" s="78">
        <v>280066590</v>
      </c>
      <c r="F697" s="83" t="s">
        <v>94</v>
      </c>
      <c r="G697" s="1" t="s">
        <v>648</v>
      </c>
      <c r="H697" s="1" t="s">
        <v>16</v>
      </c>
      <c r="I697" s="1" t="s">
        <v>657</v>
      </c>
      <c r="J697" s="1">
        <v>450000</v>
      </c>
      <c r="K697" s="1">
        <v>15000000</v>
      </c>
      <c r="L697" s="1">
        <v>0</v>
      </c>
      <c r="M697" s="1">
        <v>0</v>
      </c>
      <c r="N697" s="1" t="s">
        <v>122</v>
      </c>
      <c r="O697" s="1">
        <v>0.29333333</v>
      </c>
      <c r="P697" s="1">
        <v>0.03</v>
      </c>
      <c r="Q697" s="83">
        <v>25.134</v>
      </c>
      <c r="R697" s="83">
        <v>25.134</v>
      </c>
      <c r="S697" s="1">
        <v>25.134</v>
      </c>
      <c r="T697" s="83">
        <v>0</v>
      </c>
      <c r="U697" s="1" t="s">
        <v>122</v>
      </c>
      <c r="V697" s="1" t="s">
        <v>837</v>
      </c>
      <c r="W697" s="1">
        <v>3280.0940773799998</v>
      </c>
      <c r="X697" s="1"/>
      <c r="Y697" s="83" t="str">
        <f>VLOOKUP(LossTable[[#This Row],[Department]],$A$15:$B$40,2,FALSE)</f>
        <v>TP</v>
      </c>
    </row>
    <row r="698" spans="4:25" x14ac:dyDescent="0.25">
      <c r="D698" s="78">
        <v>475344</v>
      </c>
      <c r="E698" s="78">
        <v>280066590</v>
      </c>
      <c r="F698" s="83" t="s">
        <v>21</v>
      </c>
      <c r="G698" s="1" t="s">
        <v>665</v>
      </c>
      <c r="H698" s="1" t="s">
        <v>14</v>
      </c>
      <c r="I698" s="1" t="s">
        <v>666</v>
      </c>
      <c r="J698" s="1">
        <v>15000000</v>
      </c>
      <c r="K698" s="1">
        <v>200000000</v>
      </c>
      <c r="L698" s="1">
        <v>0</v>
      </c>
      <c r="M698" s="1">
        <v>0</v>
      </c>
      <c r="N698" s="1" t="s">
        <v>142</v>
      </c>
      <c r="O698" s="1">
        <v>0.22</v>
      </c>
      <c r="P698" s="1">
        <v>7.4999999999999997E-2</v>
      </c>
      <c r="Q698" s="83">
        <v>2841.4994999999999</v>
      </c>
      <c r="R698" s="83">
        <v>2841.4994999999999</v>
      </c>
      <c r="S698" s="1">
        <v>2841.4994999999999</v>
      </c>
      <c r="T698" s="83">
        <v>0</v>
      </c>
      <c r="U698" s="1" t="s">
        <v>122</v>
      </c>
      <c r="V698" s="1" t="s">
        <v>837</v>
      </c>
      <c r="W698" s="1">
        <v>3280.0940773799998</v>
      </c>
      <c r="X698" s="1"/>
      <c r="Y698" s="83" t="str">
        <f>VLOOKUP(LossTable[[#This Row],[Department]],$A$15:$B$40,2,FALSE)</f>
        <v>London</v>
      </c>
    </row>
    <row r="699" spans="4:25" x14ac:dyDescent="0.25">
      <c r="D699" s="78">
        <v>477139</v>
      </c>
      <c r="E699" s="78">
        <v>280066590</v>
      </c>
      <c r="F699" s="83" t="s">
        <v>95</v>
      </c>
      <c r="G699" s="1" t="s">
        <v>697</v>
      </c>
      <c r="H699" s="1" t="s">
        <v>14</v>
      </c>
      <c r="I699" s="1" t="s">
        <v>698</v>
      </c>
      <c r="J699" s="1">
        <v>7216882.2856000001</v>
      </c>
      <c r="K699" s="1">
        <v>180422057.13999999</v>
      </c>
      <c r="L699" s="1">
        <v>0</v>
      </c>
      <c r="M699" s="1">
        <v>0</v>
      </c>
      <c r="N699" s="1" t="s">
        <v>122</v>
      </c>
      <c r="O699" s="1">
        <v>0.79228986999999995</v>
      </c>
      <c r="P699" s="1">
        <v>0.04</v>
      </c>
      <c r="Q699" s="83">
        <v>2304.1604000000002</v>
      </c>
      <c r="R699" s="83">
        <v>2304.1604000000002</v>
      </c>
      <c r="S699" s="1">
        <v>2304.1604000000002</v>
      </c>
      <c r="T699" s="83">
        <v>0</v>
      </c>
      <c r="U699" s="1" t="s">
        <v>122</v>
      </c>
      <c r="V699" s="1" t="s">
        <v>837</v>
      </c>
      <c r="W699" s="1">
        <v>3280.0940773799998</v>
      </c>
      <c r="X699" s="1"/>
      <c r="Y699" s="83" t="str">
        <f>VLOOKUP(LossTable[[#This Row],[Department]],$A$15:$B$40,2,FALSE)</f>
        <v>Dublin</v>
      </c>
    </row>
    <row r="700" spans="4:25" x14ac:dyDescent="0.25">
      <c r="D700" s="78">
        <v>483214</v>
      </c>
      <c r="E700" s="78">
        <v>280066590</v>
      </c>
      <c r="F700" s="83" t="s">
        <v>94</v>
      </c>
      <c r="G700" s="1" t="s">
        <v>715</v>
      </c>
      <c r="H700" s="1" t="s">
        <v>16</v>
      </c>
      <c r="I700" s="1" t="s">
        <v>716</v>
      </c>
      <c r="J700" s="1">
        <v>3000000</v>
      </c>
      <c r="K700" s="1">
        <v>40000000</v>
      </c>
      <c r="L700" s="1">
        <v>0</v>
      </c>
      <c r="M700" s="1">
        <v>0</v>
      </c>
      <c r="N700" s="1" t="s">
        <v>122</v>
      </c>
      <c r="O700" s="1">
        <v>9.9936960000000005E-2</v>
      </c>
      <c r="P700" s="1">
        <v>7.4999999999999997E-2</v>
      </c>
      <c r="Q700" s="83">
        <v>29.954249999999998</v>
      </c>
      <c r="R700" s="83">
        <v>29.954249999999998</v>
      </c>
      <c r="S700" s="1">
        <v>29.954249999999998</v>
      </c>
      <c r="T700" s="83">
        <v>0</v>
      </c>
      <c r="U700" s="1" t="s">
        <v>122</v>
      </c>
      <c r="V700" s="1" t="s">
        <v>837</v>
      </c>
      <c r="W700" s="1">
        <v>3280.0940773799998</v>
      </c>
      <c r="X700" s="1"/>
      <c r="Y700" s="83" t="str">
        <f>VLOOKUP(LossTable[[#This Row],[Department]],$A$15:$B$40,2,FALSE)</f>
        <v>TP</v>
      </c>
    </row>
    <row r="701" spans="4:25" x14ac:dyDescent="0.25">
      <c r="D701" s="78">
        <v>483530</v>
      </c>
      <c r="E701" s="78">
        <v>280066590</v>
      </c>
      <c r="F701" s="83" t="s">
        <v>94</v>
      </c>
      <c r="G701" s="1" t="s">
        <v>726</v>
      </c>
      <c r="H701" s="1" t="s">
        <v>14</v>
      </c>
      <c r="I701" s="1" t="s">
        <v>727</v>
      </c>
      <c r="J701" s="1">
        <v>99996000</v>
      </c>
      <c r="K701" s="1">
        <v>1950000000</v>
      </c>
      <c r="L701" s="1">
        <v>0</v>
      </c>
      <c r="M701" s="1">
        <v>0</v>
      </c>
      <c r="N701" s="1" t="s">
        <v>122</v>
      </c>
      <c r="O701" s="1">
        <v>0.12830200999999999</v>
      </c>
      <c r="P701" s="1">
        <v>5.1279999999999999E-2</v>
      </c>
      <c r="Q701" s="83">
        <v>50181.336256000002</v>
      </c>
      <c r="R701" s="83">
        <v>50181.336256000002</v>
      </c>
      <c r="S701" s="1">
        <v>50181.336256000002</v>
      </c>
      <c r="T701" s="83">
        <v>0</v>
      </c>
      <c r="U701" s="1" t="s">
        <v>122</v>
      </c>
      <c r="V701" s="1" t="s">
        <v>837</v>
      </c>
      <c r="W701" s="1">
        <v>3280.0940773799998</v>
      </c>
      <c r="X701" s="1"/>
      <c r="Y701" s="83" t="str">
        <f>VLOOKUP(LossTable[[#This Row],[Department]],$A$15:$B$40,2,FALSE)</f>
        <v>TP</v>
      </c>
    </row>
    <row r="702" spans="4:25" x14ac:dyDescent="0.25">
      <c r="D702" s="78">
        <v>484261</v>
      </c>
      <c r="E702" s="78">
        <v>280066590</v>
      </c>
      <c r="F702" s="83" t="s">
        <v>94</v>
      </c>
      <c r="G702" s="1" t="s">
        <v>686</v>
      </c>
      <c r="H702" s="1" t="s">
        <v>16</v>
      </c>
      <c r="I702" s="1" t="s">
        <v>687</v>
      </c>
      <c r="J702" s="1">
        <v>8000000</v>
      </c>
      <c r="K702" s="1">
        <v>200000000</v>
      </c>
      <c r="L702" s="1">
        <v>0</v>
      </c>
      <c r="M702" s="1">
        <v>0</v>
      </c>
      <c r="N702" s="1" t="s">
        <v>122</v>
      </c>
      <c r="O702" s="1">
        <v>0.18</v>
      </c>
      <c r="P702" s="1">
        <v>0.04</v>
      </c>
      <c r="Q702" s="83">
        <v>15808.7724</v>
      </c>
      <c r="R702" s="83">
        <v>15808.7724</v>
      </c>
      <c r="S702" s="1">
        <v>15808.7724</v>
      </c>
      <c r="T702" s="83">
        <v>0</v>
      </c>
      <c r="U702" s="1" t="s">
        <v>122</v>
      </c>
      <c r="V702" s="1" t="s">
        <v>837</v>
      </c>
      <c r="W702" s="1">
        <v>3280.0940773799998</v>
      </c>
      <c r="X702" s="1"/>
      <c r="Y702" s="83" t="str">
        <f>VLOOKUP(LossTable[[#This Row],[Department]],$A$15:$B$40,2,FALSE)</f>
        <v>TP</v>
      </c>
    </row>
    <row r="703" spans="4:25" x14ac:dyDescent="0.25">
      <c r="D703" s="78">
        <v>486037</v>
      </c>
      <c r="E703" s="78">
        <v>280066590</v>
      </c>
      <c r="F703" s="83" t="s">
        <v>127</v>
      </c>
      <c r="G703" s="1" t="s">
        <v>737</v>
      </c>
      <c r="H703" s="1" t="s">
        <v>14</v>
      </c>
      <c r="I703" s="1" t="s">
        <v>136</v>
      </c>
      <c r="J703" s="1">
        <v>1012412391.53</v>
      </c>
      <c r="K703" s="1">
        <v>1012412391.53</v>
      </c>
      <c r="L703" s="1">
        <v>0</v>
      </c>
      <c r="M703" s="1">
        <v>0</v>
      </c>
      <c r="N703" s="1" t="s">
        <v>14</v>
      </c>
      <c r="O703" s="1">
        <v>2.1730299999999998E-3</v>
      </c>
      <c r="P703" s="1">
        <v>1</v>
      </c>
      <c r="Q703" s="83">
        <v>159305.76999999999</v>
      </c>
      <c r="R703" s="83">
        <v>159305.76999999999</v>
      </c>
      <c r="S703" s="1">
        <v>159305.76999999999</v>
      </c>
      <c r="T703" s="83">
        <v>0</v>
      </c>
      <c r="U703" s="1" t="s">
        <v>122</v>
      </c>
      <c r="V703" s="1" t="s">
        <v>837</v>
      </c>
      <c r="W703" s="1">
        <v>3280.0940773799998</v>
      </c>
      <c r="X703" s="1"/>
      <c r="Y703" s="83" t="str">
        <f>VLOOKUP(LossTable[[#This Row],[Department]],$A$15:$B$40,2,FALSE)</f>
        <v>Insurance</v>
      </c>
    </row>
    <row r="704" spans="4:25" x14ac:dyDescent="0.25">
      <c r="D704" s="78">
        <v>108</v>
      </c>
      <c r="E704" s="78">
        <v>280066590</v>
      </c>
      <c r="F704" s="83" t="s">
        <v>86</v>
      </c>
      <c r="G704" s="1" t="s">
        <v>217</v>
      </c>
      <c r="H704" s="1" t="s">
        <v>16</v>
      </c>
      <c r="I704" s="1" t="s">
        <v>217</v>
      </c>
      <c r="J704" s="1">
        <v>27010805.971677601</v>
      </c>
      <c r="K704" s="1">
        <v>0</v>
      </c>
      <c r="L704" s="1">
        <v>0</v>
      </c>
      <c r="M704" s="1">
        <v>0</v>
      </c>
      <c r="N704" s="1" t="s">
        <v>44</v>
      </c>
      <c r="O704" s="1">
        <v>0</v>
      </c>
      <c r="P704" s="1">
        <v>1</v>
      </c>
      <c r="Q704" s="83">
        <v>187.56989999999999</v>
      </c>
      <c r="R704" s="83">
        <v>187.56989999999999</v>
      </c>
      <c r="S704" s="1">
        <v>187.56989999999999</v>
      </c>
      <c r="T704" s="83">
        <v>0</v>
      </c>
      <c r="U704" s="1" t="s">
        <v>122</v>
      </c>
      <c r="V704" s="1" t="s">
        <v>837</v>
      </c>
      <c r="W704" s="1">
        <v>3280.0940773799998</v>
      </c>
      <c r="X704" s="1"/>
      <c r="Y704" s="83" t="str">
        <f>VLOOKUP(LossTable[[#This Row],[Department]],$A$15:$B$40,2,FALSE)</f>
        <v>FP</v>
      </c>
    </row>
    <row r="705" spans="4:25" x14ac:dyDescent="0.25">
      <c r="D705" s="78">
        <v>120</v>
      </c>
      <c r="E705" s="78">
        <v>280066590</v>
      </c>
      <c r="F705" s="83" t="s">
        <v>92</v>
      </c>
      <c r="G705" s="1" t="s">
        <v>220</v>
      </c>
      <c r="H705" s="1" t="s">
        <v>16</v>
      </c>
      <c r="I705" s="1" t="s">
        <v>220</v>
      </c>
      <c r="J705" s="1">
        <v>4157913.60481088</v>
      </c>
      <c r="K705" s="1">
        <v>0</v>
      </c>
      <c r="L705" s="1">
        <v>0</v>
      </c>
      <c r="M705" s="1">
        <v>0</v>
      </c>
      <c r="N705" s="1" t="s">
        <v>44</v>
      </c>
      <c r="O705" s="1">
        <v>0</v>
      </c>
      <c r="P705" s="1">
        <v>1</v>
      </c>
      <c r="Q705" s="83">
        <v>1966.321958</v>
      </c>
      <c r="R705" s="83">
        <v>1966.321958</v>
      </c>
      <c r="S705" s="1">
        <v>1966.321958</v>
      </c>
      <c r="T705" s="83">
        <v>0</v>
      </c>
      <c r="U705" s="1" t="s">
        <v>122</v>
      </c>
      <c r="V705" s="1" t="s">
        <v>837</v>
      </c>
      <c r="W705" s="1">
        <v>3280.0940773799998</v>
      </c>
      <c r="X705" s="1"/>
      <c r="Y705" s="83" t="str">
        <f>VLOOKUP(LossTable[[#This Row],[Department]],$A$15:$B$40,2,FALSE)</f>
        <v>FP</v>
      </c>
    </row>
    <row r="706" spans="4:25" x14ac:dyDescent="0.25">
      <c r="D706" s="78">
        <v>127</v>
      </c>
      <c r="E706" s="78">
        <v>280066590</v>
      </c>
      <c r="F706" s="83" t="s">
        <v>92</v>
      </c>
      <c r="G706" s="1" t="s">
        <v>220</v>
      </c>
      <c r="H706" s="1" t="s">
        <v>16</v>
      </c>
      <c r="I706" s="1" t="s">
        <v>220</v>
      </c>
      <c r="J706" s="1">
        <v>84868955.288334802</v>
      </c>
      <c r="K706" s="1">
        <v>0</v>
      </c>
      <c r="L706" s="1">
        <v>0</v>
      </c>
      <c r="M706" s="1">
        <v>0</v>
      </c>
      <c r="N706" s="1" t="s">
        <v>44</v>
      </c>
      <c r="O706" s="1">
        <v>0</v>
      </c>
      <c r="P706" s="1">
        <v>1</v>
      </c>
      <c r="Q706" s="83">
        <v>682.87352699999997</v>
      </c>
      <c r="R706" s="83">
        <v>682.87352699999997</v>
      </c>
      <c r="S706" s="1">
        <v>682.87352699999997</v>
      </c>
      <c r="T706" s="83">
        <v>0</v>
      </c>
      <c r="U706" s="1" t="s">
        <v>122</v>
      </c>
      <c r="V706" s="1" t="s">
        <v>837</v>
      </c>
      <c r="W706" s="1">
        <v>3280.0940773799998</v>
      </c>
      <c r="X706" s="1"/>
      <c r="Y706" s="83" t="str">
        <f>VLOOKUP(LossTable[[#This Row],[Department]],$A$15:$B$40,2,FALSE)</f>
        <v>FP</v>
      </c>
    </row>
    <row r="707" spans="4:25" x14ac:dyDescent="0.25">
      <c r="D707" s="78">
        <v>139</v>
      </c>
      <c r="E707" s="78">
        <v>280066590</v>
      </c>
      <c r="F707" s="83" t="s">
        <v>45</v>
      </c>
      <c r="G707" s="1" t="s">
        <v>46</v>
      </c>
      <c r="H707" s="1" t="s">
        <v>16</v>
      </c>
      <c r="I707" s="1" t="s">
        <v>46</v>
      </c>
      <c r="J707" s="1">
        <v>66506138</v>
      </c>
      <c r="K707" s="1">
        <v>0</v>
      </c>
      <c r="L707" s="1">
        <v>0</v>
      </c>
      <c r="M707" s="1">
        <v>0</v>
      </c>
      <c r="N707" s="1" t="s">
        <v>44</v>
      </c>
      <c r="O707" s="1">
        <v>0</v>
      </c>
      <c r="P707" s="1">
        <v>1</v>
      </c>
      <c r="Q707" s="83">
        <v>11515.501464000001</v>
      </c>
      <c r="R707" s="83">
        <v>11515.501464000001</v>
      </c>
      <c r="S707" s="1">
        <v>11515.501464000001</v>
      </c>
      <c r="T707" s="83">
        <v>0</v>
      </c>
      <c r="U707" s="1" t="s">
        <v>122</v>
      </c>
      <c r="V707" s="1" t="s">
        <v>837</v>
      </c>
      <c r="W707" s="1">
        <v>3280.0940773799998</v>
      </c>
      <c r="X707" s="1"/>
      <c r="Y707" s="83" t="str">
        <f>VLOOKUP(LossTable[[#This Row],[Department]],$A$15:$B$40,2,FALSE)</f>
        <v>FP</v>
      </c>
    </row>
    <row r="708" spans="4:25" x14ac:dyDescent="0.25">
      <c r="D708" s="78">
        <v>146</v>
      </c>
      <c r="E708" s="78">
        <v>280066590</v>
      </c>
      <c r="F708" s="83" t="s">
        <v>45</v>
      </c>
      <c r="G708" s="1" t="s">
        <v>46</v>
      </c>
      <c r="H708" s="1" t="s">
        <v>16</v>
      </c>
      <c r="I708" s="1" t="s">
        <v>46</v>
      </c>
      <c r="J708" s="1">
        <v>1299970306</v>
      </c>
      <c r="K708" s="1">
        <v>0</v>
      </c>
      <c r="L708" s="1">
        <v>0</v>
      </c>
      <c r="M708" s="1">
        <v>0</v>
      </c>
      <c r="N708" s="1" t="s">
        <v>44</v>
      </c>
      <c r="O708" s="1">
        <v>0</v>
      </c>
      <c r="P708" s="1">
        <v>1</v>
      </c>
      <c r="Q708" s="83">
        <v>86417.704555999997</v>
      </c>
      <c r="R708" s="83">
        <v>86417.704555999997</v>
      </c>
      <c r="S708" s="1">
        <v>86417.704555999997</v>
      </c>
      <c r="T708" s="83">
        <v>0</v>
      </c>
      <c r="U708" s="1" t="s">
        <v>122</v>
      </c>
      <c r="V708" s="1" t="s">
        <v>837</v>
      </c>
      <c r="W708" s="1">
        <v>3280.0940773799998</v>
      </c>
      <c r="X708" s="1"/>
      <c r="Y708" s="83" t="str">
        <f>VLOOKUP(LossTable[[#This Row],[Department]],$A$15:$B$40,2,FALSE)</f>
        <v>FP</v>
      </c>
    </row>
    <row r="709" spans="4:25" x14ac:dyDescent="0.25">
      <c r="D709" s="78">
        <v>139885</v>
      </c>
      <c r="E709" s="78">
        <v>280066590</v>
      </c>
      <c r="F709" s="83" t="s">
        <v>87</v>
      </c>
      <c r="G709" s="1" t="s">
        <v>123</v>
      </c>
      <c r="H709" s="1" t="s">
        <v>14</v>
      </c>
      <c r="I709" s="1" t="s">
        <v>124</v>
      </c>
      <c r="J709" s="1">
        <v>1127187540.1500001</v>
      </c>
      <c r="K709" s="1">
        <v>1127187540.1500001</v>
      </c>
      <c r="L709" s="1">
        <v>0</v>
      </c>
      <c r="M709" s="1">
        <v>0</v>
      </c>
      <c r="N709" s="1" t="s">
        <v>14</v>
      </c>
      <c r="O709" s="1">
        <v>0.10623199</v>
      </c>
      <c r="P709" s="1">
        <v>1</v>
      </c>
      <c r="Q709" s="83">
        <v>1069808.08</v>
      </c>
      <c r="R709" s="83">
        <v>1069808.08</v>
      </c>
      <c r="S709" s="1">
        <v>1069808.08</v>
      </c>
      <c r="T709" s="83">
        <v>0</v>
      </c>
      <c r="U709" s="1" t="s">
        <v>122</v>
      </c>
      <c r="V709" s="1" t="s">
        <v>837</v>
      </c>
      <c r="W709" s="1">
        <v>3280.0940773799998</v>
      </c>
      <c r="X709" s="1"/>
      <c r="Y709" s="83" t="str">
        <f>VLOOKUP(LossTable[[#This Row],[Department]],$A$15:$B$40,2,FALSE)</f>
        <v>Insurance</v>
      </c>
    </row>
    <row r="710" spans="4:25" x14ac:dyDescent="0.25">
      <c r="D710" s="78">
        <v>276751</v>
      </c>
      <c r="E710" s="78">
        <v>280066590</v>
      </c>
      <c r="F710" s="83" t="s">
        <v>87</v>
      </c>
      <c r="G710" s="1" t="s">
        <v>241</v>
      </c>
      <c r="H710" s="1" t="s">
        <v>14</v>
      </c>
      <c r="I710" s="1" t="s">
        <v>222</v>
      </c>
      <c r="J710" s="1">
        <v>118073386.87</v>
      </c>
      <c r="K710" s="1">
        <v>118073386.87</v>
      </c>
      <c r="L710" s="1">
        <v>0</v>
      </c>
      <c r="M710" s="1">
        <v>0</v>
      </c>
      <c r="N710" s="1" t="s">
        <v>14</v>
      </c>
      <c r="O710" s="1">
        <v>0.11010101999999999</v>
      </c>
      <c r="P710" s="1">
        <v>1</v>
      </c>
      <c r="Q710" s="83">
        <v>13131.48</v>
      </c>
      <c r="R710" s="83">
        <v>13131.48</v>
      </c>
      <c r="S710" s="1">
        <v>13131.48</v>
      </c>
      <c r="T710" s="83">
        <v>0</v>
      </c>
      <c r="U710" s="1" t="s">
        <v>122</v>
      </c>
      <c r="V710" s="1" t="s">
        <v>837</v>
      </c>
      <c r="W710" s="1">
        <v>3280.0940773799998</v>
      </c>
      <c r="X710" s="1"/>
      <c r="Y710" s="83" t="str">
        <f>VLOOKUP(LossTable[[#This Row],[Department]],$A$15:$B$40,2,FALSE)</f>
        <v>Insurance</v>
      </c>
    </row>
    <row r="711" spans="4:25" x14ac:dyDescent="0.25">
      <c r="D711" s="78">
        <v>359086</v>
      </c>
      <c r="E711" s="78">
        <v>280066590</v>
      </c>
      <c r="F711" s="83" t="s">
        <v>100</v>
      </c>
      <c r="G711" s="1" t="s">
        <v>147</v>
      </c>
      <c r="H711" s="1" t="s">
        <v>14</v>
      </c>
      <c r="I711" s="1" t="s">
        <v>148</v>
      </c>
      <c r="J711" s="1">
        <v>-21336730.800000001</v>
      </c>
      <c r="K711" s="1">
        <v>-21336730.800000001</v>
      </c>
      <c r="L711" s="1">
        <v>0</v>
      </c>
      <c r="M711" s="1">
        <v>0</v>
      </c>
      <c r="N711" s="1" t="s">
        <v>14</v>
      </c>
      <c r="O711" s="1">
        <v>0</v>
      </c>
      <c r="P711" s="1">
        <v>1</v>
      </c>
      <c r="Q711" s="83">
        <v>0</v>
      </c>
      <c r="R711" s="83">
        <v>0</v>
      </c>
      <c r="S711" s="1">
        <v>-1957.56</v>
      </c>
      <c r="T711" s="83">
        <v>0</v>
      </c>
      <c r="U711" s="1" t="s">
        <v>122</v>
      </c>
      <c r="V711" s="1" t="s">
        <v>837</v>
      </c>
      <c r="W711" s="1">
        <v>3280.0940773799998</v>
      </c>
      <c r="X711" s="1"/>
      <c r="Y711" s="83" t="str">
        <f>VLOOKUP(LossTable[[#This Row],[Department]],$A$15:$B$40,2,FALSE)</f>
        <v>EI Recovery^</v>
      </c>
    </row>
    <row r="712" spans="4:25" x14ac:dyDescent="0.25">
      <c r="D712" s="78">
        <v>388342</v>
      </c>
      <c r="E712" s="78">
        <v>280066590</v>
      </c>
      <c r="F712" s="83" t="s">
        <v>100</v>
      </c>
      <c r="G712" s="1" t="s">
        <v>145</v>
      </c>
      <c r="H712" s="1" t="s">
        <v>14</v>
      </c>
      <c r="I712" s="1" t="s">
        <v>146</v>
      </c>
      <c r="J712" s="1">
        <v>-337886333.38</v>
      </c>
      <c r="K712" s="1">
        <v>-337886333.38</v>
      </c>
      <c r="L712" s="1">
        <v>0</v>
      </c>
      <c r="M712" s="1">
        <v>0</v>
      </c>
      <c r="N712" s="1" t="s">
        <v>14</v>
      </c>
      <c r="O712" s="1">
        <v>0</v>
      </c>
      <c r="P712" s="1">
        <v>1</v>
      </c>
      <c r="Q712" s="83">
        <v>0</v>
      </c>
      <c r="R712" s="83">
        <v>0</v>
      </c>
      <c r="S712" s="1">
        <v>-804711.49</v>
      </c>
      <c r="T712" s="83">
        <v>0</v>
      </c>
      <c r="U712" s="1" t="s">
        <v>122</v>
      </c>
      <c r="V712" s="1" t="s">
        <v>837</v>
      </c>
      <c r="W712" s="1">
        <v>3280.0940773799998</v>
      </c>
      <c r="X712" s="1"/>
      <c r="Y712" s="83" t="str">
        <f>VLOOKUP(LossTable[[#This Row],[Department]],$A$15:$B$40,2,FALSE)</f>
        <v>EI Recovery^</v>
      </c>
    </row>
    <row r="713" spans="4:25" x14ac:dyDescent="0.25">
      <c r="D713" s="78">
        <v>107</v>
      </c>
      <c r="E713" s="78">
        <v>280014790</v>
      </c>
      <c r="F713" s="83" t="s">
        <v>86</v>
      </c>
      <c r="G713" s="1" t="s">
        <v>217</v>
      </c>
      <c r="H713" s="1" t="s">
        <v>16</v>
      </c>
      <c r="I713" s="1" t="s">
        <v>217</v>
      </c>
      <c r="J713" s="1">
        <v>112658565.33570901</v>
      </c>
      <c r="K713" s="1">
        <v>0</v>
      </c>
      <c r="L713" s="1">
        <v>0</v>
      </c>
      <c r="M713" s="1">
        <v>0</v>
      </c>
      <c r="N713" s="1" t="s">
        <v>44</v>
      </c>
      <c r="O713" s="1">
        <v>0</v>
      </c>
      <c r="P713" s="1">
        <v>1</v>
      </c>
      <c r="Q713" s="83">
        <v>1812.240691</v>
      </c>
      <c r="R713" s="83">
        <v>1812.240691</v>
      </c>
      <c r="S713" s="1">
        <v>1812.240691</v>
      </c>
      <c r="T713" s="83">
        <v>0</v>
      </c>
      <c r="U713" s="1" t="s">
        <v>122</v>
      </c>
      <c r="V713" s="1" t="s">
        <v>836</v>
      </c>
      <c r="W713" s="1">
        <v>4781.60363426</v>
      </c>
      <c r="X713" s="1"/>
      <c r="Y713" s="83" t="str">
        <f>VLOOKUP(LossTable[[#This Row],[Department]],$A$15:$B$40,2,FALSE)</f>
        <v>FP</v>
      </c>
    </row>
    <row r="714" spans="4:25" x14ac:dyDescent="0.25">
      <c r="D714" s="78">
        <v>112</v>
      </c>
      <c r="E714" s="78">
        <v>280014790</v>
      </c>
      <c r="F714" s="83" t="s">
        <v>42</v>
      </c>
      <c r="G714" s="1" t="s">
        <v>43</v>
      </c>
      <c r="H714" s="1" t="s">
        <v>16</v>
      </c>
      <c r="I714" s="1" t="s">
        <v>43</v>
      </c>
      <c r="J714" s="1">
        <v>689002647.25189602</v>
      </c>
      <c r="K714" s="1">
        <v>0</v>
      </c>
      <c r="L714" s="1">
        <v>0</v>
      </c>
      <c r="M714" s="1">
        <v>0</v>
      </c>
      <c r="N714" s="1" t="s">
        <v>44</v>
      </c>
      <c r="O714" s="1">
        <v>0</v>
      </c>
      <c r="P714" s="1">
        <v>1</v>
      </c>
      <c r="Q714" s="83">
        <v>858.55448799999999</v>
      </c>
      <c r="R714" s="83">
        <v>858.55448799999999</v>
      </c>
      <c r="S714" s="1">
        <v>858.55448799999999</v>
      </c>
      <c r="T714" s="83">
        <v>0</v>
      </c>
      <c r="U714" s="1" t="s">
        <v>122</v>
      </c>
      <c r="V714" s="1" t="s">
        <v>836</v>
      </c>
      <c r="W714" s="1">
        <v>4781.60363426</v>
      </c>
      <c r="X714" s="1"/>
      <c r="Y714" s="83" t="str">
        <f>VLOOKUP(LossTable[[#This Row],[Department]],$A$15:$B$40,2,FALSE)</f>
        <v>FP</v>
      </c>
    </row>
    <row r="715" spans="4:25" x14ac:dyDescent="0.25">
      <c r="D715" s="78">
        <v>119</v>
      </c>
      <c r="E715" s="78">
        <v>280014790</v>
      </c>
      <c r="F715" s="83" t="s">
        <v>42</v>
      </c>
      <c r="G715" s="1" t="s">
        <v>43</v>
      </c>
      <c r="H715" s="1" t="s">
        <v>16</v>
      </c>
      <c r="I715" s="1" t="s">
        <v>43</v>
      </c>
      <c r="J715" s="1">
        <v>140720073.28258401</v>
      </c>
      <c r="K715" s="1">
        <v>0</v>
      </c>
      <c r="L715" s="1">
        <v>0</v>
      </c>
      <c r="M715" s="1">
        <v>0</v>
      </c>
      <c r="N715" s="1" t="s">
        <v>44</v>
      </c>
      <c r="O715" s="1">
        <v>0</v>
      </c>
      <c r="P715" s="1">
        <v>1</v>
      </c>
      <c r="Q715" s="83">
        <v>1390.456747</v>
      </c>
      <c r="R715" s="83">
        <v>1390.456747</v>
      </c>
      <c r="S715" s="1">
        <v>1390.456747</v>
      </c>
      <c r="T715" s="83">
        <v>0</v>
      </c>
      <c r="U715" s="1" t="s">
        <v>122</v>
      </c>
      <c r="V715" s="1" t="s">
        <v>836</v>
      </c>
      <c r="W715" s="1">
        <v>4781.60363426</v>
      </c>
      <c r="X715" s="1"/>
      <c r="Y715" s="83" t="str">
        <f>VLOOKUP(LossTable[[#This Row],[Department]],$A$15:$B$40,2,FALSE)</f>
        <v>FP</v>
      </c>
    </row>
    <row r="716" spans="4:25" x14ac:dyDescent="0.25">
      <c r="D716" s="78">
        <v>126</v>
      </c>
      <c r="E716" s="78">
        <v>280014790</v>
      </c>
      <c r="F716" s="83" t="s">
        <v>92</v>
      </c>
      <c r="G716" s="1" t="s">
        <v>220</v>
      </c>
      <c r="H716" s="1" t="s">
        <v>16</v>
      </c>
      <c r="I716" s="1" t="s">
        <v>220</v>
      </c>
      <c r="J716" s="1">
        <v>48587349.7713634</v>
      </c>
      <c r="K716" s="1">
        <v>0</v>
      </c>
      <c r="L716" s="1">
        <v>0</v>
      </c>
      <c r="M716" s="1">
        <v>0</v>
      </c>
      <c r="N716" s="1" t="s">
        <v>44</v>
      </c>
      <c r="O716" s="1">
        <v>0</v>
      </c>
      <c r="P716" s="1">
        <v>1</v>
      </c>
      <c r="Q716" s="83">
        <v>1174.2232650000001</v>
      </c>
      <c r="R716" s="83">
        <v>1174.2232650000001</v>
      </c>
      <c r="S716" s="1">
        <v>1174.2232650000001</v>
      </c>
      <c r="T716" s="83">
        <v>0</v>
      </c>
      <c r="U716" s="1" t="s">
        <v>122</v>
      </c>
      <c r="V716" s="1" t="s">
        <v>836</v>
      </c>
      <c r="W716" s="1">
        <v>4781.60363426</v>
      </c>
      <c r="X716" s="1"/>
      <c r="Y716" s="83" t="str">
        <f>VLOOKUP(LossTable[[#This Row],[Department]],$A$15:$B$40,2,FALSE)</f>
        <v>FP</v>
      </c>
    </row>
    <row r="717" spans="4:25" x14ac:dyDescent="0.25">
      <c r="D717" s="78">
        <v>131</v>
      </c>
      <c r="E717" s="78">
        <v>280014790</v>
      </c>
      <c r="F717" s="83" t="s">
        <v>218</v>
      </c>
      <c r="G717" s="1" t="s">
        <v>219</v>
      </c>
      <c r="H717" s="1" t="s">
        <v>16</v>
      </c>
      <c r="I717" s="1" t="s">
        <v>219</v>
      </c>
      <c r="J717" s="1">
        <v>16348609.506002501</v>
      </c>
      <c r="K717" s="1">
        <v>0</v>
      </c>
      <c r="L717" s="1">
        <v>0</v>
      </c>
      <c r="M717" s="1">
        <v>0</v>
      </c>
      <c r="N717" s="1" t="s">
        <v>44</v>
      </c>
      <c r="O717" s="1">
        <v>0</v>
      </c>
      <c r="P717" s="1">
        <v>1</v>
      </c>
      <c r="Q717" s="83">
        <v>32.464199999999998</v>
      </c>
      <c r="R717" s="83">
        <v>32.464199999999998</v>
      </c>
      <c r="S717" s="1">
        <v>32.464199999999998</v>
      </c>
      <c r="T717" s="83">
        <v>0</v>
      </c>
      <c r="U717" s="1" t="s">
        <v>122</v>
      </c>
      <c r="V717" s="1" t="s">
        <v>836</v>
      </c>
      <c r="W717" s="1">
        <v>4781.60363426</v>
      </c>
      <c r="X717" s="1"/>
      <c r="Y717" s="83" t="e">
        <f>VLOOKUP(LossTable[[#This Row],[Department]],$A$15:$B$40,2,FALSE)</f>
        <v>#N/A</v>
      </c>
    </row>
    <row r="718" spans="4:25" x14ac:dyDescent="0.25">
      <c r="D718" s="78">
        <v>138</v>
      </c>
      <c r="E718" s="78">
        <v>280014790</v>
      </c>
      <c r="F718" s="83" t="s">
        <v>45</v>
      </c>
      <c r="G718" s="1" t="s">
        <v>46</v>
      </c>
      <c r="H718" s="1" t="s">
        <v>16</v>
      </c>
      <c r="I718" s="1" t="s">
        <v>46</v>
      </c>
      <c r="J718" s="1">
        <v>25670000</v>
      </c>
      <c r="K718" s="1">
        <v>0</v>
      </c>
      <c r="L718" s="1">
        <v>0</v>
      </c>
      <c r="M718" s="1">
        <v>0</v>
      </c>
      <c r="N718" s="1" t="s">
        <v>44</v>
      </c>
      <c r="O718" s="1">
        <v>0</v>
      </c>
      <c r="P718" s="1">
        <v>1</v>
      </c>
      <c r="Q718" s="83">
        <v>120.21980000000001</v>
      </c>
      <c r="R718" s="83">
        <v>120.21980000000001</v>
      </c>
      <c r="S718" s="1">
        <v>120.21980000000001</v>
      </c>
      <c r="T718" s="83">
        <v>0</v>
      </c>
      <c r="U718" s="1" t="s">
        <v>122</v>
      </c>
      <c r="V718" s="1" t="s">
        <v>836</v>
      </c>
      <c r="W718" s="1">
        <v>4781.60363426</v>
      </c>
      <c r="X718" s="1"/>
      <c r="Y718" s="83" t="str">
        <f>VLOOKUP(LossTable[[#This Row],[Department]],$A$15:$B$40,2,FALSE)</f>
        <v>FP</v>
      </c>
    </row>
    <row r="719" spans="4:25" x14ac:dyDescent="0.25">
      <c r="D719" s="78">
        <v>145</v>
      </c>
      <c r="E719" s="78">
        <v>280014790</v>
      </c>
      <c r="F719" s="83" t="s">
        <v>45</v>
      </c>
      <c r="G719" s="1" t="s">
        <v>46</v>
      </c>
      <c r="H719" s="1" t="s">
        <v>16</v>
      </c>
      <c r="I719" s="1" t="s">
        <v>46</v>
      </c>
      <c r="J719" s="1">
        <v>1930756483</v>
      </c>
      <c r="K719" s="1">
        <v>0</v>
      </c>
      <c r="L719" s="1">
        <v>0</v>
      </c>
      <c r="M719" s="1">
        <v>0</v>
      </c>
      <c r="N719" s="1" t="s">
        <v>44</v>
      </c>
      <c r="O719" s="1">
        <v>0</v>
      </c>
      <c r="P719" s="1">
        <v>1</v>
      </c>
      <c r="Q719" s="83">
        <v>285654.67478100001</v>
      </c>
      <c r="R719" s="83">
        <v>285654.67478100001</v>
      </c>
      <c r="S719" s="1">
        <v>285654.67478100001</v>
      </c>
      <c r="T719" s="83">
        <v>0</v>
      </c>
      <c r="U719" s="1" t="s">
        <v>122</v>
      </c>
      <c r="V719" s="1" t="s">
        <v>836</v>
      </c>
      <c r="W719" s="1">
        <v>4781.60363426</v>
      </c>
      <c r="X719" s="1"/>
      <c r="Y719" s="83" t="str">
        <f>VLOOKUP(LossTable[[#This Row],[Department]],$A$15:$B$40,2,FALSE)</f>
        <v>FP</v>
      </c>
    </row>
    <row r="720" spans="4:25" x14ac:dyDescent="0.25">
      <c r="D720" s="78">
        <v>48044</v>
      </c>
      <c r="E720" s="78">
        <v>280014790</v>
      </c>
      <c r="F720" s="83" t="s">
        <v>87</v>
      </c>
      <c r="G720" s="1" t="s">
        <v>226</v>
      </c>
      <c r="H720" s="1" t="s">
        <v>14</v>
      </c>
      <c r="I720" s="1" t="s">
        <v>227</v>
      </c>
      <c r="J720" s="1">
        <v>324867092.31</v>
      </c>
      <c r="K720" s="1">
        <v>324867092.31</v>
      </c>
      <c r="L720" s="1">
        <v>0</v>
      </c>
      <c r="M720" s="1">
        <v>0</v>
      </c>
      <c r="N720" s="1" t="s">
        <v>14</v>
      </c>
      <c r="O720" s="1">
        <v>0.55811878999999998</v>
      </c>
      <c r="P720" s="1">
        <v>1</v>
      </c>
      <c r="Q720" s="83">
        <v>2145993.09</v>
      </c>
      <c r="R720" s="83">
        <v>2145993.09</v>
      </c>
      <c r="S720" s="1">
        <v>2145993.09</v>
      </c>
      <c r="T720" s="83">
        <v>0</v>
      </c>
      <c r="U720" s="1" t="s">
        <v>122</v>
      </c>
      <c r="V720" s="1" t="s">
        <v>836</v>
      </c>
      <c r="W720" s="1">
        <v>4781.60363426</v>
      </c>
      <c r="X720" s="1"/>
      <c r="Y720" s="83" t="str">
        <f>VLOOKUP(LossTable[[#This Row],[Department]],$A$15:$B$40,2,FALSE)</f>
        <v>Insurance</v>
      </c>
    </row>
    <row r="721" spans="4:25" x14ac:dyDescent="0.25">
      <c r="D721" s="78">
        <v>326486</v>
      </c>
      <c r="E721" s="78">
        <v>280014790</v>
      </c>
      <c r="F721" s="83" t="s">
        <v>87</v>
      </c>
      <c r="G721" s="1" t="s">
        <v>239</v>
      </c>
      <c r="H721" s="1" t="s">
        <v>14</v>
      </c>
      <c r="I721" s="1" t="s">
        <v>240</v>
      </c>
      <c r="J721" s="1">
        <v>32450004.57</v>
      </c>
      <c r="K721" s="1">
        <v>32450004.57</v>
      </c>
      <c r="L721" s="1">
        <v>0</v>
      </c>
      <c r="M721" s="1">
        <v>0</v>
      </c>
      <c r="N721" s="1" t="s">
        <v>14</v>
      </c>
      <c r="O721" s="1">
        <v>6.1633269999999997E-2</v>
      </c>
      <c r="P721" s="1">
        <v>1</v>
      </c>
      <c r="Q721" s="83">
        <v>35638.559999999998</v>
      </c>
      <c r="R721" s="83">
        <v>35638.559999999998</v>
      </c>
      <c r="S721" s="1">
        <v>35638.559999999998</v>
      </c>
      <c r="T721" s="83">
        <v>0</v>
      </c>
      <c r="U721" s="1" t="s">
        <v>122</v>
      </c>
      <c r="V721" s="1" t="s">
        <v>836</v>
      </c>
      <c r="W721" s="1">
        <v>4781.60363426</v>
      </c>
      <c r="X721" s="1"/>
      <c r="Y721" s="83" t="str">
        <f>VLOOKUP(LossTable[[#This Row],[Department]],$A$15:$B$40,2,FALSE)</f>
        <v>Insurance</v>
      </c>
    </row>
    <row r="722" spans="4:25" x14ac:dyDescent="0.25">
      <c r="D722" s="78">
        <v>420178</v>
      </c>
      <c r="E722" s="78">
        <v>280014790</v>
      </c>
      <c r="F722" s="83" t="s">
        <v>94</v>
      </c>
      <c r="G722" s="1" t="s">
        <v>170</v>
      </c>
      <c r="H722" s="1" t="s">
        <v>16</v>
      </c>
      <c r="I722" s="1" t="s">
        <v>242</v>
      </c>
      <c r="J722" s="1">
        <v>704434.61609999998</v>
      </c>
      <c r="K722" s="1">
        <v>15654102.58</v>
      </c>
      <c r="L722" s="1">
        <v>0</v>
      </c>
      <c r="M722" s="1">
        <v>0</v>
      </c>
      <c r="N722" s="1" t="s">
        <v>243</v>
      </c>
      <c r="O722" s="1">
        <v>0.21496517000000001</v>
      </c>
      <c r="P722" s="1">
        <v>4.4999999999999998E-2</v>
      </c>
      <c r="Q722" s="83">
        <v>52.71255</v>
      </c>
      <c r="R722" s="83">
        <v>52.71255</v>
      </c>
      <c r="S722" s="1">
        <v>52.71255</v>
      </c>
      <c r="T722" s="83">
        <v>0</v>
      </c>
      <c r="U722" s="1" t="s">
        <v>122</v>
      </c>
      <c r="V722" s="1" t="s">
        <v>836</v>
      </c>
      <c r="W722" s="1">
        <v>4781.60363426</v>
      </c>
      <c r="X722" s="1"/>
      <c r="Y722" s="83" t="str">
        <f>VLOOKUP(LossTable[[#This Row],[Department]],$A$15:$B$40,2,FALSE)</f>
        <v>TP</v>
      </c>
    </row>
    <row r="723" spans="4:25" x14ac:dyDescent="0.25">
      <c r="D723" s="78">
        <v>424644</v>
      </c>
      <c r="E723" s="78">
        <v>280014790</v>
      </c>
      <c r="F723" s="83" t="s">
        <v>100</v>
      </c>
      <c r="G723" s="1" t="s">
        <v>230</v>
      </c>
      <c r="H723" s="1" t="s">
        <v>14</v>
      </c>
      <c r="I723" s="1" t="s">
        <v>231</v>
      </c>
      <c r="J723" s="1">
        <v>-11501738.939999999</v>
      </c>
      <c r="K723" s="1">
        <v>-11501738.939999999</v>
      </c>
      <c r="L723" s="1">
        <v>0</v>
      </c>
      <c r="M723" s="1">
        <v>0</v>
      </c>
      <c r="N723" s="1" t="s">
        <v>14</v>
      </c>
      <c r="O723" s="1">
        <v>0</v>
      </c>
      <c r="P723" s="1">
        <v>1</v>
      </c>
      <c r="Q723" s="83">
        <v>0</v>
      </c>
      <c r="R723" s="83">
        <v>0</v>
      </c>
      <c r="S723" s="1">
        <v>-18.03</v>
      </c>
      <c r="T723" s="83">
        <v>0</v>
      </c>
      <c r="U723" s="1" t="s">
        <v>122</v>
      </c>
      <c r="V723" s="1" t="s">
        <v>836</v>
      </c>
      <c r="W723" s="1">
        <v>4781.60363426</v>
      </c>
      <c r="X723" s="1"/>
      <c r="Y723" s="83" t="str">
        <f>VLOOKUP(LossTable[[#This Row],[Department]],$A$15:$B$40,2,FALSE)</f>
        <v>EI Recovery^</v>
      </c>
    </row>
    <row r="724" spans="4:25" x14ac:dyDescent="0.25">
      <c r="D724" s="78">
        <v>431319</v>
      </c>
      <c r="E724" s="78">
        <v>280014790</v>
      </c>
      <c r="F724" s="83" t="s">
        <v>94</v>
      </c>
      <c r="G724" s="1" t="s">
        <v>269</v>
      </c>
      <c r="H724" s="1" t="s">
        <v>16</v>
      </c>
      <c r="I724" s="1" t="s">
        <v>270</v>
      </c>
      <c r="J724" s="1">
        <v>817989.91020000004</v>
      </c>
      <c r="K724" s="1">
        <v>9088776.7799999993</v>
      </c>
      <c r="L724" s="1">
        <v>0</v>
      </c>
      <c r="M724" s="1">
        <v>0</v>
      </c>
      <c r="N724" s="1" t="s">
        <v>271</v>
      </c>
      <c r="O724" s="1">
        <v>1.07922893</v>
      </c>
      <c r="P724" s="1">
        <v>0.09</v>
      </c>
      <c r="Q724" s="83">
        <v>1190.4138</v>
      </c>
      <c r="R724" s="83">
        <v>1190.4138</v>
      </c>
      <c r="S724" s="1">
        <v>1190.4138</v>
      </c>
      <c r="T724" s="83">
        <v>0</v>
      </c>
      <c r="U724" s="1" t="s">
        <v>122</v>
      </c>
      <c r="V724" s="1" t="s">
        <v>836</v>
      </c>
      <c r="W724" s="1">
        <v>4781.60363426</v>
      </c>
      <c r="X724" s="1"/>
      <c r="Y724" s="83" t="str">
        <f>VLOOKUP(LossTable[[#This Row],[Department]],$A$15:$B$40,2,FALSE)</f>
        <v>TP</v>
      </c>
    </row>
    <row r="725" spans="4:25" x14ac:dyDescent="0.25">
      <c r="D725" s="78">
        <v>431801</v>
      </c>
      <c r="E725" s="78">
        <v>280014790</v>
      </c>
      <c r="F725" s="83" t="s">
        <v>94</v>
      </c>
      <c r="G725" s="1" t="s">
        <v>272</v>
      </c>
      <c r="H725" s="1" t="s">
        <v>16</v>
      </c>
      <c r="I725" s="1" t="s">
        <v>294</v>
      </c>
      <c r="J725" s="1">
        <v>1500000</v>
      </c>
      <c r="K725" s="1">
        <v>15000000</v>
      </c>
      <c r="L725" s="1">
        <v>0</v>
      </c>
      <c r="M725" s="1">
        <v>0</v>
      </c>
      <c r="N725" s="1" t="s">
        <v>295</v>
      </c>
      <c r="O725" s="1">
        <v>0.12</v>
      </c>
      <c r="P725" s="1">
        <v>0.1</v>
      </c>
      <c r="Q725" s="83">
        <v>97.459000000000003</v>
      </c>
      <c r="R725" s="83">
        <v>97.459000000000003</v>
      </c>
      <c r="S725" s="1">
        <v>97.459000000000003</v>
      </c>
      <c r="T725" s="83">
        <v>0</v>
      </c>
      <c r="U725" s="1" t="s">
        <v>122</v>
      </c>
      <c r="V725" s="1" t="s">
        <v>836</v>
      </c>
      <c r="W725" s="1">
        <v>4781.60363426</v>
      </c>
      <c r="X725" s="1"/>
      <c r="Y725" s="83" t="str">
        <f>VLOOKUP(LossTable[[#This Row],[Department]],$A$15:$B$40,2,FALSE)</f>
        <v>TP</v>
      </c>
    </row>
    <row r="726" spans="4:25" x14ac:dyDescent="0.25">
      <c r="D726" s="78">
        <v>434180</v>
      </c>
      <c r="E726" s="78">
        <v>280014790</v>
      </c>
      <c r="F726" s="83" t="s">
        <v>94</v>
      </c>
      <c r="G726" s="1" t="s">
        <v>382</v>
      </c>
      <c r="H726" s="1" t="s">
        <v>16</v>
      </c>
      <c r="I726" s="1" t="s">
        <v>383</v>
      </c>
      <c r="J726" s="1">
        <v>1000000</v>
      </c>
      <c r="K726" s="1">
        <v>10000000</v>
      </c>
      <c r="L726" s="1">
        <v>0</v>
      </c>
      <c r="M726" s="1">
        <v>0</v>
      </c>
      <c r="N726" s="1" t="s">
        <v>257</v>
      </c>
      <c r="O726" s="1">
        <v>1.05</v>
      </c>
      <c r="P726" s="1">
        <v>0.1</v>
      </c>
      <c r="Q726" s="83">
        <v>28720.15</v>
      </c>
      <c r="R726" s="83">
        <v>28720.15</v>
      </c>
      <c r="S726" s="1">
        <v>28720.15</v>
      </c>
      <c r="T726" s="83">
        <v>0</v>
      </c>
      <c r="U726" s="1" t="s">
        <v>122</v>
      </c>
      <c r="V726" s="1" t="s">
        <v>836</v>
      </c>
      <c r="W726" s="1">
        <v>4781.60363426</v>
      </c>
      <c r="X726" s="1"/>
      <c r="Y726" s="83" t="str">
        <f>VLOOKUP(LossTable[[#This Row],[Department]],$A$15:$B$40,2,FALSE)</f>
        <v>TP</v>
      </c>
    </row>
    <row r="727" spans="4:25" x14ac:dyDescent="0.25">
      <c r="D727" s="78">
        <v>435835</v>
      </c>
      <c r="E727" s="78">
        <v>280014790</v>
      </c>
      <c r="F727" s="83" t="s">
        <v>94</v>
      </c>
      <c r="G727" s="1" t="s">
        <v>167</v>
      </c>
      <c r="H727" s="1" t="s">
        <v>14</v>
      </c>
      <c r="I727" s="1" t="s">
        <v>168</v>
      </c>
      <c r="J727" s="1">
        <v>26250000</v>
      </c>
      <c r="K727" s="1">
        <v>375000000</v>
      </c>
      <c r="L727" s="1">
        <v>0</v>
      </c>
      <c r="M727" s="1">
        <v>0</v>
      </c>
      <c r="N727" s="1" t="s">
        <v>169</v>
      </c>
      <c r="O727" s="1">
        <v>0.95251441000000003</v>
      </c>
      <c r="P727" s="1">
        <v>7.0000000000000007E-2</v>
      </c>
      <c r="Q727" s="83">
        <v>433970.73090000002</v>
      </c>
      <c r="R727" s="83">
        <v>433970.73090000002</v>
      </c>
      <c r="S727" s="1">
        <v>433970.73090000002</v>
      </c>
      <c r="T727" s="83">
        <v>0</v>
      </c>
      <c r="U727" s="1" t="s">
        <v>122</v>
      </c>
      <c r="V727" s="1" t="s">
        <v>836</v>
      </c>
      <c r="W727" s="1">
        <v>4781.60363426</v>
      </c>
      <c r="X727" s="1"/>
      <c r="Y727" s="83" t="str">
        <f>VLOOKUP(LossTable[[#This Row],[Department]],$A$15:$B$40,2,FALSE)</f>
        <v>TP</v>
      </c>
    </row>
    <row r="728" spans="4:25" x14ac:dyDescent="0.25">
      <c r="D728" s="78">
        <v>436977</v>
      </c>
      <c r="E728" s="78">
        <v>280014790</v>
      </c>
      <c r="F728" s="83" t="s">
        <v>45</v>
      </c>
      <c r="G728" s="1" t="s">
        <v>358</v>
      </c>
      <c r="H728" s="1" t="s">
        <v>16</v>
      </c>
      <c r="I728" s="1" t="s">
        <v>359</v>
      </c>
      <c r="J728" s="1">
        <v>5174783.8514999999</v>
      </c>
      <c r="K728" s="1">
        <v>68997118.019999996</v>
      </c>
      <c r="L728" s="1">
        <v>0</v>
      </c>
      <c r="M728" s="1">
        <v>0</v>
      </c>
      <c r="N728" s="1" t="s">
        <v>360</v>
      </c>
      <c r="O728" s="1">
        <v>0.45</v>
      </c>
      <c r="P728" s="1">
        <v>7.4999999999999997E-2</v>
      </c>
      <c r="Q728" s="83">
        <v>39557.636250000003</v>
      </c>
      <c r="R728" s="83">
        <v>39557.636250000003</v>
      </c>
      <c r="S728" s="1">
        <v>39557.636250000003</v>
      </c>
      <c r="T728" s="83">
        <v>0</v>
      </c>
      <c r="U728" s="1" t="s">
        <v>122</v>
      </c>
      <c r="V728" s="1" t="s">
        <v>836</v>
      </c>
      <c r="W728" s="1">
        <v>4781.60363426</v>
      </c>
      <c r="X728" s="1"/>
      <c r="Y728" s="83" t="str">
        <f>VLOOKUP(LossTable[[#This Row],[Department]],$A$15:$B$40,2,FALSE)</f>
        <v>FP</v>
      </c>
    </row>
    <row r="729" spans="4:25" x14ac:dyDescent="0.25">
      <c r="D729" s="78">
        <v>437010</v>
      </c>
      <c r="E729" s="78">
        <v>280014790</v>
      </c>
      <c r="F729" s="83" t="s">
        <v>94</v>
      </c>
      <c r="G729" s="1" t="s">
        <v>818</v>
      </c>
      <c r="H729" s="1" t="s">
        <v>13</v>
      </c>
      <c r="I729" s="1" t="s">
        <v>819</v>
      </c>
      <c r="J729" s="1">
        <v>2062500</v>
      </c>
      <c r="K729" s="1">
        <v>37500000</v>
      </c>
      <c r="L729" s="1">
        <v>22500000</v>
      </c>
      <c r="M729" s="1">
        <v>0</v>
      </c>
      <c r="N729" s="1" t="s">
        <v>820</v>
      </c>
      <c r="O729" s="1">
        <v>0.16250000000000001</v>
      </c>
      <c r="P729" s="1">
        <v>5.5E-2</v>
      </c>
      <c r="Q729" s="83">
        <v>668773.16165000002</v>
      </c>
      <c r="R729" s="83">
        <v>395394.10870137898</v>
      </c>
      <c r="S729" s="1">
        <v>395394.10870137898</v>
      </c>
      <c r="T729" s="83">
        <v>64251.413046080001</v>
      </c>
      <c r="U729" s="1" t="s">
        <v>122</v>
      </c>
      <c r="V729" s="1" t="s">
        <v>836</v>
      </c>
      <c r="W729" s="1">
        <v>4781.60363426</v>
      </c>
      <c r="X729" s="1"/>
      <c r="Y729" s="83" t="str">
        <f>VLOOKUP(LossTable[[#This Row],[Department]],$A$15:$B$40,2,FALSE)</f>
        <v>TP</v>
      </c>
    </row>
    <row r="730" spans="4:25" x14ac:dyDescent="0.25">
      <c r="D730" s="78">
        <v>438221</v>
      </c>
      <c r="E730" s="78">
        <v>280014790</v>
      </c>
      <c r="F730" s="83" t="s">
        <v>12</v>
      </c>
      <c r="G730" s="1" t="s">
        <v>186</v>
      </c>
      <c r="H730" s="1" t="s">
        <v>14</v>
      </c>
      <c r="I730" s="1" t="s">
        <v>187</v>
      </c>
      <c r="J730" s="1">
        <v>22336875</v>
      </c>
      <c r="K730" s="1">
        <v>99275000</v>
      </c>
      <c r="L730" s="1">
        <v>0</v>
      </c>
      <c r="M730" s="1">
        <v>0</v>
      </c>
      <c r="N730" s="1" t="s">
        <v>122</v>
      </c>
      <c r="O730" s="1">
        <v>0.67357942000000004</v>
      </c>
      <c r="P730" s="1">
        <v>0.22500000000000001</v>
      </c>
      <c r="Q730" s="83">
        <v>105894.738</v>
      </c>
      <c r="R730" s="83">
        <v>105894.738</v>
      </c>
      <c r="S730" s="1">
        <v>105894.738</v>
      </c>
      <c r="T730" s="83">
        <v>0</v>
      </c>
      <c r="U730" s="1" t="s">
        <v>122</v>
      </c>
      <c r="V730" s="1" t="s">
        <v>836</v>
      </c>
      <c r="W730" s="1">
        <v>4781.60363426</v>
      </c>
      <c r="X730" s="1"/>
      <c r="Y730" s="83" t="str">
        <f>VLOOKUP(LossTable[[#This Row],[Department]],$A$15:$B$40,2,FALSE)</f>
        <v>Bermuda</v>
      </c>
    </row>
    <row r="731" spans="4:25" x14ac:dyDescent="0.25">
      <c r="D731" s="78">
        <v>442927</v>
      </c>
      <c r="E731" s="78">
        <v>280014790</v>
      </c>
      <c r="F731" s="83" t="s">
        <v>94</v>
      </c>
      <c r="G731" s="1" t="s">
        <v>419</v>
      </c>
      <c r="H731" s="1" t="s">
        <v>14</v>
      </c>
      <c r="I731" s="1" t="s">
        <v>420</v>
      </c>
      <c r="J731" s="1">
        <v>4000000</v>
      </c>
      <c r="K731" s="1">
        <v>40000000</v>
      </c>
      <c r="L731" s="1">
        <v>0</v>
      </c>
      <c r="M731" s="1">
        <v>0</v>
      </c>
      <c r="N731" s="1" t="s">
        <v>400</v>
      </c>
      <c r="O731" s="1">
        <v>3.10336597</v>
      </c>
      <c r="P731" s="1">
        <v>0.1</v>
      </c>
      <c r="Q731" s="83">
        <v>3151509.0210000002</v>
      </c>
      <c r="R731" s="83">
        <v>3151509.0210000002</v>
      </c>
      <c r="S731" s="1">
        <v>3151509.0210000002</v>
      </c>
      <c r="T731" s="83">
        <v>0</v>
      </c>
      <c r="U731" s="1" t="s">
        <v>122</v>
      </c>
      <c r="V731" s="1" t="s">
        <v>836</v>
      </c>
      <c r="W731" s="1">
        <v>4781.60363426</v>
      </c>
      <c r="X731" s="1"/>
      <c r="Y731" s="83" t="str">
        <f>VLOOKUP(LossTable[[#This Row],[Department]],$A$15:$B$40,2,FALSE)</f>
        <v>TP</v>
      </c>
    </row>
    <row r="732" spans="4:25" x14ac:dyDescent="0.25">
      <c r="D732" s="78">
        <v>443948</v>
      </c>
      <c r="E732" s="78">
        <v>280014790</v>
      </c>
      <c r="F732" s="83" t="s">
        <v>45</v>
      </c>
      <c r="G732" s="1" t="s">
        <v>361</v>
      </c>
      <c r="H732" s="1" t="s">
        <v>16</v>
      </c>
      <c r="I732" s="1" t="s">
        <v>443</v>
      </c>
      <c r="J732" s="1">
        <v>6000000</v>
      </c>
      <c r="K732" s="1">
        <v>30000000</v>
      </c>
      <c r="L732" s="1">
        <v>0</v>
      </c>
      <c r="M732" s="1">
        <v>0</v>
      </c>
      <c r="N732" s="1" t="s">
        <v>444</v>
      </c>
      <c r="O732" s="1">
        <v>2.1666669999999999E-2</v>
      </c>
      <c r="P732" s="1">
        <v>0.2</v>
      </c>
      <c r="Q732" s="83">
        <v>601.70399999999995</v>
      </c>
      <c r="R732" s="83">
        <v>601.70399999999995</v>
      </c>
      <c r="S732" s="1">
        <v>601.70399999999995</v>
      </c>
      <c r="T732" s="83">
        <v>0</v>
      </c>
      <c r="U732" s="1" t="s">
        <v>122</v>
      </c>
      <c r="V732" s="1" t="s">
        <v>836</v>
      </c>
      <c r="W732" s="1">
        <v>4781.60363426</v>
      </c>
      <c r="X732" s="1"/>
      <c r="Y732" s="83" t="str">
        <f>VLOOKUP(LossTable[[#This Row],[Department]],$A$15:$B$40,2,FALSE)</f>
        <v>FP</v>
      </c>
    </row>
    <row r="733" spans="4:25" x14ac:dyDescent="0.25">
      <c r="D733" s="78">
        <v>444836</v>
      </c>
      <c r="E733" s="78">
        <v>280014790</v>
      </c>
      <c r="F733" s="83" t="s">
        <v>92</v>
      </c>
      <c r="G733" s="1" t="s">
        <v>848</v>
      </c>
      <c r="H733" s="1" t="s">
        <v>14</v>
      </c>
      <c r="I733" s="1" t="s">
        <v>849</v>
      </c>
      <c r="J733" s="1">
        <v>13215622.007846801</v>
      </c>
      <c r="K733" s="1">
        <v>176208293.437958</v>
      </c>
      <c r="L733" s="1">
        <v>0</v>
      </c>
      <c r="M733" s="1">
        <v>0</v>
      </c>
      <c r="N733" s="1" t="s">
        <v>161</v>
      </c>
      <c r="O733" s="1">
        <v>3.378888E-2</v>
      </c>
      <c r="P733" s="1">
        <v>7.4999999999999997E-2</v>
      </c>
      <c r="Q733" s="83">
        <v>2.0959976500000002</v>
      </c>
      <c r="R733" s="83">
        <v>2.0959976500000002</v>
      </c>
      <c r="S733" s="1">
        <v>2.0959976500000002</v>
      </c>
      <c r="T733" s="83">
        <v>0</v>
      </c>
      <c r="U733" s="1" t="s">
        <v>122</v>
      </c>
      <c r="V733" s="1" t="s">
        <v>836</v>
      </c>
      <c r="W733" s="1">
        <v>4781.60363426</v>
      </c>
      <c r="X733" s="1"/>
      <c r="Y733" s="83" t="str">
        <f>VLOOKUP(LossTable[[#This Row],[Department]],$A$15:$B$40,2,FALSE)</f>
        <v>FP</v>
      </c>
    </row>
    <row r="734" spans="4:25" x14ac:dyDescent="0.25">
      <c r="D734" s="78">
        <v>444855</v>
      </c>
      <c r="E734" s="78">
        <v>280014790</v>
      </c>
      <c r="F734" s="83" t="s">
        <v>45</v>
      </c>
      <c r="G734" s="1" t="s">
        <v>405</v>
      </c>
      <c r="H734" s="1" t="s">
        <v>16</v>
      </c>
      <c r="I734" s="1" t="s">
        <v>406</v>
      </c>
      <c r="J734" s="1">
        <v>2500000</v>
      </c>
      <c r="K734" s="1">
        <v>25000000</v>
      </c>
      <c r="L734" s="1">
        <v>0</v>
      </c>
      <c r="M734" s="1">
        <v>0</v>
      </c>
      <c r="N734" s="1" t="s">
        <v>407</v>
      </c>
      <c r="O734" s="1">
        <v>0.19889999999999999</v>
      </c>
      <c r="P734" s="1">
        <v>0.1</v>
      </c>
      <c r="Q734" s="83">
        <v>2392.712</v>
      </c>
      <c r="R734" s="83">
        <v>2392.712</v>
      </c>
      <c r="S734" s="1">
        <v>2392.712</v>
      </c>
      <c r="T734" s="83">
        <v>0</v>
      </c>
      <c r="U734" s="1" t="s">
        <v>122</v>
      </c>
      <c r="V734" s="1" t="s">
        <v>836</v>
      </c>
      <c r="W734" s="1">
        <v>4781.60363426</v>
      </c>
      <c r="X734" s="1"/>
      <c r="Y734" s="83" t="str">
        <f>VLOOKUP(LossTable[[#This Row],[Department]],$A$15:$B$40,2,FALSE)</f>
        <v>FP</v>
      </c>
    </row>
    <row r="735" spans="4:25" x14ac:dyDescent="0.25">
      <c r="D735" s="78">
        <v>445351</v>
      </c>
      <c r="E735" s="78">
        <v>280014790</v>
      </c>
      <c r="F735" s="83" t="s">
        <v>94</v>
      </c>
      <c r="G735" s="1" t="s">
        <v>460</v>
      </c>
      <c r="H735" s="1" t="s">
        <v>14</v>
      </c>
      <c r="I735" s="1" t="s">
        <v>461</v>
      </c>
      <c r="J735" s="1">
        <v>8750000</v>
      </c>
      <c r="K735" s="1">
        <v>125000000</v>
      </c>
      <c r="L735" s="1">
        <v>0</v>
      </c>
      <c r="M735" s="1">
        <v>0</v>
      </c>
      <c r="N735" s="1" t="s">
        <v>190</v>
      </c>
      <c r="O735" s="1">
        <v>1.30571993</v>
      </c>
      <c r="P735" s="1">
        <v>7.0000000000000007E-2</v>
      </c>
      <c r="Q735" s="83">
        <v>53346.758500000004</v>
      </c>
      <c r="R735" s="83">
        <v>53346.758500000004</v>
      </c>
      <c r="S735" s="1">
        <v>53346.758500000004</v>
      </c>
      <c r="T735" s="83">
        <v>0</v>
      </c>
      <c r="U735" s="1" t="s">
        <v>122</v>
      </c>
      <c r="V735" s="1" t="s">
        <v>836</v>
      </c>
      <c r="W735" s="1">
        <v>4781.60363426</v>
      </c>
      <c r="X735" s="1"/>
      <c r="Y735" s="83" t="str">
        <f>VLOOKUP(LossTable[[#This Row],[Department]],$A$15:$B$40,2,FALSE)</f>
        <v>TP</v>
      </c>
    </row>
    <row r="736" spans="4:25" x14ac:dyDescent="0.25">
      <c r="D736" s="78">
        <v>446144</v>
      </c>
      <c r="E736" s="78">
        <v>280014790</v>
      </c>
      <c r="F736" s="83" t="s">
        <v>94</v>
      </c>
      <c r="G736" s="1" t="s">
        <v>527</v>
      </c>
      <c r="H736" s="1" t="s">
        <v>16</v>
      </c>
      <c r="I736" s="1" t="s">
        <v>528</v>
      </c>
      <c r="J736" s="1">
        <v>1000000</v>
      </c>
      <c r="K736" s="1">
        <v>40000000</v>
      </c>
      <c r="L736" s="1">
        <v>0</v>
      </c>
      <c r="M736" s="1">
        <v>0</v>
      </c>
      <c r="N736" s="1" t="s">
        <v>122</v>
      </c>
      <c r="O736" s="1">
        <v>0.48265581000000002</v>
      </c>
      <c r="P736" s="1">
        <v>2.5000000000000001E-2</v>
      </c>
      <c r="Q736" s="83">
        <v>158.8015</v>
      </c>
      <c r="R736" s="83">
        <v>158.8015</v>
      </c>
      <c r="S736" s="1">
        <v>158.8015</v>
      </c>
      <c r="T736" s="83">
        <v>0</v>
      </c>
      <c r="U736" s="1" t="s">
        <v>122</v>
      </c>
      <c r="V736" s="1" t="s">
        <v>836</v>
      </c>
      <c r="W736" s="1">
        <v>4781.60363426</v>
      </c>
      <c r="X736" s="1"/>
      <c r="Y736" s="83" t="str">
        <f>VLOOKUP(LossTable[[#This Row],[Department]],$A$15:$B$40,2,FALSE)</f>
        <v>TP</v>
      </c>
    </row>
    <row r="737" spans="4:25" x14ac:dyDescent="0.25">
      <c r="D737" s="78">
        <v>446804</v>
      </c>
      <c r="E737" s="78">
        <v>280014790</v>
      </c>
      <c r="F737" s="83" t="s">
        <v>94</v>
      </c>
      <c r="G737" s="1" t="s">
        <v>448</v>
      </c>
      <c r="H737" s="1" t="s">
        <v>16</v>
      </c>
      <c r="I737" s="1" t="s">
        <v>511</v>
      </c>
      <c r="J737" s="1">
        <v>4375000</v>
      </c>
      <c r="K737" s="1">
        <v>175000000</v>
      </c>
      <c r="L737" s="1">
        <v>0</v>
      </c>
      <c r="M737" s="1">
        <v>0</v>
      </c>
      <c r="N737" s="1" t="s">
        <v>512</v>
      </c>
      <c r="O737" s="1">
        <v>5.856476E-2</v>
      </c>
      <c r="P737" s="1">
        <v>2.5000000000000001E-2</v>
      </c>
      <c r="Q737" s="83">
        <v>7191.3095000000003</v>
      </c>
      <c r="R737" s="83">
        <v>7191.3095000000003</v>
      </c>
      <c r="S737" s="1">
        <v>7191.3095000000003</v>
      </c>
      <c r="T737" s="83">
        <v>0</v>
      </c>
      <c r="U737" s="1" t="s">
        <v>122</v>
      </c>
      <c r="V737" s="1" t="s">
        <v>836</v>
      </c>
      <c r="W737" s="1">
        <v>4781.60363426</v>
      </c>
      <c r="X737" s="1"/>
      <c r="Y737" s="83" t="str">
        <f>VLOOKUP(LossTable[[#This Row],[Department]],$A$15:$B$40,2,FALSE)</f>
        <v>TP</v>
      </c>
    </row>
    <row r="738" spans="4:25" x14ac:dyDescent="0.25">
      <c r="D738" s="78">
        <v>447863</v>
      </c>
      <c r="E738" s="78">
        <v>280014790</v>
      </c>
      <c r="F738" s="83" t="s">
        <v>94</v>
      </c>
      <c r="G738" s="1" t="s">
        <v>489</v>
      </c>
      <c r="H738" s="1" t="s">
        <v>16</v>
      </c>
      <c r="I738" s="1" t="s">
        <v>490</v>
      </c>
      <c r="J738" s="1">
        <v>175000</v>
      </c>
      <c r="K738" s="1">
        <v>5000000</v>
      </c>
      <c r="L738" s="1">
        <v>0</v>
      </c>
      <c r="M738" s="1">
        <v>0</v>
      </c>
      <c r="N738" s="1" t="s">
        <v>475</v>
      </c>
      <c r="O738" s="1">
        <v>0.45</v>
      </c>
      <c r="P738" s="1">
        <v>3.5000000000000003E-2</v>
      </c>
      <c r="Q738" s="83">
        <v>90.009150000000005</v>
      </c>
      <c r="R738" s="83">
        <v>90.009150000000005</v>
      </c>
      <c r="S738" s="1">
        <v>90.009150000000005</v>
      </c>
      <c r="T738" s="83">
        <v>0</v>
      </c>
      <c r="U738" s="1" t="s">
        <v>122</v>
      </c>
      <c r="V738" s="1" t="s">
        <v>836</v>
      </c>
      <c r="W738" s="1">
        <v>4781.60363426</v>
      </c>
      <c r="X738" s="1"/>
      <c r="Y738" s="83" t="str">
        <f>VLOOKUP(LossTable[[#This Row],[Department]],$A$15:$B$40,2,FALSE)</f>
        <v>TP</v>
      </c>
    </row>
    <row r="739" spans="4:25" x14ac:dyDescent="0.25">
      <c r="D739" s="78">
        <v>448027</v>
      </c>
      <c r="E739" s="78">
        <v>280014790</v>
      </c>
      <c r="F739" s="83" t="s">
        <v>94</v>
      </c>
      <c r="G739" s="1" t="s">
        <v>395</v>
      </c>
      <c r="H739" s="1" t="s">
        <v>16</v>
      </c>
      <c r="I739" s="1" t="s">
        <v>517</v>
      </c>
      <c r="J739" s="1">
        <v>1452718.6726500001</v>
      </c>
      <c r="K739" s="1">
        <v>41506247.789999999</v>
      </c>
      <c r="L739" s="1">
        <v>0</v>
      </c>
      <c r="M739" s="1">
        <v>0</v>
      </c>
      <c r="N739" s="1" t="s">
        <v>518</v>
      </c>
      <c r="O739" s="1">
        <v>2.0799999900000001</v>
      </c>
      <c r="P739" s="1">
        <v>3.5000000000000003E-2</v>
      </c>
      <c r="Q739" s="83">
        <v>35012.8485</v>
      </c>
      <c r="R739" s="83">
        <v>35012.8485</v>
      </c>
      <c r="S739" s="1">
        <v>35012.8485</v>
      </c>
      <c r="T739" s="83">
        <v>0</v>
      </c>
      <c r="U739" s="1" t="s">
        <v>122</v>
      </c>
      <c r="V739" s="1" t="s">
        <v>836</v>
      </c>
      <c r="W739" s="1">
        <v>4781.60363426</v>
      </c>
      <c r="X739" s="1"/>
      <c r="Y739" s="83" t="str">
        <f>VLOOKUP(LossTable[[#This Row],[Department]],$A$15:$B$40,2,FALSE)</f>
        <v>TP</v>
      </c>
    </row>
    <row r="740" spans="4:25" x14ac:dyDescent="0.25">
      <c r="D740" s="78">
        <v>448034</v>
      </c>
      <c r="E740" s="78">
        <v>280014790</v>
      </c>
      <c r="F740" s="83" t="s">
        <v>12</v>
      </c>
      <c r="G740" s="1" t="s">
        <v>508</v>
      </c>
      <c r="H740" s="1" t="s">
        <v>16</v>
      </c>
      <c r="I740" s="1" t="s">
        <v>543</v>
      </c>
      <c r="J740" s="1">
        <v>5625000</v>
      </c>
      <c r="K740" s="1">
        <v>112500000</v>
      </c>
      <c r="L740" s="1">
        <v>0</v>
      </c>
      <c r="M740" s="1">
        <v>0</v>
      </c>
      <c r="N740" s="1" t="s">
        <v>544</v>
      </c>
      <c r="O740" s="1">
        <v>1.0266645999999999</v>
      </c>
      <c r="P740" s="1">
        <v>0.05</v>
      </c>
      <c r="Q740" s="83">
        <v>44742.443500000001</v>
      </c>
      <c r="R740" s="83">
        <v>44742.443500000001</v>
      </c>
      <c r="S740" s="1">
        <v>44742.443500000001</v>
      </c>
      <c r="T740" s="83">
        <v>0</v>
      </c>
      <c r="U740" s="1" t="s">
        <v>122</v>
      </c>
      <c r="V740" s="1" t="s">
        <v>836</v>
      </c>
      <c r="W740" s="1">
        <v>4781.60363426</v>
      </c>
      <c r="X740" s="1"/>
      <c r="Y740" s="83" t="str">
        <f>VLOOKUP(LossTable[[#This Row],[Department]],$A$15:$B$40,2,FALSE)</f>
        <v>Bermuda</v>
      </c>
    </row>
    <row r="741" spans="4:25" x14ac:dyDescent="0.25">
      <c r="D741" s="78">
        <v>450201</v>
      </c>
      <c r="E741" s="78">
        <v>280014790</v>
      </c>
      <c r="F741" s="83" t="s">
        <v>42</v>
      </c>
      <c r="G741" s="1" t="s">
        <v>515</v>
      </c>
      <c r="H741" s="1" t="s">
        <v>14</v>
      </c>
      <c r="I741" s="1" t="s">
        <v>516</v>
      </c>
      <c r="J741" s="1">
        <v>16910088.359999999</v>
      </c>
      <c r="K741" s="1">
        <v>16910088.359999999</v>
      </c>
      <c r="L741" s="1">
        <v>0</v>
      </c>
      <c r="M741" s="1">
        <v>0</v>
      </c>
      <c r="N741" s="1" t="s">
        <v>14</v>
      </c>
      <c r="O741" s="1">
        <v>0.75715511999999996</v>
      </c>
      <c r="P741" s="1">
        <v>1</v>
      </c>
      <c r="Q741" s="83">
        <v>792.7</v>
      </c>
      <c r="R741" s="83">
        <v>792.7</v>
      </c>
      <c r="S741" s="1">
        <v>792.7</v>
      </c>
      <c r="T741" s="83">
        <v>0</v>
      </c>
      <c r="U741" s="1" t="s">
        <v>122</v>
      </c>
      <c r="V741" s="1" t="s">
        <v>836</v>
      </c>
      <c r="W741" s="1">
        <v>4781.60363426</v>
      </c>
      <c r="X741" s="1"/>
      <c r="Y741" s="83" t="str">
        <f>VLOOKUP(LossTable[[#This Row],[Department]],$A$15:$B$40,2,FALSE)</f>
        <v>FP</v>
      </c>
    </row>
    <row r="742" spans="4:25" x14ac:dyDescent="0.25">
      <c r="D742" s="78">
        <v>456761</v>
      </c>
      <c r="E742" s="78">
        <v>280014790</v>
      </c>
      <c r="F742" s="83" t="s">
        <v>45</v>
      </c>
      <c r="G742" s="1" t="s">
        <v>577</v>
      </c>
      <c r="H742" s="1" t="s">
        <v>14</v>
      </c>
      <c r="I742" s="1" t="s">
        <v>589</v>
      </c>
      <c r="J742" s="1">
        <v>5094000</v>
      </c>
      <c r="K742" s="1">
        <v>25470000</v>
      </c>
      <c r="L742" s="1">
        <v>0</v>
      </c>
      <c r="M742" s="1">
        <v>0</v>
      </c>
      <c r="N742" s="1" t="s">
        <v>590</v>
      </c>
      <c r="O742" s="1">
        <v>1.7667840000000001E-2</v>
      </c>
      <c r="P742" s="1">
        <v>0.2</v>
      </c>
      <c r="Q742" s="83">
        <v>788.024</v>
      </c>
      <c r="R742" s="83">
        <v>788.024</v>
      </c>
      <c r="S742" s="1">
        <v>788.024</v>
      </c>
      <c r="T742" s="83">
        <v>0</v>
      </c>
      <c r="U742" s="1" t="s">
        <v>122</v>
      </c>
      <c r="V742" s="1" t="s">
        <v>836</v>
      </c>
      <c r="W742" s="1">
        <v>4781.60363426</v>
      </c>
      <c r="X742" s="1"/>
      <c r="Y742" s="83" t="str">
        <f>VLOOKUP(LossTable[[#This Row],[Department]],$A$15:$B$40,2,FALSE)</f>
        <v>FP</v>
      </c>
    </row>
    <row r="743" spans="4:25" x14ac:dyDescent="0.25">
      <c r="D743" s="78">
        <v>462541</v>
      </c>
      <c r="E743" s="78">
        <v>280014790</v>
      </c>
      <c r="F743" s="83" t="s">
        <v>94</v>
      </c>
      <c r="G743" s="1" t="s">
        <v>586</v>
      </c>
      <c r="H743" s="1" t="s">
        <v>14</v>
      </c>
      <c r="I743" s="1" t="s">
        <v>587</v>
      </c>
      <c r="J743" s="1">
        <v>12500000</v>
      </c>
      <c r="K743" s="1">
        <v>25000000</v>
      </c>
      <c r="L743" s="1">
        <v>0</v>
      </c>
      <c r="M743" s="1">
        <v>0</v>
      </c>
      <c r="N743" s="1" t="s">
        <v>588</v>
      </c>
      <c r="O743" s="1">
        <v>0.3</v>
      </c>
      <c r="P743" s="1">
        <v>0.5</v>
      </c>
      <c r="Q743" s="83">
        <v>12950.03</v>
      </c>
      <c r="R743" s="83">
        <v>12950.03</v>
      </c>
      <c r="S743" s="1">
        <v>12950.03</v>
      </c>
      <c r="T743" s="83">
        <v>0</v>
      </c>
      <c r="U743" s="1" t="s">
        <v>122</v>
      </c>
      <c r="V743" s="1" t="s">
        <v>836</v>
      </c>
      <c r="W743" s="1">
        <v>4781.60363426</v>
      </c>
      <c r="X743" s="1"/>
      <c r="Y743" s="83" t="str">
        <f>VLOOKUP(LossTable[[#This Row],[Department]],$A$15:$B$40,2,FALSE)</f>
        <v>TP</v>
      </c>
    </row>
    <row r="744" spans="4:25" x14ac:dyDescent="0.25">
      <c r="D744" s="78">
        <v>462731</v>
      </c>
      <c r="E744" s="78">
        <v>280014790</v>
      </c>
      <c r="F744" s="83" t="s">
        <v>94</v>
      </c>
      <c r="G744" s="1" t="s">
        <v>598</v>
      </c>
      <c r="H744" s="1" t="s">
        <v>14</v>
      </c>
      <c r="I744" s="1" t="s">
        <v>599</v>
      </c>
      <c r="J744" s="1">
        <v>375000</v>
      </c>
      <c r="K744" s="1">
        <v>5000000</v>
      </c>
      <c r="L744" s="1">
        <v>0</v>
      </c>
      <c r="M744" s="1">
        <v>0</v>
      </c>
      <c r="N744" s="1" t="s">
        <v>122</v>
      </c>
      <c r="O744" s="1">
        <v>5.6174999999999997</v>
      </c>
      <c r="P744" s="1">
        <v>7.4999999999999997E-2</v>
      </c>
      <c r="Q744" s="83">
        <v>9819.7724999999991</v>
      </c>
      <c r="R744" s="83">
        <v>9819.7724999999991</v>
      </c>
      <c r="S744" s="1">
        <v>9819.7724999999991</v>
      </c>
      <c r="T744" s="83">
        <v>0</v>
      </c>
      <c r="U744" s="1" t="s">
        <v>122</v>
      </c>
      <c r="V744" s="1" t="s">
        <v>836</v>
      </c>
      <c r="W744" s="1">
        <v>4781.60363426</v>
      </c>
      <c r="X744" s="1"/>
      <c r="Y744" s="83" t="str">
        <f>VLOOKUP(LossTable[[#This Row],[Department]],$A$15:$B$40,2,FALSE)</f>
        <v>TP</v>
      </c>
    </row>
    <row r="745" spans="4:25" x14ac:dyDescent="0.25">
      <c r="D745" s="78">
        <v>464234</v>
      </c>
      <c r="E745" s="78">
        <v>280014790</v>
      </c>
      <c r="F745" s="83" t="s">
        <v>94</v>
      </c>
      <c r="G745" s="1" t="s">
        <v>555</v>
      </c>
      <c r="H745" s="1" t="s">
        <v>14</v>
      </c>
      <c r="I745" s="1" t="s">
        <v>556</v>
      </c>
      <c r="J745" s="1">
        <v>12500000</v>
      </c>
      <c r="K745" s="1">
        <v>50000000</v>
      </c>
      <c r="L745" s="1">
        <v>0</v>
      </c>
      <c r="M745" s="1">
        <v>0</v>
      </c>
      <c r="N745" s="1" t="s">
        <v>166</v>
      </c>
      <c r="O745" s="1">
        <v>0.4</v>
      </c>
      <c r="P745" s="1">
        <v>0.25</v>
      </c>
      <c r="Q745" s="83">
        <v>35802.582499999997</v>
      </c>
      <c r="R745" s="83">
        <v>35802.582499999997</v>
      </c>
      <c r="S745" s="1">
        <v>35802.582499999997</v>
      </c>
      <c r="T745" s="83">
        <v>0</v>
      </c>
      <c r="U745" s="1" t="s">
        <v>122</v>
      </c>
      <c r="V745" s="1" t="s">
        <v>836</v>
      </c>
      <c r="W745" s="1">
        <v>4781.60363426</v>
      </c>
      <c r="X745" s="1"/>
      <c r="Y745" s="83" t="str">
        <f>VLOOKUP(LossTable[[#This Row],[Department]],$A$15:$B$40,2,FALSE)</f>
        <v>TP</v>
      </c>
    </row>
    <row r="746" spans="4:25" x14ac:dyDescent="0.25">
      <c r="D746" s="78">
        <v>467463</v>
      </c>
      <c r="E746" s="78">
        <v>280014790</v>
      </c>
      <c r="F746" s="83" t="s">
        <v>12</v>
      </c>
      <c r="G746" s="1" t="s">
        <v>625</v>
      </c>
      <c r="H746" s="1" t="s">
        <v>14</v>
      </c>
      <c r="I746" s="1" t="s">
        <v>626</v>
      </c>
      <c r="J746" s="1">
        <v>52500000</v>
      </c>
      <c r="K746" s="1">
        <v>1050000000</v>
      </c>
      <c r="L746" s="1">
        <v>0</v>
      </c>
      <c r="M746" s="1">
        <v>0</v>
      </c>
      <c r="N746" s="1" t="s">
        <v>122</v>
      </c>
      <c r="O746" s="1">
        <v>0.51428571000000001</v>
      </c>
      <c r="P746" s="1">
        <v>0.05</v>
      </c>
      <c r="Q746" s="83">
        <v>22892.748500000002</v>
      </c>
      <c r="R746" s="83">
        <v>22892.748500000002</v>
      </c>
      <c r="S746" s="1">
        <v>22892.748500000002</v>
      </c>
      <c r="T746" s="83">
        <v>0</v>
      </c>
      <c r="U746" s="1" t="s">
        <v>122</v>
      </c>
      <c r="V746" s="1" t="s">
        <v>836</v>
      </c>
      <c r="W746" s="1">
        <v>4781.60363426</v>
      </c>
      <c r="X746" s="1"/>
      <c r="Y746" s="83" t="str">
        <f>VLOOKUP(LossTable[[#This Row],[Department]],$A$15:$B$40,2,FALSE)</f>
        <v>Bermuda</v>
      </c>
    </row>
    <row r="747" spans="4:25" x14ac:dyDescent="0.25">
      <c r="D747" s="78">
        <v>468726</v>
      </c>
      <c r="E747" s="78">
        <v>280014790</v>
      </c>
      <c r="F747" s="83" t="s">
        <v>94</v>
      </c>
      <c r="G747" s="1" t="s">
        <v>600</v>
      </c>
      <c r="H747" s="1" t="s">
        <v>14</v>
      </c>
      <c r="I747" s="1" t="s">
        <v>601</v>
      </c>
      <c r="J747" s="1">
        <v>20000000</v>
      </c>
      <c r="K747" s="1">
        <v>2000000000</v>
      </c>
      <c r="L747" s="1">
        <v>0</v>
      </c>
      <c r="M747" s="1">
        <v>0</v>
      </c>
      <c r="N747" s="1" t="s">
        <v>122</v>
      </c>
      <c r="O747" s="1">
        <v>0.72499999999999998</v>
      </c>
      <c r="P747" s="1">
        <v>0.01</v>
      </c>
      <c r="Q747" s="83">
        <v>341014.43930000003</v>
      </c>
      <c r="R747" s="83">
        <v>341014.43930000003</v>
      </c>
      <c r="S747" s="1">
        <v>341014.43930000003</v>
      </c>
      <c r="T747" s="83">
        <v>0</v>
      </c>
      <c r="U747" s="1" t="s">
        <v>122</v>
      </c>
      <c r="V747" s="1" t="s">
        <v>836</v>
      </c>
      <c r="W747" s="1">
        <v>4781.60363426</v>
      </c>
      <c r="X747" s="1"/>
      <c r="Y747" s="83" t="str">
        <f>VLOOKUP(LossTable[[#This Row],[Department]],$A$15:$B$40,2,FALSE)</f>
        <v>TP</v>
      </c>
    </row>
    <row r="748" spans="4:25" x14ac:dyDescent="0.25">
      <c r="D748" s="78">
        <v>473014</v>
      </c>
      <c r="E748" s="78">
        <v>280014790</v>
      </c>
      <c r="F748" s="83" t="s">
        <v>21</v>
      </c>
      <c r="G748" s="1" t="s">
        <v>699</v>
      </c>
      <c r="H748" s="1" t="s">
        <v>14</v>
      </c>
      <c r="I748" s="1" t="s">
        <v>700</v>
      </c>
      <c r="J748" s="1">
        <v>7000000</v>
      </c>
      <c r="K748" s="1">
        <v>70000000</v>
      </c>
      <c r="L748" s="1">
        <v>0</v>
      </c>
      <c r="M748" s="1">
        <v>0</v>
      </c>
      <c r="N748" s="1" t="s">
        <v>701</v>
      </c>
      <c r="O748" s="1">
        <v>0.39285713999999999</v>
      </c>
      <c r="P748" s="1">
        <v>0.1</v>
      </c>
      <c r="Q748" s="83">
        <v>3499.1179999999999</v>
      </c>
      <c r="R748" s="83">
        <v>3499.1179999999999</v>
      </c>
      <c r="S748" s="1">
        <v>3499.1179999999999</v>
      </c>
      <c r="T748" s="83">
        <v>0</v>
      </c>
      <c r="U748" s="1" t="s">
        <v>122</v>
      </c>
      <c r="V748" s="1" t="s">
        <v>836</v>
      </c>
      <c r="W748" s="1">
        <v>4781.60363426</v>
      </c>
      <c r="X748" s="1"/>
      <c r="Y748" s="83" t="str">
        <f>VLOOKUP(LossTable[[#This Row],[Department]],$A$15:$B$40,2,FALSE)</f>
        <v>London</v>
      </c>
    </row>
    <row r="749" spans="4:25" x14ac:dyDescent="0.25">
      <c r="D749" s="78">
        <v>474073</v>
      </c>
      <c r="E749" s="78">
        <v>280014790</v>
      </c>
      <c r="F749" s="83" t="s">
        <v>94</v>
      </c>
      <c r="G749" s="1" t="s">
        <v>648</v>
      </c>
      <c r="H749" s="1" t="s">
        <v>16</v>
      </c>
      <c r="I749" s="1" t="s">
        <v>649</v>
      </c>
      <c r="J749" s="1">
        <v>300000</v>
      </c>
      <c r="K749" s="1">
        <v>10000000</v>
      </c>
      <c r="L749" s="1">
        <v>0</v>
      </c>
      <c r="M749" s="1">
        <v>0</v>
      </c>
      <c r="N749" s="1" t="s">
        <v>122</v>
      </c>
      <c r="O749" s="1">
        <v>0.98</v>
      </c>
      <c r="P749" s="1">
        <v>0.03</v>
      </c>
      <c r="Q749" s="83">
        <v>328.49549999999999</v>
      </c>
      <c r="R749" s="83">
        <v>328.49549999999999</v>
      </c>
      <c r="S749" s="1">
        <v>328.49549999999999</v>
      </c>
      <c r="T749" s="83">
        <v>0</v>
      </c>
      <c r="U749" s="1" t="s">
        <v>122</v>
      </c>
      <c r="V749" s="1" t="s">
        <v>836</v>
      </c>
      <c r="W749" s="1">
        <v>4781.60363426</v>
      </c>
      <c r="X749" s="1"/>
      <c r="Y749" s="83" t="str">
        <f>VLOOKUP(LossTable[[#This Row],[Department]],$A$15:$B$40,2,FALSE)</f>
        <v>TP</v>
      </c>
    </row>
    <row r="750" spans="4:25" x14ac:dyDescent="0.25">
      <c r="D750" s="78">
        <v>475196</v>
      </c>
      <c r="E750" s="78">
        <v>280014790</v>
      </c>
      <c r="F750" s="83" t="s">
        <v>21</v>
      </c>
      <c r="G750" s="1" t="s">
        <v>614</v>
      </c>
      <c r="H750" s="1" t="s">
        <v>14</v>
      </c>
      <c r="I750" s="1" t="s">
        <v>615</v>
      </c>
      <c r="J750" s="1">
        <v>25000000</v>
      </c>
      <c r="K750" s="1">
        <v>400000000</v>
      </c>
      <c r="L750" s="1">
        <v>0</v>
      </c>
      <c r="M750" s="1">
        <v>0</v>
      </c>
      <c r="N750" s="1" t="s">
        <v>157</v>
      </c>
      <c r="O750" s="1">
        <v>1.54125</v>
      </c>
      <c r="P750" s="1">
        <v>6.25E-2</v>
      </c>
      <c r="Q750" s="83">
        <v>30239.216250000001</v>
      </c>
      <c r="R750" s="83">
        <v>30239.216250000001</v>
      </c>
      <c r="S750" s="1">
        <v>30239.216250000001</v>
      </c>
      <c r="T750" s="83">
        <v>0</v>
      </c>
      <c r="U750" s="1" t="s">
        <v>122</v>
      </c>
      <c r="V750" s="1" t="s">
        <v>836</v>
      </c>
      <c r="W750" s="1">
        <v>4781.60363426</v>
      </c>
      <c r="X750" s="1"/>
      <c r="Y750" s="83" t="str">
        <f>VLOOKUP(LossTable[[#This Row],[Department]],$A$15:$B$40,2,FALSE)</f>
        <v>London</v>
      </c>
    </row>
    <row r="751" spans="4:25" x14ac:dyDescent="0.25">
      <c r="D751" s="78">
        <v>478527</v>
      </c>
      <c r="E751" s="78">
        <v>280014790</v>
      </c>
      <c r="F751" s="83" t="s">
        <v>94</v>
      </c>
      <c r="G751" s="1" t="s">
        <v>794</v>
      </c>
      <c r="H751" s="1" t="s">
        <v>16</v>
      </c>
      <c r="I751" s="1" t="s">
        <v>795</v>
      </c>
      <c r="J751" s="1">
        <v>4339224.6660000002</v>
      </c>
      <c r="K751" s="1">
        <v>28928164.440000001</v>
      </c>
      <c r="L751" s="1">
        <v>0</v>
      </c>
      <c r="M751" s="1">
        <v>0</v>
      </c>
      <c r="N751" s="1" t="s">
        <v>122</v>
      </c>
      <c r="O751" s="1">
        <v>0.2475</v>
      </c>
      <c r="P751" s="1">
        <v>0.15</v>
      </c>
      <c r="Q751" s="83">
        <v>149.55000000000001</v>
      </c>
      <c r="R751" s="83">
        <v>149.55000000000001</v>
      </c>
      <c r="S751" s="1">
        <v>149.55000000000001</v>
      </c>
      <c r="T751" s="83">
        <v>0</v>
      </c>
      <c r="U751" s="1" t="s">
        <v>122</v>
      </c>
      <c r="V751" s="1" t="s">
        <v>836</v>
      </c>
      <c r="W751" s="1">
        <v>4781.60363426</v>
      </c>
      <c r="X751" s="1"/>
      <c r="Y751" s="83" t="str">
        <f>VLOOKUP(LossTable[[#This Row],[Department]],$A$15:$B$40,2,FALSE)</f>
        <v>TP</v>
      </c>
    </row>
    <row r="752" spans="4:25" x14ac:dyDescent="0.25">
      <c r="D752" s="78">
        <v>479985</v>
      </c>
      <c r="E752" s="78">
        <v>280014790</v>
      </c>
      <c r="F752" s="83" t="s">
        <v>94</v>
      </c>
      <c r="G752" s="1" t="s">
        <v>661</v>
      </c>
      <c r="H752" s="1" t="s">
        <v>16</v>
      </c>
      <c r="I752" s="1" t="s">
        <v>662</v>
      </c>
      <c r="J752" s="1">
        <v>1200000</v>
      </c>
      <c r="K752" s="1">
        <v>12000000</v>
      </c>
      <c r="L752" s="1">
        <v>0</v>
      </c>
      <c r="M752" s="1">
        <v>0</v>
      </c>
      <c r="N752" s="1" t="s">
        <v>493</v>
      </c>
      <c r="O752" s="1">
        <v>0.45</v>
      </c>
      <c r="P752" s="1">
        <v>0.1</v>
      </c>
      <c r="Q752" s="83">
        <v>1414.81</v>
      </c>
      <c r="R752" s="83">
        <v>1414.81</v>
      </c>
      <c r="S752" s="1">
        <v>1414.81</v>
      </c>
      <c r="T752" s="83">
        <v>0</v>
      </c>
      <c r="U752" s="1" t="s">
        <v>122</v>
      </c>
      <c r="V752" s="1" t="s">
        <v>836</v>
      </c>
      <c r="W752" s="1">
        <v>4781.60363426</v>
      </c>
      <c r="X752" s="1"/>
      <c r="Y752" s="83" t="str">
        <f>VLOOKUP(LossTable[[#This Row],[Department]],$A$15:$B$40,2,FALSE)</f>
        <v>TP</v>
      </c>
    </row>
    <row r="753" spans="4:25" x14ac:dyDescent="0.25">
      <c r="D753" s="78">
        <v>480246</v>
      </c>
      <c r="E753" s="78">
        <v>280014790</v>
      </c>
      <c r="F753" s="83" t="s">
        <v>94</v>
      </c>
      <c r="G753" s="1" t="s">
        <v>704</v>
      </c>
      <c r="H753" s="1" t="s">
        <v>14</v>
      </c>
      <c r="I753" s="1" t="s">
        <v>705</v>
      </c>
      <c r="J753" s="1">
        <v>40000000</v>
      </c>
      <c r="K753" s="1">
        <v>800000000</v>
      </c>
      <c r="L753" s="1">
        <v>0</v>
      </c>
      <c r="M753" s="1">
        <v>0</v>
      </c>
      <c r="N753" s="1" t="s">
        <v>159</v>
      </c>
      <c r="O753" s="1">
        <v>1.67317144</v>
      </c>
      <c r="P753" s="1">
        <v>0.05</v>
      </c>
      <c r="Q753" s="83">
        <v>496136.97100000002</v>
      </c>
      <c r="R753" s="83">
        <v>496136.97100000002</v>
      </c>
      <c r="S753" s="1">
        <v>496136.97100000002</v>
      </c>
      <c r="T753" s="83">
        <v>0</v>
      </c>
      <c r="U753" s="1" t="s">
        <v>122</v>
      </c>
      <c r="V753" s="1" t="s">
        <v>836</v>
      </c>
      <c r="W753" s="1">
        <v>4781.60363426</v>
      </c>
      <c r="X753" s="1"/>
      <c r="Y753" s="83" t="str">
        <f>VLOOKUP(LossTable[[#This Row],[Department]],$A$15:$B$40,2,FALSE)</f>
        <v>TP</v>
      </c>
    </row>
    <row r="754" spans="4:25" x14ac:dyDescent="0.25">
      <c r="D754" s="78">
        <v>481623</v>
      </c>
      <c r="E754" s="78">
        <v>280014790</v>
      </c>
      <c r="F754" s="83" t="s">
        <v>94</v>
      </c>
      <c r="G754" s="1" t="s">
        <v>677</v>
      </c>
      <c r="H754" s="1" t="s">
        <v>16</v>
      </c>
      <c r="I754" s="1" t="s">
        <v>678</v>
      </c>
      <c r="J754" s="1">
        <v>500000</v>
      </c>
      <c r="K754" s="1">
        <v>5000000</v>
      </c>
      <c r="L754" s="1">
        <v>0</v>
      </c>
      <c r="M754" s="1">
        <v>0</v>
      </c>
      <c r="N754" s="1" t="s">
        <v>475</v>
      </c>
      <c r="O754" s="1">
        <v>1.6</v>
      </c>
      <c r="P754" s="1">
        <v>0.1</v>
      </c>
      <c r="Q754" s="83">
        <v>24.119</v>
      </c>
      <c r="R754" s="83">
        <v>24.119</v>
      </c>
      <c r="S754" s="1">
        <v>24.119</v>
      </c>
      <c r="T754" s="83">
        <v>0</v>
      </c>
      <c r="U754" s="1" t="s">
        <v>122</v>
      </c>
      <c r="V754" s="1" t="s">
        <v>836</v>
      </c>
      <c r="W754" s="1">
        <v>4781.60363426</v>
      </c>
      <c r="X754" s="1"/>
      <c r="Y754" s="83" t="str">
        <f>VLOOKUP(LossTable[[#This Row],[Department]],$A$15:$B$40,2,FALSE)</f>
        <v>TP</v>
      </c>
    </row>
    <row r="755" spans="4:25" x14ac:dyDescent="0.25">
      <c r="D755" s="78">
        <v>484258</v>
      </c>
      <c r="E755" s="78">
        <v>280014790</v>
      </c>
      <c r="F755" s="83" t="s">
        <v>94</v>
      </c>
      <c r="G755" s="1" t="s">
        <v>686</v>
      </c>
      <c r="H755" s="1" t="s">
        <v>16</v>
      </c>
      <c r="I755" s="1" t="s">
        <v>728</v>
      </c>
      <c r="J755" s="1">
        <v>3375000</v>
      </c>
      <c r="K755" s="1">
        <v>45000000</v>
      </c>
      <c r="L755" s="1">
        <v>0</v>
      </c>
      <c r="M755" s="1">
        <v>0</v>
      </c>
      <c r="N755" s="1" t="s">
        <v>122</v>
      </c>
      <c r="O755" s="1">
        <v>2.4</v>
      </c>
      <c r="P755" s="1">
        <v>7.4999999999999997E-2</v>
      </c>
      <c r="Q755" s="83">
        <v>12148.39725</v>
      </c>
      <c r="R755" s="83">
        <v>12148.39725</v>
      </c>
      <c r="S755" s="1">
        <v>12148.39725</v>
      </c>
      <c r="T755" s="83">
        <v>0</v>
      </c>
      <c r="U755" s="1" t="s">
        <v>122</v>
      </c>
      <c r="V755" s="1" t="s">
        <v>836</v>
      </c>
      <c r="W755" s="1">
        <v>4781.60363426</v>
      </c>
      <c r="X755" s="1"/>
      <c r="Y755" s="83" t="str">
        <f>VLOOKUP(LossTable[[#This Row],[Department]],$A$15:$B$40,2,FALSE)</f>
        <v>TP</v>
      </c>
    </row>
    <row r="756" spans="4:25" x14ac:dyDescent="0.25">
      <c r="D756" s="78">
        <v>484925</v>
      </c>
      <c r="E756" s="78">
        <v>280014790</v>
      </c>
      <c r="F756" s="83" t="s">
        <v>21</v>
      </c>
      <c r="G756" s="1" t="s">
        <v>749</v>
      </c>
      <c r="H756" s="1" t="s">
        <v>14</v>
      </c>
      <c r="I756" s="1" t="s">
        <v>750</v>
      </c>
      <c r="J756" s="1">
        <v>15495000</v>
      </c>
      <c r="K756" s="1">
        <v>516500000</v>
      </c>
      <c r="L756" s="1">
        <v>0</v>
      </c>
      <c r="M756" s="1">
        <v>0</v>
      </c>
      <c r="N756" s="1" t="s">
        <v>751</v>
      </c>
      <c r="O756" s="1">
        <v>1.2598685199999999</v>
      </c>
      <c r="P756" s="1">
        <v>0.03</v>
      </c>
      <c r="Q756" s="83">
        <v>13414.3179</v>
      </c>
      <c r="R756" s="83">
        <v>13414.3179</v>
      </c>
      <c r="S756" s="1">
        <v>13414.3179</v>
      </c>
      <c r="T756" s="83">
        <v>0</v>
      </c>
      <c r="U756" s="1" t="s">
        <v>122</v>
      </c>
      <c r="V756" s="1" t="s">
        <v>836</v>
      </c>
      <c r="W756" s="1">
        <v>4781.60363426</v>
      </c>
      <c r="X756" s="1"/>
      <c r="Y756" s="83" t="str">
        <f>VLOOKUP(LossTable[[#This Row],[Department]],$A$15:$B$40,2,FALSE)</f>
        <v>London</v>
      </c>
    </row>
    <row r="757" spans="4:25" x14ac:dyDescent="0.25">
      <c r="D757" s="78">
        <v>485540</v>
      </c>
      <c r="E757" s="78">
        <v>280014790</v>
      </c>
      <c r="F757" s="83" t="s">
        <v>94</v>
      </c>
      <c r="G757" s="1" t="s">
        <v>720</v>
      </c>
      <c r="H757" s="1" t="s">
        <v>16</v>
      </c>
      <c r="I757" s="1" t="s">
        <v>721</v>
      </c>
      <c r="J757" s="1">
        <v>3000000</v>
      </c>
      <c r="K757" s="1">
        <v>30000000</v>
      </c>
      <c r="L757" s="1">
        <v>0</v>
      </c>
      <c r="M757" s="1">
        <v>0</v>
      </c>
      <c r="N757" s="1" t="s">
        <v>122</v>
      </c>
      <c r="O757" s="1">
        <v>1.3998577299999999</v>
      </c>
      <c r="P757" s="1">
        <v>0.1</v>
      </c>
      <c r="Q757" s="83">
        <v>82.835999999999999</v>
      </c>
      <c r="R757" s="83">
        <v>82.835999999999999</v>
      </c>
      <c r="S757" s="1">
        <v>82.835999999999999</v>
      </c>
      <c r="T757" s="83">
        <v>0</v>
      </c>
      <c r="U757" s="1" t="s">
        <v>122</v>
      </c>
      <c r="V757" s="1" t="s">
        <v>836</v>
      </c>
      <c r="W757" s="1">
        <v>4781.60363426</v>
      </c>
      <c r="X757" s="1"/>
      <c r="Y757" s="83" t="str">
        <f>VLOOKUP(LossTable[[#This Row],[Department]],$A$15:$B$40,2,FALSE)</f>
        <v>TP</v>
      </c>
    </row>
    <row r="758" spans="4:25" x14ac:dyDescent="0.25">
      <c r="D758" s="78">
        <v>431739</v>
      </c>
      <c r="E758" s="78">
        <v>280037801</v>
      </c>
      <c r="F758" s="83" t="s">
        <v>45</v>
      </c>
      <c r="G758" s="1" t="s">
        <v>361</v>
      </c>
      <c r="H758" s="1" t="s">
        <v>16</v>
      </c>
      <c r="I758" s="1" t="s">
        <v>362</v>
      </c>
      <c r="J758" s="1">
        <v>1500000</v>
      </c>
      <c r="K758" s="1">
        <v>10000000</v>
      </c>
      <c r="L758" s="1">
        <v>0</v>
      </c>
      <c r="M758" s="1">
        <v>0</v>
      </c>
      <c r="N758" s="1" t="s">
        <v>357</v>
      </c>
      <c r="O758" s="1">
        <v>0.38922430000000002</v>
      </c>
      <c r="P758" s="1">
        <v>0.15</v>
      </c>
      <c r="Q758" s="83">
        <v>2635.857</v>
      </c>
      <c r="R758" s="83">
        <v>2635.857</v>
      </c>
      <c r="S758" s="1">
        <v>2635.857</v>
      </c>
      <c r="T758" s="83">
        <v>0</v>
      </c>
      <c r="U758" s="1" t="s">
        <v>122</v>
      </c>
      <c r="V758" s="1" t="s">
        <v>852</v>
      </c>
      <c r="W758" s="1">
        <v>3949.1976460300002</v>
      </c>
      <c r="X758" s="1"/>
      <c r="Y758" s="83" t="str">
        <f>VLOOKUP(LossTable[[#This Row],[Department]],$A$15:$B$40,2,FALSE)</f>
        <v>FP</v>
      </c>
    </row>
    <row r="759" spans="4:25" x14ac:dyDescent="0.25">
      <c r="D759" s="78">
        <v>431801</v>
      </c>
      <c r="E759" s="78">
        <v>280037801</v>
      </c>
      <c r="F759" s="83" t="s">
        <v>94</v>
      </c>
      <c r="G759" s="1" t="s">
        <v>272</v>
      </c>
      <c r="H759" s="1" t="s">
        <v>16</v>
      </c>
      <c r="I759" s="1" t="s">
        <v>294</v>
      </c>
      <c r="J759" s="1">
        <v>1500000</v>
      </c>
      <c r="K759" s="1">
        <v>15000000</v>
      </c>
      <c r="L759" s="1">
        <v>0</v>
      </c>
      <c r="M759" s="1">
        <v>0</v>
      </c>
      <c r="N759" s="1" t="s">
        <v>295</v>
      </c>
      <c r="O759" s="1">
        <v>0.12</v>
      </c>
      <c r="P759" s="1">
        <v>0.1</v>
      </c>
      <c r="Q759" s="83">
        <v>34.948999999999998</v>
      </c>
      <c r="R759" s="83">
        <v>34.948999999999998</v>
      </c>
      <c r="S759" s="1">
        <v>34.948999999999998</v>
      </c>
      <c r="T759" s="83">
        <v>0</v>
      </c>
      <c r="U759" s="1" t="s">
        <v>122</v>
      </c>
      <c r="V759" s="1" t="s">
        <v>852</v>
      </c>
      <c r="W759" s="1">
        <v>3949.1976460300002</v>
      </c>
      <c r="X759" s="1"/>
      <c r="Y759" s="83" t="str">
        <f>VLOOKUP(LossTable[[#This Row],[Department]],$A$15:$B$40,2,FALSE)</f>
        <v>TP</v>
      </c>
    </row>
    <row r="760" spans="4:25" x14ac:dyDescent="0.25">
      <c r="D760" s="78">
        <v>434244</v>
      </c>
      <c r="E760" s="78">
        <v>280037801</v>
      </c>
      <c r="F760" s="83" t="s">
        <v>21</v>
      </c>
      <c r="G760" s="1" t="s">
        <v>188</v>
      </c>
      <c r="H760" s="1" t="s">
        <v>14</v>
      </c>
      <c r="I760" s="1" t="s">
        <v>189</v>
      </c>
      <c r="J760" s="1">
        <v>4500000</v>
      </c>
      <c r="K760" s="1">
        <v>150000000</v>
      </c>
      <c r="L760" s="1">
        <v>0</v>
      </c>
      <c r="M760" s="1">
        <v>0</v>
      </c>
      <c r="N760" s="1" t="s">
        <v>161</v>
      </c>
      <c r="O760" s="1">
        <v>1.36166667</v>
      </c>
      <c r="P760" s="1">
        <v>0.03</v>
      </c>
      <c r="Q760" s="83">
        <v>1427.9232</v>
      </c>
      <c r="R760" s="83">
        <v>1427.9232</v>
      </c>
      <c r="S760" s="1">
        <v>1427.9232</v>
      </c>
      <c r="T760" s="83">
        <v>0</v>
      </c>
      <c r="U760" s="1" t="s">
        <v>122</v>
      </c>
      <c r="V760" s="1" t="s">
        <v>852</v>
      </c>
      <c r="W760" s="1">
        <v>3949.1976460300002</v>
      </c>
      <c r="X760" s="1"/>
      <c r="Y760" s="83" t="str">
        <f>VLOOKUP(LossTable[[#This Row],[Department]],$A$15:$B$40,2,FALSE)</f>
        <v>London</v>
      </c>
    </row>
    <row r="761" spans="4:25" x14ac:dyDescent="0.25">
      <c r="D761" s="78">
        <v>435697</v>
      </c>
      <c r="E761" s="78">
        <v>280037801</v>
      </c>
      <c r="F761" s="83" t="s">
        <v>94</v>
      </c>
      <c r="G761" s="1" t="s">
        <v>318</v>
      </c>
      <c r="H761" s="1" t="s">
        <v>16</v>
      </c>
      <c r="I761" s="1" t="s">
        <v>328</v>
      </c>
      <c r="J761" s="1">
        <v>6500000</v>
      </c>
      <c r="K761" s="1">
        <v>130000000</v>
      </c>
      <c r="L761" s="1">
        <v>0</v>
      </c>
      <c r="M761" s="1">
        <v>0</v>
      </c>
      <c r="N761" s="1" t="s">
        <v>329</v>
      </c>
      <c r="O761" s="1">
        <v>0.12692307999999999</v>
      </c>
      <c r="P761" s="1">
        <v>0.05</v>
      </c>
      <c r="Q761" s="83">
        <v>1908.1904999999999</v>
      </c>
      <c r="R761" s="83">
        <v>1908.1904999999999</v>
      </c>
      <c r="S761" s="1">
        <v>1908.1904999999999</v>
      </c>
      <c r="T761" s="83">
        <v>0</v>
      </c>
      <c r="U761" s="1" t="s">
        <v>122</v>
      </c>
      <c r="V761" s="1" t="s">
        <v>852</v>
      </c>
      <c r="W761" s="1">
        <v>3949.1976460300002</v>
      </c>
      <c r="X761" s="1"/>
      <c r="Y761" s="83" t="str">
        <f>VLOOKUP(LossTable[[#This Row],[Department]],$A$15:$B$40,2,FALSE)</f>
        <v>TP</v>
      </c>
    </row>
    <row r="762" spans="4:25" x14ac:dyDescent="0.25">
      <c r="D762" s="78">
        <v>435996</v>
      </c>
      <c r="E762" s="78">
        <v>280037801</v>
      </c>
      <c r="F762" s="83" t="s">
        <v>94</v>
      </c>
      <c r="G762" s="1" t="s">
        <v>174</v>
      </c>
      <c r="H762" s="1" t="s">
        <v>14</v>
      </c>
      <c r="I762" s="1" t="s">
        <v>421</v>
      </c>
      <c r="J762" s="1">
        <v>7312500</v>
      </c>
      <c r="K762" s="1">
        <v>975000000</v>
      </c>
      <c r="L762" s="1">
        <v>0</v>
      </c>
      <c r="M762" s="1">
        <v>0</v>
      </c>
      <c r="N762" s="1" t="s">
        <v>422</v>
      </c>
      <c r="O762" s="1">
        <v>1.48010011</v>
      </c>
      <c r="P762" s="1">
        <v>7.4999999999999997E-3</v>
      </c>
      <c r="Q762" s="83">
        <v>61286.456774999999</v>
      </c>
      <c r="R762" s="83">
        <v>61286.456774999999</v>
      </c>
      <c r="S762" s="1">
        <v>61286.456774999999</v>
      </c>
      <c r="T762" s="83">
        <v>0</v>
      </c>
      <c r="U762" s="1" t="s">
        <v>122</v>
      </c>
      <c r="V762" s="1" t="s">
        <v>852</v>
      </c>
      <c r="W762" s="1">
        <v>3949.1976460300002</v>
      </c>
      <c r="X762" s="1"/>
      <c r="Y762" s="83" t="str">
        <f>VLOOKUP(LossTable[[#This Row],[Department]],$A$15:$B$40,2,FALSE)</f>
        <v>TP</v>
      </c>
    </row>
    <row r="763" spans="4:25" x14ac:dyDescent="0.25">
      <c r="D763" s="78">
        <v>437594</v>
      </c>
      <c r="E763" s="78">
        <v>280037801</v>
      </c>
      <c r="F763" s="83" t="s">
        <v>94</v>
      </c>
      <c r="G763" s="1" t="s">
        <v>347</v>
      </c>
      <c r="H763" s="1" t="s">
        <v>14</v>
      </c>
      <c r="I763" s="1" t="s">
        <v>348</v>
      </c>
      <c r="J763" s="1">
        <v>1875000</v>
      </c>
      <c r="K763" s="1">
        <v>30000000</v>
      </c>
      <c r="L763" s="1">
        <v>0</v>
      </c>
      <c r="M763" s="1">
        <v>0</v>
      </c>
      <c r="N763" s="1" t="s">
        <v>122</v>
      </c>
      <c r="O763" s="1">
        <v>5.3494280099999996</v>
      </c>
      <c r="P763" s="1">
        <v>6.25E-2</v>
      </c>
      <c r="Q763" s="83">
        <v>182103.170625</v>
      </c>
      <c r="R763" s="83">
        <v>182103.170625</v>
      </c>
      <c r="S763" s="1">
        <v>182103.170625</v>
      </c>
      <c r="T763" s="83">
        <v>0</v>
      </c>
      <c r="U763" s="1" t="s">
        <v>122</v>
      </c>
      <c r="V763" s="1" t="s">
        <v>852</v>
      </c>
      <c r="W763" s="1">
        <v>3949.1976460300002</v>
      </c>
      <c r="X763" s="1"/>
      <c r="Y763" s="83" t="str">
        <f>VLOOKUP(LossTable[[#This Row],[Department]],$A$15:$B$40,2,FALSE)</f>
        <v>TP</v>
      </c>
    </row>
    <row r="764" spans="4:25" x14ac:dyDescent="0.25">
      <c r="D764" s="78">
        <v>439199</v>
      </c>
      <c r="E764" s="78">
        <v>280037801</v>
      </c>
      <c r="F764" s="83" t="s">
        <v>94</v>
      </c>
      <c r="G764" s="1" t="s">
        <v>438</v>
      </c>
      <c r="H764" s="1" t="s">
        <v>16</v>
      </c>
      <c r="I764" s="1" t="s">
        <v>439</v>
      </c>
      <c r="J764" s="1">
        <v>500000</v>
      </c>
      <c r="K764" s="1">
        <v>10000000</v>
      </c>
      <c r="L764" s="1">
        <v>0</v>
      </c>
      <c r="M764" s="1">
        <v>0</v>
      </c>
      <c r="N764" s="1" t="s">
        <v>315</v>
      </c>
      <c r="O764" s="1">
        <v>0.40009453</v>
      </c>
      <c r="P764" s="1">
        <v>0.05</v>
      </c>
      <c r="Q764" s="83">
        <v>13767.413500000001</v>
      </c>
      <c r="R764" s="83">
        <v>13767.413500000001</v>
      </c>
      <c r="S764" s="1">
        <v>13767.413500000001</v>
      </c>
      <c r="T764" s="83">
        <v>0</v>
      </c>
      <c r="U764" s="1" t="s">
        <v>122</v>
      </c>
      <c r="V764" s="1" t="s">
        <v>852</v>
      </c>
      <c r="W764" s="1">
        <v>3949.1976460300002</v>
      </c>
      <c r="X764" s="1"/>
      <c r="Y764" s="83" t="str">
        <f>VLOOKUP(LossTable[[#This Row],[Department]],$A$15:$B$40,2,FALSE)</f>
        <v>TP</v>
      </c>
    </row>
    <row r="765" spans="4:25" x14ac:dyDescent="0.25">
      <c r="D765" s="78">
        <v>445339</v>
      </c>
      <c r="E765" s="78">
        <v>280037801</v>
      </c>
      <c r="F765" s="83" t="s">
        <v>94</v>
      </c>
      <c r="G765" s="1" t="s">
        <v>416</v>
      </c>
      <c r="H765" s="1" t="s">
        <v>16</v>
      </c>
      <c r="I765" s="1" t="s">
        <v>417</v>
      </c>
      <c r="J765" s="1">
        <v>6875000</v>
      </c>
      <c r="K765" s="1">
        <v>275000000</v>
      </c>
      <c r="L765" s="1">
        <v>0</v>
      </c>
      <c r="M765" s="1">
        <v>0</v>
      </c>
      <c r="N765" s="1" t="s">
        <v>418</v>
      </c>
      <c r="O765" s="1">
        <v>0.42727272999999999</v>
      </c>
      <c r="P765" s="1">
        <v>2.5000000000000001E-2</v>
      </c>
      <c r="Q765" s="83">
        <v>9299.3169999999991</v>
      </c>
      <c r="R765" s="83">
        <v>9299.3169999999991</v>
      </c>
      <c r="S765" s="1">
        <v>9299.3169999999991</v>
      </c>
      <c r="T765" s="83">
        <v>0</v>
      </c>
      <c r="U765" s="1" t="s">
        <v>122</v>
      </c>
      <c r="V765" s="1" t="s">
        <v>852</v>
      </c>
      <c r="W765" s="1">
        <v>3949.1976460300002</v>
      </c>
      <c r="X765" s="1"/>
      <c r="Y765" s="83" t="str">
        <f>VLOOKUP(LossTable[[#This Row],[Department]],$A$15:$B$40,2,FALSE)</f>
        <v>TP</v>
      </c>
    </row>
    <row r="766" spans="4:25" x14ac:dyDescent="0.25">
      <c r="D766" s="78">
        <v>445351</v>
      </c>
      <c r="E766" s="78">
        <v>280037801</v>
      </c>
      <c r="F766" s="83" t="s">
        <v>94</v>
      </c>
      <c r="G766" s="1" t="s">
        <v>460</v>
      </c>
      <c r="H766" s="1" t="s">
        <v>14</v>
      </c>
      <c r="I766" s="1" t="s">
        <v>461</v>
      </c>
      <c r="J766" s="1">
        <v>8750000</v>
      </c>
      <c r="K766" s="1">
        <v>125000000</v>
      </c>
      <c r="L766" s="1">
        <v>0</v>
      </c>
      <c r="M766" s="1">
        <v>0</v>
      </c>
      <c r="N766" s="1" t="s">
        <v>190</v>
      </c>
      <c r="O766" s="1">
        <v>1.30571993</v>
      </c>
      <c r="P766" s="1">
        <v>7.0000000000000007E-2</v>
      </c>
      <c r="Q766" s="83">
        <v>36789.479299999999</v>
      </c>
      <c r="R766" s="83">
        <v>36789.479299999999</v>
      </c>
      <c r="S766" s="1">
        <v>36789.479299999999</v>
      </c>
      <c r="T766" s="83">
        <v>0</v>
      </c>
      <c r="U766" s="1" t="s">
        <v>122</v>
      </c>
      <c r="V766" s="1" t="s">
        <v>852</v>
      </c>
      <c r="W766" s="1">
        <v>3949.1976460300002</v>
      </c>
      <c r="X766" s="1"/>
      <c r="Y766" s="83" t="str">
        <f>VLOOKUP(LossTable[[#This Row],[Department]],$A$15:$B$40,2,FALSE)</f>
        <v>TP</v>
      </c>
    </row>
    <row r="767" spans="4:25" x14ac:dyDescent="0.25">
      <c r="D767" s="78">
        <v>445707</v>
      </c>
      <c r="E767" s="78">
        <v>280037801</v>
      </c>
      <c r="F767" s="83" t="s">
        <v>94</v>
      </c>
      <c r="G767" s="1" t="s">
        <v>430</v>
      </c>
      <c r="H767" s="1" t="s">
        <v>16</v>
      </c>
      <c r="I767" s="1" t="s">
        <v>431</v>
      </c>
      <c r="J767" s="1">
        <v>2250000</v>
      </c>
      <c r="K767" s="1">
        <v>50000000</v>
      </c>
      <c r="L767" s="1">
        <v>0</v>
      </c>
      <c r="M767" s="1">
        <v>0</v>
      </c>
      <c r="N767" s="1" t="s">
        <v>432</v>
      </c>
      <c r="O767" s="1">
        <v>6.2E-2</v>
      </c>
      <c r="P767" s="1">
        <v>4.4999999999999998E-2</v>
      </c>
      <c r="Q767" s="83">
        <v>39.57705</v>
      </c>
      <c r="R767" s="83">
        <v>39.57705</v>
      </c>
      <c r="S767" s="1">
        <v>39.57705</v>
      </c>
      <c r="T767" s="83">
        <v>0</v>
      </c>
      <c r="U767" s="1" t="s">
        <v>122</v>
      </c>
      <c r="V767" s="1" t="s">
        <v>852</v>
      </c>
      <c r="W767" s="1">
        <v>3949.1976460300002</v>
      </c>
      <c r="X767" s="1"/>
      <c r="Y767" s="83" t="str">
        <f>VLOOKUP(LossTable[[#This Row],[Department]],$A$15:$B$40,2,FALSE)</f>
        <v>TP</v>
      </c>
    </row>
    <row r="768" spans="4:25" x14ac:dyDescent="0.25">
      <c r="D768" s="78">
        <v>445992</v>
      </c>
      <c r="E768" s="78">
        <v>280037801</v>
      </c>
      <c r="F768" s="83" t="s">
        <v>94</v>
      </c>
      <c r="G768" s="1" t="s">
        <v>440</v>
      </c>
      <c r="H768" s="1" t="s">
        <v>16</v>
      </c>
      <c r="I768" s="1" t="s">
        <v>506</v>
      </c>
      <c r="J768" s="1">
        <v>20000000</v>
      </c>
      <c r="K768" s="1">
        <v>250000000</v>
      </c>
      <c r="L768" s="1">
        <v>0</v>
      </c>
      <c r="M768" s="1">
        <v>0</v>
      </c>
      <c r="N768" s="1" t="s">
        <v>507</v>
      </c>
      <c r="O768" s="1">
        <v>0.05</v>
      </c>
      <c r="P768" s="1">
        <v>0.08</v>
      </c>
      <c r="Q768" s="83">
        <v>1604.3720000000001</v>
      </c>
      <c r="R768" s="83">
        <v>1604.3720000000001</v>
      </c>
      <c r="S768" s="1">
        <v>1604.3720000000001</v>
      </c>
      <c r="T768" s="83">
        <v>0</v>
      </c>
      <c r="U768" s="1" t="s">
        <v>122</v>
      </c>
      <c r="V768" s="1" t="s">
        <v>852</v>
      </c>
      <c r="W768" s="1">
        <v>3949.1976460300002</v>
      </c>
      <c r="X768" s="1"/>
      <c r="Y768" s="83" t="str">
        <f>VLOOKUP(LossTable[[#This Row],[Department]],$A$15:$B$40,2,FALSE)</f>
        <v>TP</v>
      </c>
    </row>
    <row r="769" spans="4:25" x14ac:dyDescent="0.25">
      <c r="D769" s="78">
        <v>446144</v>
      </c>
      <c r="E769" s="78">
        <v>280037801</v>
      </c>
      <c r="F769" s="83" t="s">
        <v>94</v>
      </c>
      <c r="G769" s="1" t="s">
        <v>527</v>
      </c>
      <c r="H769" s="1" t="s">
        <v>16</v>
      </c>
      <c r="I769" s="1" t="s">
        <v>528</v>
      </c>
      <c r="J769" s="1">
        <v>1000000</v>
      </c>
      <c r="K769" s="1">
        <v>40000000</v>
      </c>
      <c r="L769" s="1">
        <v>0</v>
      </c>
      <c r="M769" s="1">
        <v>0</v>
      </c>
      <c r="N769" s="1" t="s">
        <v>122</v>
      </c>
      <c r="O769" s="1">
        <v>0.48265581000000002</v>
      </c>
      <c r="P769" s="1">
        <v>2.5000000000000001E-2</v>
      </c>
      <c r="Q769" s="83">
        <v>186.97024999999999</v>
      </c>
      <c r="R769" s="83">
        <v>186.97024999999999</v>
      </c>
      <c r="S769" s="1">
        <v>186.97024999999999</v>
      </c>
      <c r="T769" s="83">
        <v>0</v>
      </c>
      <c r="U769" s="1" t="s">
        <v>122</v>
      </c>
      <c r="V769" s="1" t="s">
        <v>852</v>
      </c>
      <c r="W769" s="1">
        <v>3949.1976460300002</v>
      </c>
      <c r="X769" s="1"/>
      <c r="Y769" s="83" t="str">
        <f>VLOOKUP(LossTable[[#This Row],[Department]],$A$15:$B$40,2,FALSE)</f>
        <v>TP</v>
      </c>
    </row>
    <row r="770" spans="4:25" x14ac:dyDescent="0.25">
      <c r="D770" s="78">
        <v>446804</v>
      </c>
      <c r="E770" s="78">
        <v>280037801</v>
      </c>
      <c r="F770" s="83" t="s">
        <v>94</v>
      </c>
      <c r="G770" s="1" t="s">
        <v>448</v>
      </c>
      <c r="H770" s="1" t="s">
        <v>16</v>
      </c>
      <c r="I770" s="1" t="s">
        <v>511</v>
      </c>
      <c r="J770" s="1">
        <v>4375000</v>
      </c>
      <c r="K770" s="1">
        <v>175000000</v>
      </c>
      <c r="L770" s="1">
        <v>0</v>
      </c>
      <c r="M770" s="1">
        <v>0</v>
      </c>
      <c r="N770" s="1" t="s">
        <v>512</v>
      </c>
      <c r="O770" s="1">
        <v>5.856476E-2</v>
      </c>
      <c r="P770" s="1">
        <v>2.5000000000000001E-2</v>
      </c>
      <c r="Q770" s="83">
        <v>1602.41725</v>
      </c>
      <c r="R770" s="83">
        <v>1602.41725</v>
      </c>
      <c r="S770" s="1">
        <v>1602.41725</v>
      </c>
      <c r="T770" s="83">
        <v>0</v>
      </c>
      <c r="U770" s="1" t="s">
        <v>122</v>
      </c>
      <c r="V770" s="1" t="s">
        <v>852</v>
      </c>
      <c r="W770" s="1">
        <v>3949.1976460300002</v>
      </c>
      <c r="X770" s="1"/>
      <c r="Y770" s="83" t="str">
        <f>VLOOKUP(LossTable[[#This Row],[Department]],$A$15:$B$40,2,FALSE)</f>
        <v>TP</v>
      </c>
    </row>
    <row r="771" spans="4:25" x14ac:dyDescent="0.25">
      <c r="D771" s="78">
        <v>447395</v>
      </c>
      <c r="E771" s="78">
        <v>280037801</v>
      </c>
      <c r="F771" s="83" t="s">
        <v>94</v>
      </c>
      <c r="G771" s="1" t="s">
        <v>482</v>
      </c>
      <c r="H771" s="1" t="s">
        <v>16</v>
      </c>
      <c r="I771" s="1" t="s">
        <v>483</v>
      </c>
      <c r="J771" s="1">
        <v>1800000</v>
      </c>
      <c r="K771" s="1">
        <v>10000000</v>
      </c>
      <c r="L771" s="1">
        <v>0</v>
      </c>
      <c r="M771" s="1">
        <v>0</v>
      </c>
      <c r="N771" s="1" t="s">
        <v>257</v>
      </c>
      <c r="O771" s="1">
        <v>0.54</v>
      </c>
      <c r="P771" s="1">
        <v>0.18</v>
      </c>
      <c r="Q771" s="83">
        <v>11448.685799999999</v>
      </c>
      <c r="R771" s="83">
        <v>11448.685799999999</v>
      </c>
      <c r="S771" s="1">
        <v>11448.685799999999</v>
      </c>
      <c r="T771" s="83">
        <v>0</v>
      </c>
      <c r="U771" s="1" t="s">
        <v>122</v>
      </c>
      <c r="V771" s="1" t="s">
        <v>852</v>
      </c>
      <c r="W771" s="1">
        <v>3949.1976460300002</v>
      </c>
      <c r="X771" s="1"/>
      <c r="Y771" s="83" t="str">
        <f>VLOOKUP(LossTable[[#This Row],[Department]],$A$15:$B$40,2,FALSE)</f>
        <v>TP</v>
      </c>
    </row>
    <row r="772" spans="4:25" x14ac:dyDescent="0.25">
      <c r="D772" s="78">
        <v>448029</v>
      </c>
      <c r="E772" s="78">
        <v>280037801</v>
      </c>
      <c r="F772" s="83" t="s">
        <v>94</v>
      </c>
      <c r="G772" s="1" t="s">
        <v>395</v>
      </c>
      <c r="H772" s="1" t="s">
        <v>16</v>
      </c>
      <c r="I772" s="1" t="s">
        <v>503</v>
      </c>
      <c r="J772" s="1">
        <v>2370062.3813999998</v>
      </c>
      <c r="K772" s="1">
        <v>67716068.040000007</v>
      </c>
      <c r="L772" s="1">
        <v>0</v>
      </c>
      <c r="M772" s="1">
        <v>0</v>
      </c>
      <c r="N772" s="1" t="s">
        <v>504</v>
      </c>
      <c r="O772" s="1">
        <v>0.185</v>
      </c>
      <c r="P772" s="1">
        <v>3.5000000000000003E-2</v>
      </c>
      <c r="Q772" s="83">
        <v>3287.0988499999999</v>
      </c>
      <c r="R772" s="83">
        <v>3287.0988499999999</v>
      </c>
      <c r="S772" s="1">
        <v>3287.0988499999999</v>
      </c>
      <c r="T772" s="83">
        <v>0</v>
      </c>
      <c r="U772" s="1" t="s">
        <v>122</v>
      </c>
      <c r="V772" s="1" t="s">
        <v>852</v>
      </c>
      <c r="W772" s="1">
        <v>3949.1976460300002</v>
      </c>
      <c r="X772" s="1"/>
      <c r="Y772" s="83" t="str">
        <f>VLOOKUP(LossTable[[#This Row],[Department]],$A$15:$B$40,2,FALSE)</f>
        <v>TP</v>
      </c>
    </row>
    <row r="773" spans="4:25" x14ac:dyDescent="0.25">
      <c r="D773" s="78">
        <v>448492</v>
      </c>
      <c r="E773" s="78">
        <v>280037801</v>
      </c>
      <c r="F773" s="83" t="s">
        <v>94</v>
      </c>
      <c r="G773" s="1" t="s">
        <v>533</v>
      </c>
      <c r="H773" s="1" t="s">
        <v>16</v>
      </c>
      <c r="I773" s="1" t="s">
        <v>534</v>
      </c>
      <c r="J773" s="1">
        <v>7500000</v>
      </c>
      <c r="K773" s="1">
        <v>300000000</v>
      </c>
      <c r="L773" s="1">
        <v>0</v>
      </c>
      <c r="M773" s="1">
        <v>0</v>
      </c>
      <c r="N773" s="1" t="s">
        <v>535</v>
      </c>
      <c r="O773" s="1">
        <v>0.315</v>
      </c>
      <c r="P773" s="1">
        <v>2.5000000000000001E-2</v>
      </c>
      <c r="Q773" s="83">
        <v>13906.023999999999</v>
      </c>
      <c r="R773" s="83">
        <v>13906.023999999999</v>
      </c>
      <c r="S773" s="1">
        <v>13906.023999999999</v>
      </c>
      <c r="T773" s="83">
        <v>0</v>
      </c>
      <c r="U773" s="1" t="s">
        <v>122</v>
      </c>
      <c r="V773" s="1" t="s">
        <v>852</v>
      </c>
      <c r="W773" s="1">
        <v>3949.1976460300002</v>
      </c>
      <c r="X773" s="1"/>
      <c r="Y773" s="83" t="str">
        <f>VLOOKUP(LossTable[[#This Row],[Department]],$A$15:$B$40,2,FALSE)</f>
        <v>TP</v>
      </c>
    </row>
    <row r="774" spans="4:25" x14ac:dyDescent="0.25">
      <c r="D774" s="78">
        <v>450201</v>
      </c>
      <c r="E774" s="78">
        <v>280037801</v>
      </c>
      <c r="F774" s="83" t="s">
        <v>42</v>
      </c>
      <c r="G774" s="1" t="s">
        <v>515</v>
      </c>
      <c r="H774" s="1" t="s">
        <v>14</v>
      </c>
      <c r="I774" s="1" t="s">
        <v>516</v>
      </c>
      <c r="J774" s="1">
        <v>16910088.359999999</v>
      </c>
      <c r="K774" s="1">
        <v>16910088.359999999</v>
      </c>
      <c r="L774" s="1">
        <v>0</v>
      </c>
      <c r="M774" s="1">
        <v>0</v>
      </c>
      <c r="N774" s="1" t="s">
        <v>14</v>
      </c>
      <c r="O774" s="1">
        <v>0.75715511999999996</v>
      </c>
      <c r="P774" s="1">
        <v>1</v>
      </c>
      <c r="Q774" s="83">
        <v>802.1</v>
      </c>
      <c r="R774" s="83">
        <v>802.1</v>
      </c>
      <c r="S774" s="1">
        <v>802.1</v>
      </c>
      <c r="T774" s="83">
        <v>0</v>
      </c>
      <c r="U774" s="1" t="s">
        <v>122</v>
      </c>
      <c r="V774" s="1" t="s">
        <v>852</v>
      </c>
      <c r="W774" s="1">
        <v>3949.1976460300002</v>
      </c>
      <c r="X774" s="1"/>
      <c r="Y774" s="83" t="str">
        <f>VLOOKUP(LossTable[[#This Row],[Department]],$A$15:$B$40,2,FALSE)</f>
        <v>FP</v>
      </c>
    </row>
    <row r="775" spans="4:25" x14ac:dyDescent="0.25">
      <c r="D775" s="78">
        <v>456761</v>
      </c>
      <c r="E775" s="78">
        <v>280037801</v>
      </c>
      <c r="F775" s="83" t="s">
        <v>45</v>
      </c>
      <c r="G775" s="1" t="s">
        <v>577</v>
      </c>
      <c r="H775" s="1" t="s">
        <v>14</v>
      </c>
      <c r="I775" s="1" t="s">
        <v>589</v>
      </c>
      <c r="J775" s="1">
        <v>5094000</v>
      </c>
      <c r="K775" s="1">
        <v>25470000</v>
      </c>
      <c r="L775" s="1">
        <v>0</v>
      </c>
      <c r="M775" s="1">
        <v>0</v>
      </c>
      <c r="N775" s="1" t="s">
        <v>590</v>
      </c>
      <c r="O775" s="1">
        <v>1.7667840000000001E-2</v>
      </c>
      <c r="P775" s="1">
        <v>0.2</v>
      </c>
      <c r="Q775" s="83">
        <v>259.41800000000001</v>
      </c>
      <c r="R775" s="83">
        <v>259.41800000000001</v>
      </c>
      <c r="S775" s="1">
        <v>259.41800000000001</v>
      </c>
      <c r="T775" s="83">
        <v>0</v>
      </c>
      <c r="U775" s="1" t="s">
        <v>122</v>
      </c>
      <c r="V775" s="1" t="s">
        <v>852</v>
      </c>
      <c r="W775" s="1">
        <v>3949.1976460300002</v>
      </c>
      <c r="X775" s="1"/>
      <c r="Y775" s="83" t="str">
        <f>VLOOKUP(LossTable[[#This Row],[Department]],$A$15:$B$40,2,FALSE)</f>
        <v>FP</v>
      </c>
    </row>
    <row r="776" spans="4:25" x14ac:dyDescent="0.25">
      <c r="D776" s="78">
        <v>462541</v>
      </c>
      <c r="E776" s="78">
        <v>280037801</v>
      </c>
      <c r="F776" s="83" t="s">
        <v>94</v>
      </c>
      <c r="G776" s="1" t="s">
        <v>586</v>
      </c>
      <c r="H776" s="1" t="s">
        <v>14</v>
      </c>
      <c r="I776" s="1" t="s">
        <v>587</v>
      </c>
      <c r="J776" s="1">
        <v>12500000</v>
      </c>
      <c r="K776" s="1">
        <v>25000000</v>
      </c>
      <c r="L776" s="1">
        <v>0</v>
      </c>
      <c r="M776" s="1">
        <v>0</v>
      </c>
      <c r="N776" s="1" t="s">
        <v>588</v>
      </c>
      <c r="O776" s="1">
        <v>0.3</v>
      </c>
      <c r="P776" s="1">
        <v>0.5</v>
      </c>
      <c r="Q776" s="83">
        <v>11298.63</v>
      </c>
      <c r="R776" s="83">
        <v>11298.63</v>
      </c>
      <c r="S776" s="1">
        <v>11298.63</v>
      </c>
      <c r="T776" s="83">
        <v>0</v>
      </c>
      <c r="U776" s="1" t="s">
        <v>122</v>
      </c>
      <c r="V776" s="1" t="s">
        <v>852</v>
      </c>
      <c r="W776" s="1">
        <v>3949.1976460300002</v>
      </c>
      <c r="X776" s="1"/>
      <c r="Y776" s="83" t="str">
        <f>VLOOKUP(LossTable[[#This Row],[Department]],$A$15:$B$40,2,FALSE)</f>
        <v>TP</v>
      </c>
    </row>
    <row r="777" spans="4:25" x14ac:dyDescent="0.25">
      <c r="D777" s="78">
        <v>463056</v>
      </c>
      <c r="E777" s="78">
        <v>280037801</v>
      </c>
      <c r="F777" s="83" t="s">
        <v>12</v>
      </c>
      <c r="G777" s="1" t="s">
        <v>612</v>
      </c>
      <c r="H777" s="1" t="s">
        <v>14</v>
      </c>
      <c r="I777" s="1" t="s">
        <v>613</v>
      </c>
      <c r="J777" s="1">
        <v>37355599.248012401</v>
      </c>
      <c r="K777" s="1">
        <v>1105195244.02404</v>
      </c>
      <c r="L777" s="1">
        <v>0</v>
      </c>
      <c r="M777" s="1">
        <v>0</v>
      </c>
      <c r="N777" s="1" t="s">
        <v>154</v>
      </c>
      <c r="O777" s="1">
        <v>0.62324833999999996</v>
      </c>
      <c r="P777" s="1">
        <v>3.3799999999999997E-2</v>
      </c>
      <c r="Q777" s="83">
        <v>20629.932521030001</v>
      </c>
      <c r="R777" s="83">
        <v>20629.932521030001</v>
      </c>
      <c r="S777" s="1">
        <v>20629.932521030001</v>
      </c>
      <c r="T777" s="83">
        <v>0</v>
      </c>
      <c r="U777" s="1" t="s">
        <v>122</v>
      </c>
      <c r="V777" s="1" t="s">
        <v>852</v>
      </c>
      <c r="W777" s="1">
        <v>3949.1976460300002</v>
      </c>
      <c r="X777" s="1"/>
      <c r="Y777" s="83" t="str">
        <f>VLOOKUP(LossTable[[#This Row],[Department]],$A$15:$B$40,2,FALSE)</f>
        <v>Bermuda</v>
      </c>
    </row>
    <row r="778" spans="4:25" x14ac:dyDescent="0.25">
      <c r="D778" s="78">
        <v>467040</v>
      </c>
      <c r="E778" s="78">
        <v>280037801</v>
      </c>
      <c r="F778" s="83" t="s">
        <v>94</v>
      </c>
      <c r="G778" s="1" t="s">
        <v>565</v>
      </c>
      <c r="H778" s="1" t="s">
        <v>16</v>
      </c>
      <c r="I778" s="1" t="s">
        <v>566</v>
      </c>
      <c r="J778" s="1">
        <v>4000000</v>
      </c>
      <c r="K778" s="1">
        <v>80000000</v>
      </c>
      <c r="L778" s="1">
        <v>0</v>
      </c>
      <c r="M778" s="1">
        <v>0</v>
      </c>
      <c r="N778" s="1" t="s">
        <v>122</v>
      </c>
      <c r="O778" s="1">
        <v>0.20624999999999999</v>
      </c>
      <c r="P778" s="1">
        <v>0.05</v>
      </c>
      <c r="Q778" s="83">
        <v>4.4264999999999999</v>
      </c>
      <c r="R778" s="83">
        <v>4.4264999999999999</v>
      </c>
      <c r="S778" s="1">
        <v>4.4264999999999999</v>
      </c>
      <c r="T778" s="83">
        <v>0</v>
      </c>
      <c r="U778" s="1" t="s">
        <v>122</v>
      </c>
      <c r="V778" s="1" t="s">
        <v>852</v>
      </c>
      <c r="W778" s="1">
        <v>3949.1976460300002</v>
      </c>
      <c r="X778" s="1"/>
      <c r="Y778" s="83" t="str">
        <f>VLOOKUP(LossTable[[#This Row],[Department]],$A$15:$B$40,2,FALSE)</f>
        <v>TP</v>
      </c>
    </row>
    <row r="779" spans="4:25" x14ac:dyDescent="0.25">
      <c r="D779" s="78">
        <v>470053</v>
      </c>
      <c r="E779" s="78">
        <v>280037801</v>
      </c>
      <c r="F779" s="83" t="s">
        <v>95</v>
      </c>
      <c r="G779" s="1" t="s">
        <v>646</v>
      </c>
      <c r="H779" s="1" t="s">
        <v>14</v>
      </c>
      <c r="I779" s="1" t="s">
        <v>647</v>
      </c>
      <c r="J779" s="1">
        <v>25000000</v>
      </c>
      <c r="K779" s="1">
        <v>250000000</v>
      </c>
      <c r="L779" s="1">
        <v>0</v>
      </c>
      <c r="M779" s="1">
        <v>0</v>
      </c>
      <c r="N779" s="1" t="s">
        <v>122</v>
      </c>
      <c r="O779" s="1">
        <v>0.98461171999999997</v>
      </c>
      <c r="P779" s="1">
        <v>0.1</v>
      </c>
      <c r="Q779" s="83">
        <v>67414.536999999997</v>
      </c>
      <c r="R779" s="83">
        <v>67414.536999999997</v>
      </c>
      <c r="S779" s="1">
        <v>67414.536999999997</v>
      </c>
      <c r="T779" s="83">
        <v>0</v>
      </c>
      <c r="U779" s="1" t="s">
        <v>122</v>
      </c>
      <c r="V779" s="1" t="s">
        <v>852</v>
      </c>
      <c r="W779" s="1">
        <v>3949.1976460300002</v>
      </c>
      <c r="X779" s="1"/>
      <c r="Y779" s="83" t="str">
        <f>VLOOKUP(LossTable[[#This Row],[Department]],$A$15:$B$40,2,FALSE)</f>
        <v>Dublin</v>
      </c>
    </row>
    <row r="780" spans="4:25" x14ac:dyDescent="0.25">
      <c r="D780" s="78">
        <v>471373</v>
      </c>
      <c r="E780" s="78">
        <v>280037801</v>
      </c>
      <c r="F780" s="83" t="s">
        <v>94</v>
      </c>
      <c r="G780" s="1" t="s">
        <v>655</v>
      </c>
      <c r="H780" s="1" t="s">
        <v>14</v>
      </c>
      <c r="I780" s="1" t="s">
        <v>656</v>
      </c>
      <c r="J780" s="1">
        <v>19175000</v>
      </c>
      <c r="K780" s="1">
        <v>295000000</v>
      </c>
      <c r="L780" s="1">
        <v>0</v>
      </c>
      <c r="M780" s="1">
        <v>0</v>
      </c>
      <c r="N780" s="1" t="s">
        <v>122</v>
      </c>
      <c r="O780" s="1">
        <v>0.89590168999999997</v>
      </c>
      <c r="P780" s="1">
        <v>6.5000000000000002E-2</v>
      </c>
      <c r="Q780" s="83">
        <v>909176.57609999995</v>
      </c>
      <c r="R780" s="83">
        <v>909176.57609999995</v>
      </c>
      <c r="S780" s="1">
        <v>909176.57609999995</v>
      </c>
      <c r="T780" s="83">
        <v>0</v>
      </c>
      <c r="U780" s="1" t="s">
        <v>122</v>
      </c>
      <c r="V780" s="1" t="s">
        <v>852</v>
      </c>
      <c r="W780" s="1">
        <v>3949.1976460300002</v>
      </c>
      <c r="X780" s="1"/>
      <c r="Y780" s="83" t="str">
        <f>VLOOKUP(LossTable[[#This Row],[Department]],$A$15:$B$40,2,FALSE)</f>
        <v>TP</v>
      </c>
    </row>
    <row r="781" spans="4:25" x14ac:dyDescent="0.25">
      <c r="D781" s="78">
        <v>473014</v>
      </c>
      <c r="E781" s="78">
        <v>280037801</v>
      </c>
      <c r="F781" s="83" t="s">
        <v>21</v>
      </c>
      <c r="G781" s="1" t="s">
        <v>699</v>
      </c>
      <c r="H781" s="1" t="s">
        <v>14</v>
      </c>
      <c r="I781" s="1" t="s">
        <v>700</v>
      </c>
      <c r="J781" s="1">
        <v>7000000</v>
      </c>
      <c r="K781" s="1">
        <v>70000000</v>
      </c>
      <c r="L781" s="1">
        <v>0</v>
      </c>
      <c r="M781" s="1">
        <v>0</v>
      </c>
      <c r="N781" s="1" t="s">
        <v>701</v>
      </c>
      <c r="O781" s="1">
        <v>0.39285713999999999</v>
      </c>
      <c r="P781" s="1">
        <v>0.1</v>
      </c>
      <c r="Q781" s="83">
        <v>2176.433</v>
      </c>
      <c r="R781" s="83">
        <v>2176.433</v>
      </c>
      <c r="S781" s="1">
        <v>2176.433</v>
      </c>
      <c r="T781" s="83">
        <v>0</v>
      </c>
      <c r="U781" s="1" t="s">
        <v>122</v>
      </c>
      <c r="V781" s="1" t="s">
        <v>852</v>
      </c>
      <c r="W781" s="1">
        <v>3949.1976460300002</v>
      </c>
      <c r="X781" s="1"/>
      <c r="Y781" s="83" t="str">
        <f>VLOOKUP(LossTable[[#This Row],[Department]],$A$15:$B$40,2,FALSE)</f>
        <v>London</v>
      </c>
    </row>
    <row r="782" spans="4:25" x14ac:dyDescent="0.25">
      <c r="D782" s="78">
        <v>473719</v>
      </c>
      <c r="E782" s="78">
        <v>280037801</v>
      </c>
      <c r="F782" s="83" t="s">
        <v>15</v>
      </c>
      <c r="G782" s="1" t="s">
        <v>790</v>
      </c>
      <c r="H782" s="1" t="s">
        <v>16</v>
      </c>
      <c r="I782" s="1" t="s">
        <v>797</v>
      </c>
      <c r="J782" s="1">
        <v>8744441.9860839806</v>
      </c>
      <c r="K782" s="1">
        <v>43722209.9304199</v>
      </c>
      <c r="L782" s="1">
        <v>0</v>
      </c>
      <c r="M782" s="1">
        <v>0</v>
      </c>
      <c r="N782" s="1" t="s">
        <v>122</v>
      </c>
      <c r="O782" s="1">
        <v>1.32476142</v>
      </c>
      <c r="P782" s="1">
        <v>0.2</v>
      </c>
      <c r="Q782" s="83">
        <v>3836.7740343199998</v>
      </c>
      <c r="R782" s="83">
        <v>3836.7740343199998</v>
      </c>
      <c r="S782" s="1">
        <v>3836.7740343199998</v>
      </c>
      <c r="T782" s="83">
        <v>0</v>
      </c>
      <c r="U782" s="1" t="s">
        <v>122</v>
      </c>
      <c r="V782" s="1" t="s">
        <v>852</v>
      </c>
      <c r="W782" s="1">
        <v>3949.1976460300002</v>
      </c>
      <c r="X782" s="1"/>
      <c r="Y782" s="83" t="str">
        <f>VLOOKUP(LossTable[[#This Row],[Department]],$A$15:$B$40,2,FALSE)</f>
        <v>Canada</v>
      </c>
    </row>
    <row r="783" spans="4:25" x14ac:dyDescent="0.25">
      <c r="D783" s="78">
        <v>477259</v>
      </c>
      <c r="E783" s="78">
        <v>280037801</v>
      </c>
      <c r="F783" s="83" t="s">
        <v>92</v>
      </c>
      <c r="G783" s="1" t="s">
        <v>636</v>
      </c>
      <c r="H783" s="1" t="s">
        <v>14</v>
      </c>
      <c r="I783" s="1" t="s">
        <v>637</v>
      </c>
      <c r="J783" s="1">
        <v>41724794.761047699</v>
      </c>
      <c r="K783" s="1">
        <v>278165298.40698397</v>
      </c>
      <c r="L783" s="1">
        <v>0</v>
      </c>
      <c r="M783" s="1">
        <v>0</v>
      </c>
      <c r="N783" s="1" t="s">
        <v>14</v>
      </c>
      <c r="O783" s="1">
        <v>0.1689243</v>
      </c>
      <c r="P783" s="1">
        <v>0.15</v>
      </c>
      <c r="Q783" s="83">
        <v>2047.5421318399999</v>
      </c>
      <c r="R783" s="83">
        <v>2047.5421318399999</v>
      </c>
      <c r="S783" s="1">
        <v>2047.5421318399999</v>
      </c>
      <c r="T783" s="83">
        <v>0</v>
      </c>
      <c r="U783" s="1" t="s">
        <v>122</v>
      </c>
      <c r="V783" s="1" t="s">
        <v>852</v>
      </c>
      <c r="W783" s="1">
        <v>3949.1976460300002</v>
      </c>
      <c r="X783" s="1"/>
      <c r="Y783" s="83" t="str">
        <f>VLOOKUP(LossTable[[#This Row],[Department]],$A$15:$B$40,2,FALSE)</f>
        <v>FP</v>
      </c>
    </row>
    <row r="784" spans="4:25" x14ac:dyDescent="0.25">
      <c r="D784" s="78">
        <v>478527</v>
      </c>
      <c r="E784" s="78">
        <v>280037801</v>
      </c>
      <c r="F784" s="83" t="s">
        <v>94</v>
      </c>
      <c r="G784" s="1" t="s">
        <v>794</v>
      </c>
      <c r="H784" s="1" t="s">
        <v>16</v>
      </c>
      <c r="I784" s="1" t="s">
        <v>795</v>
      </c>
      <c r="J784" s="1">
        <v>4339224.6660000002</v>
      </c>
      <c r="K784" s="1">
        <v>28928164.440000001</v>
      </c>
      <c r="L784" s="1">
        <v>0</v>
      </c>
      <c r="M784" s="1">
        <v>0</v>
      </c>
      <c r="N784" s="1" t="s">
        <v>122</v>
      </c>
      <c r="O784" s="1">
        <v>0.2475</v>
      </c>
      <c r="P784" s="1">
        <v>0.15</v>
      </c>
      <c r="Q784" s="83">
        <v>49.398000000000003</v>
      </c>
      <c r="R784" s="83">
        <v>49.398000000000003</v>
      </c>
      <c r="S784" s="1">
        <v>49.398000000000003</v>
      </c>
      <c r="T784" s="83">
        <v>0</v>
      </c>
      <c r="U784" s="1" t="s">
        <v>122</v>
      </c>
      <c r="V784" s="1" t="s">
        <v>852</v>
      </c>
      <c r="W784" s="1">
        <v>3949.1976460300002</v>
      </c>
      <c r="X784" s="1"/>
      <c r="Y784" s="83" t="str">
        <f>VLOOKUP(LossTable[[#This Row],[Department]],$A$15:$B$40,2,FALSE)</f>
        <v>TP</v>
      </c>
    </row>
    <row r="785" spans="4:25" x14ac:dyDescent="0.25">
      <c r="D785" s="78">
        <v>481623</v>
      </c>
      <c r="E785" s="78">
        <v>280037801</v>
      </c>
      <c r="F785" s="83" t="s">
        <v>94</v>
      </c>
      <c r="G785" s="1" t="s">
        <v>677</v>
      </c>
      <c r="H785" s="1" t="s">
        <v>16</v>
      </c>
      <c r="I785" s="1" t="s">
        <v>678</v>
      </c>
      <c r="J785" s="1">
        <v>500000</v>
      </c>
      <c r="K785" s="1">
        <v>5000000</v>
      </c>
      <c r="L785" s="1">
        <v>0</v>
      </c>
      <c r="M785" s="1">
        <v>0</v>
      </c>
      <c r="N785" s="1" t="s">
        <v>475</v>
      </c>
      <c r="O785" s="1">
        <v>1.6</v>
      </c>
      <c r="P785" s="1">
        <v>0.1</v>
      </c>
      <c r="Q785" s="83">
        <v>4.4740000000000002</v>
      </c>
      <c r="R785" s="83">
        <v>4.4740000000000002</v>
      </c>
      <c r="S785" s="1">
        <v>4.4740000000000002</v>
      </c>
      <c r="T785" s="83">
        <v>0</v>
      </c>
      <c r="U785" s="1" t="s">
        <v>122</v>
      </c>
      <c r="V785" s="1" t="s">
        <v>852</v>
      </c>
      <c r="W785" s="1">
        <v>3949.1976460300002</v>
      </c>
      <c r="X785" s="1"/>
      <c r="Y785" s="83" t="str">
        <f>VLOOKUP(LossTable[[#This Row],[Department]],$A$15:$B$40,2,FALSE)</f>
        <v>TP</v>
      </c>
    </row>
    <row r="786" spans="4:25" x14ac:dyDescent="0.25">
      <c r="D786" s="78">
        <v>484260</v>
      </c>
      <c r="E786" s="78">
        <v>280037801</v>
      </c>
      <c r="F786" s="83" t="s">
        <v>94</v>
      </c>
      <c r="G786" s="1" t="s">
        <v>686</v>
      </c>
      <c r="H786" s="1" t="s">
        <v>16</v>
      </c>
      <c r="I786" s="1" t="s">
        <v>740</v>
      </c>
      <c r="J786" s="1">
        <v>4000000</v>
      </c>
      <c r="K786" s="1">
        <v>100000000</v>
      </c>
      <c r="L786" s="1">
        <v>0</v>
      </c>
      <c r="M786" s="1">
        <v>0</v>
      </c>
      <c r="N786" s="1" t="s">
        <v>122</v>
      </c>
      <c r="O786" s="1">
        <v>0.75</v>
      </c>
      <c r="P786" s="1">
        <v>0.04</v>
      </c>
      <c r="Q786" s="83">
        <v>9262.4295999999995</v>
      </c>
      <c r="R786" s="83">
        <v>9262.4295999999995</v>
      </c>
      <c r="S786" s="1">
        <v>9262.4295999999995</v>
      </c>
      <c r="T786" s="83">
        <v>0</v>
      </c>
      <c r="U786" s="1" t="s">
        <v>122</v>
      </c>
      <c r="V786" s="1" t="s">
        <v>852</v>
      </c>
      <c r="W786" s="1">
        <v>3949.1976460300002</v>
      </c>
      <c r="X786" s="1"/>
      <c r="Y786" s="83" t="str">
        <f>VLOOKUP(LossTable[[#This Row],[Department]],$A$15:$B$40,2,FALSE)</f>
        <v>TP</v>
      </c>
    </row>
    <row r="787" spans="4:25" x14ac:dyDescent="0.25">
      <c r="D787" s="78">
        <v>106</v>
      </c>
      <c r="E787" s="78">
        <v>280066590</v>
      </c>
      <c r="F787" s="83" t="s">
        <v>86</v>
      </c>
      <c r="G787" s="1" t="s">
        <v>217</v>
      </c>
      <c r="H787" s="1" t="s">
        <v>16</v>
      </c>
      <c r="I787" s="1" t="s">
        <v>217</v>
      </c>
      <c r="J787" s="1">
        <v>23293518.515325401</v>
      </c>
      <c r="K787" s="1">
        <v>0</v>
      </c>
      <c r="L787" s="1">
        <v>0</v>
      </c>
      <c r="M787" s="1">
        <v>0</v>
      </c>
      <c r="N787" s="1" t="s">
        <v>44</v>
      </c>
      <c r="O787" s="1">
        <v>0</v>
      </c>
      <c r="P787" s="1">
        <v>1</v>
      </c>
      <c r="Q787" s="83">
        <v>76042.817999999999</v>
      </c>
      <c r="R787" s="83">
        <v>76042.817999999999</v>
      </c>
      <c r="S787" s="1">
        <v>76042.817999999999</v>
      </c>
      <c r="T787" s="83">
        <v>0</v>
      </c>
      <c r="U787" s="1" t="s">
        <v>122</v>
      </c>
      <c r="V787" s="1" t="s">
        <v>837</v>
      </c>
      <c r="W787" s="1">
        <v>3280.0940773799998</v>
      </c>
      <c r="X787" s="1"/>
      <c r="Y787" s="83" t="str">
        <f>VLOOKUP(LossTable[[#This Row],[Department]],$A$15:$B$40,2,FALSE)</f>
        <v>FP</v>
      </c>
    </row>
    <row r="788" spans="4:25" x14ac:dyDescent="0.25">
      <c r="D788" s="78">
        <v>113</v>
      </c>
      <c r="E788" s="78">
        <v>280066590</v>
      </c>
      <c r="F788" s="83" t="s">
        <v>42</v>
      </c>
      <c r="G788" s="1" t="s">
        <v>43</v>
      </c>
      <c r="H788" s="1" t="s">
        <v>16</v>
      </c>
      <c r="I788" s="1" t="s">
        <v>43</v>
      </c>
      <c r="J788" s="1">
        <v>572880433.78864801</v>
      </c>
      <c r="K788" s="1">
        <v>0</v>
      </c>
      <c r="L788" s="1">
        <v>0</v>
      </c>
      <c r="M788" s="1">
        <v>0</v>
      </c>
      <c r="N788" s="1" t="s">
        <v>44</v>
      </c>
      <c r="O788" s="1">
        <v>0</v>
      </c>
      <c r="P788" s="1">
        <v>1</v>
      </c>
      <c r="Q788" s="83">
        <v>661.57249999999999</v>
      </c>
      <c r="R788" s="83">
        <v>661.57249999999999</v>
      </c>
      <c r="S788" s="1">
        <v>661.57249999999999</v>
      </c>
      <c r="T788" s="83">
        <v>0</v>
      </c>
      <c r="U788" s="1" t="s">
        <v>122</v>
      </c>
      <c r="V788" s="1" t="s">
        <v>837</v>
      </c>
      <c r="W788" s="1">
        <v>3280.0940773799998</v>
      </c>
      <c r="X788" s="1"/>
      <c r="Y788" s="83" t="str">
        <f>VLOOKUP(LossTable[[#This Row],[Department]],$A$15:$B$40,2,FALSE)</f>
        <v>FP</v>
      </c>
    </row>
    <row r="789" spans="4:25" x14ac:dyDescent="0.25">
      <c r="D789" s="78">
        <v>144</v>
      </c>
      <c r="E789" s="78">
        <v>280066590</v>
      </c>
      <c r="F789" s="83" t="s">
        <v>45</v>
      </c>
      <c r="G789" s="1" t="s">
        <v>46</v>
      </c>
      <c r="H789" s="1" t="s">
        <v>16</v>
      </c>
      <c r="I789" s="1" t="s">
        <v>46</v>
      </c>
      <c r="J789" s="1">
        <v>1313664008</v>
      </c>
      <c r="K789" s="1">
        <v>0</v>
      </c>
      <c r="L789" s="1">
        <v>0</v>
      </c>
      <c r="M789" s="1">
        <v>0</v>
      </c>
      <c r="N789" s="1" t="s">
        <v>44</v>
      </c>
      <c r="O789" s="1">
        <v>0</v>
      </c>
      <c r="P789" s="1">
        <v>1</v>
      </c>
      <c r="Q789" s="83">
        <v>153002.074826</v>
      </c>
      <c r="R789" s="83">
        <v>153002.074826</v>
      </c>
      <c r="S789" s="1">
        <v>153002.074826</v>
      </c>
      <c r="T789" s="83">
        <v>0</v>
      </c>
      <c r="U789" s="1" t="s">
        <v>122</v>
      </c>
      <c r="V789" s="1" t="s">
        <v>837</v>
      </c>
      <c r="W789" s="1">
        <v>3280.0940773799998</v>
      </c>
      <c r="X789" s="1"/>
      <c r="Y789" s="83" t="str">
        <f>VLOOKUP(LossTable[[#This Row],[Department]],$A$15:$B$40,2,FALSE)</f>
        <v>FP</v>
      </c>
    </row>
    <row r="790" spans="4:25" x14ac:dyDescent="0.25">
      <c r="D790" s="78">
        <v>288755</v>
      </c>
      <c r="E790" s="78">
        <v>280066590</v>
      </c>
      <c r="F790" s="83" t="s">
        <v>87</v>
      </c>
      <c r="G790" s="1" t="s">
        <v>221</v>
      </c>
      <c r="H790" s="1" t="s">
        <v>14</v>
      </c>
      <c r="I790" s="1" t="s">
        <v>222</v>
      </c>
      <c r="J790" s="1">
        <v>11326690.76</v>
      </c>
      <c r="K790" s="1">
        <v>11326690.76</v>
      </c>
      <c r="L790" s="1">
        <v>0</v>
      </c>
      <c r="M790" s="1">
        <v>0</v>
      </c>
      <c r="N790" s="1" t="s">
        <v>14</v>
      </c>
      <c r="O790" s="1">
        <v>8.8287039999999997E-2</v>
      </c>
      <c r="P790" s="1">
        <v>1</v>
      </c>
      <c r="Q790" s="83">
        <v>635.04</v>
      </c>
      <c r="R790" s="83">
        <v>635.04</v>
      </c>
      <c r="S790" s="1">
        <v>635.04</v>
      </c>
      <c r="T790" s="83">
        <v>0</v>
      </c>
      <c r="U790" s="1" t="s">
        <v>122</v>
      </c>
      <c r="V790" s="1" t="s">
        <v>837</v>
      </c>
      <c r="W790" s="1">
        <v>3280.0940773799998</v>
      </c>
      <c r="X790" s="1"/>
      <c r="Y790" s="83" t="str">
        <f>VLOOKUP(LossTable[[#This Row],[Department]],$A$15:$B$40,2,FALSE)</f>
        <v>Insurance</v>
      </c>
    </row>
    <row r="791" spans="4:25" x14ac:dyDescent="0.25">
      <c r="D791" s="78">
        <v>297486</v>
      </c>
      <c r="E791" s="78">
        <v>280066590</v>
      </c>
      <c r="F791" s="83" t="s">
        <v>130</v>
      </c>
      <c r="G791" s="1" t="s">
        <v>138</v>
      </c>
      <c r="H791" s="1" t="s">
        <v>14</v>
      </c>
      <c r="I791" s="1" t="s">
        <v>139</v>
      </c>
      <c r="J791" s="1">
        <v>465335789.79000002</v>
      </c>
      <c r="K791" s="1">
        <v>465335789.79000002</v>
      </c>
      <c r="L791" s="1">
        <v>0</v>
      </c>
      <c r="M791" s="1">
        <v>0</v>
      </c>
      <c r="N791" s="1" t="s">
        <v>14</v>
      </c>
      <c r="O791" s="1">
        <v>1.074493E-2</v>
      </c>
      <c r="P791" s="1">
        <v>1</v>
      </c>
      <c r="Q791" s="83">
        <v>261489.02</v>
      </c>
      <c r="R791" s="83">
        <v>261489.02</v>
      </c>
      <c r="S791" s="1">
        <v>261489.02</v>
      </c>
      <c r="T791" s="83">
        <v>0</v>
      </c>
      <c r="U791" s="1" t="s">
        <v>122</v>
      </c>
      <c r="V791" s="1" t="s">
        <v>837</v>
      </c>
      <c r="W791" s="1">
        <v>3280.0940773799998</v>
      </c>
      <c r="X791" s="1"/>
      <c r="Y791" s="83" t="str">
        <f>VLOOKUP(LossTable[[#This Row],[Department]],$A$15:$B$40,2,FALSE)</f>
        <v>Insurance</v>
      </c>
    </row>
    <row r="792" spans="4:25" x14ac:dyDescent="0.25">
      <c r="D792" s="78">
        <v>348467</v>
      </c>
      <c r="E792" s="78">
        <v>280066590</v>
      </c>
      <c r="F792" s="83" t="s">
        <v>87</v>
      </c>
      <c r="G792" s="1" t="s">
        <v>260</v>
      </c>
      <c r="H792" s="1" t="s">
        <v>14</v>
      </c>
      <c r="I792" s="1" t="s">
        <v>261</v>
      </c>
      <c r="J792" s="1">
        <v>7972746.9500000002</v>
      </c>
      <c r="K792" s="1">
        <v>7972746.9500000002</v>
      </c>
      <c r="L792" s="1">
        <v>0</v>
      </c>
      <c r="M792" s="1">
        <v>0</v>
      </c>
      <c r="N792" s="1" t="s">
        <v>14</v>
      </c>
      <c r="O792" s="1">
        <v>6.2713640000000001E-2</v>
      </c>
      <c r="P792" s="1">
        <v>1</v>
      </c>
      <c r="Q792" s="83">
        <v>1621</v>
      </c>
      <c r="R792" s="83">
        <v>1621</v>
      </c>
      <c r="S792" s="1">
        <v>1621</v>
      </c>
      <c r="T792" s="83">
        <v>0</v>
      </c>
      <c r="U792" s="1" t="s">
        <v>122</v>
      </c>
      <c r="V792" s="1" t="s">
        <v>837</v>
      </c>
      <c r="W792" s="1">
        <v>3280.0940773799998</v>
      </c>
      <c r="X792" s="1"/>
      <c r="Y792" s="83" t="str">
        <f>VLOOKUP(LossTable[[#This Row],[Department]],$A$15:$B$40,2,FALSE)</f>
        <v>Insurance</v>
      </c>
    </row>
    <row r="793" spans="4:25" x14ac:dyDescent="0.25">
      <c r="D793" s="78">
        <v>358590</v>
      </c>
      <c r="E793" s="78">
        <v>280066590</v>
      </c>
      <c r="F793" s="83" t="s">
        <v>127</v>
      </c>
      <c r="G793" s="1" t="s">
        <v>258</v>
      </c>
      <c r="H793" s="1" t="s">
        <v>14</v>
      </c>
      <c r="I793" s="1" t="s">
        <v>259</v>
      </c>
      <c r="J793" s="1">
        <v>45172943.490000002</v>
      </c>
      <c r="K793" s="1">
        <v>45172943.490000002</v>
      </c>
      <c r="L793" s="1">
        <v>0</v>
      </c>
      <c r="M793" s="1">
        <v>0</v>
      </c>
      <c r="N793" s="1" t="s">
        <v>14</v>
      </c>
      <c r="O793" s="1">
        <v>1.77097E-3</v>
      </c>
      <c r="P793" s="1">
        <v>1</v>
      </c>
      <c r="Q793" s="83">
        <v>889.69</v>
      </c>
      <c r="R793" s="83">
        <v>889.69</v>
      </c>
      <c r="S793" s="1">
        <v>889.69</v>
      </c>
      <c r="T793" s="83">
        <v>0</v>
      </c>
      <c r="U793" s="1" t="s">
        <v>122</v>
      </c>
      <c r="V793" s="1" t="s">
        <v>837</v>
      </c>
      <c r="W793" s="1">
        <v>3280.0940773799998</v>
      </c>
      <c r="X793" s="1"/>
      <c r="Y793" s="83" t="str">
        <f>VLOOKUP(LossTable[[#This Row],[Department]],$A$15:$B$40,2,FALSE)</f>
        <v>Insurance</v>
      </c>
    </row>
    <row r="794" spans="4:25" x14ac:dyDescent="0.25">
      <c r="D794" s="78">
        <v>418693</v>
      </c>
      <c r="E794" s="78">
        <v>280066590</v>
      </c>
      <c r="F794" s="83" t="s">
        <v>94</v>
      </c>
      <c r="G794" s="1" t="s">
        <v>275</v>
      </c>
      <c r="H794" s="1" t="s">
        <v>16</v>
      </c>
      <c r="I794" s="1" t="s">
        <v>292</v>
      </c>
      <c r="J794" s="1">
        <v>150000</v>
      </c>
      <c r="K794" s="1">
        <v>7500000</v>
      </c>
      <c r="L794" s="1">
        <v>0</v>
      </c>
      <c r="M794" s="1">
        <v>0</v>
      </c>
      <c r="N794" s="1" t="s">
        <v>293</v>
      </c>
      <c r="O794" s="1">
        <v>0.48</v>
      </c>
      <c r="P794" s="1">
        <v>0.02</v>
      </c>
      <c r="Q794" s="83">
        <v>1293.2716</v>
      </c>
      <c r="R794" s="83">
        <v>1293.2716</v>
      </c>
      <c r="S794" s="1">
        <v>1293.2716</v>
      </c>
      <c r="T794" s="83">
        <v>0</v>
      </c>
      <c r="U794" s="1" t="s">
        <v>122</v>
      </c>
      <c r="V794" s="1" t="s">
        <v>837</v>
      </c>
      <c r="W794" s="1">
        <v>3280.0940773799998</v>
      </c>
      <c r="X794" s="1"/>
      <c r="Y794" s="83" t="str">
        <f>VLOOKUP(LossTable[[#This Row],[Department]],$A$15:$B$40,2,FALSE)</f>
        <v>TP</v>
      </c>
    </row>
    <row r="795" spans="4:25" x14ac:dyDescent="0.25">
      <c r="D795" s="78">
        <v>420177</v>
      </c>
      <c r="E795" s="78">
        <v>280066590</v>
      </c>
      <c r="F795" s="83" t="s">
        <v>94</v>
      </c>
      <c r="G795" s="1" t="s">
        <v>170</v>
      </c>
      <c r="H795" s="1" t="s">
        <v>16</v>
      </c>
      <c r="I795" s="1" t="s">
        <v>299</v>
      </c>
      <c r="J795" s="1">
        <v>1162775.0745000001</v>
      </c>
      <c r="K795" s="1">
        <v>25839446.100000001</v>
      </c>
      <c r="L795" s="1">
        <v>0</v>
      </c>
      <c r="M795" s="1">
        <v>0</v>
      </c>
      <c r="N795" s="1" t="s">
        <v>300</v>
      </c>
      <c r="O795" s="1">
        <v>0.25999266999999998</v>
      </c>
      <c r="P795" s="1">
        <v>4.4999999999999998E-2</v>
      </c>
      <c r="Q795" s="83">
        <v>154.45665</v>
      </c>
      <c r="R795" s="83">
        <v>154.45665</v>
      </c>
      <c r="S795" s="1">
        <v>154.45665</v>
      </c>
      <c r="T795" s="83">
        <v>0</v>
      </c>
      <c r="U795" s="1" t="s">
        <v>122</v>
      </c>
      <c r="V795" s="1" t="s">
        <v>837</v>
      </c>
      <c r="W795" s="1">
        <v>3280.0940773799998</v>
      </c>
      <c r="X795" s="1"/>
      <c r="Y795" s="83" t="str">
        <f>VLOOKUP(LossTable[[#This Row],[Department]],$A$15:$B$40,2,FALSE)</f>
        <v>TP</v>
      </c>
    </row>
    <row r="796" spans="4:25" x14ac:dyDescent="0.25">
      <c r="D796" s="78">
        <v>427032</v>
      </c>
      <c r="E796" s="78">
        <v>280066590</v>
      </c>
      <c r="F796" s="83" t="s">
        <v>45</v>
      </c>
      <c r="G796" s="1" t="s">
        <v>246</v>
      </c>
      <c r="H796" s="1" t="s">
        <v>16</v>
      </c>
      <c r="I796" s="1" t="s">
        <v>247</v>
      </c>
      <c r="J796" s="1">
        <v>1000000</v>
      </c>
      <c r="K796" s="1">
        <v>20000000</v>
      </c>
      <c r="L796" s="1">
        <v>0</v>
      </c>
      <c r="M796" s="1">
        <v>0</v>
      </c>
      <c r="N796" s="1" t="s">
        <v>248</v>
      </c>
      <c r="O796" s="1">
        <v>0.64666889999999999</v>
      </c>
      <c r="P796" s="1">
        <v>0.05</v>
      </c>
      <c r="Q796" s="83">
        <v>7167.77</v>
      </c>
      <c r="R796" s="83">
        <v>7167.77</v>
      </c>
      <c r="S796" s="1">
        <v>7167.77</v>
      </c>
      <c r="T796" s="83">
        <v>0</v>
      </c>
      <c r="U796" s="1" t="s">
        <v>122</v>
      </c>
      <c r="V796" s="1" t="s">
        <v>837</v>
      </c>
      <c r="W796" s="1">
        <v>3280.0940773799998</v>
      </c>
      <c r="X796" s="1"/>
      <c r="Y796" s="83" t="str">
        <f>VLOOKUP(LossTable[[#This Row],[Department]],$A$15:$B$40,2,FALSE)</f>
        <v>FP</v>
      </c>
    </row>
    <row r="797" spans="4:25" x14ac:dyDescent="0.25">
      <c r="D797" s="78">
        <v>428943</v>
      </c>
      <c r="E797" s="78">
        <v>280066590</v>
      </c>
      <c r="F797" s="83" t="s">
        <v>12</v>
      </c>
      <c r="G797" s="1" t="s">
        <v>262</v>
      </c>
      <c r="H797" s="1" t="s">
        <v>14</v>
      </c>
      <c r="I797" s="1" t="s">
        <v>263</v>
      </c>
      <c r="J797" s="1">
        <v>65700000</v>
      </c>
      <c r="K797" s="1">
        <v>1314000000</v>
      </c>
      <c r="L797" s="1">
        <v>0</v>
      </c>
      <c r="M797" s="1">
        <v>0</v>
      </c>
      <c r="N797" s="1" t="s">
        <v>162</v>
      </c>
      <c r="O797" s="1">
        <v>2.9524310800000002</v>
      </c>
      <c r="P797" s="1">
        <v>0.05</v>
      </c>
      <c r="Q797" s="83">
        <v>412113.25750000001</v>
      </c>
      <c r="R797" s="83">
        <v>412113.25750000001</v>
      </c>
      <c r="S797" s="1">
        <v>412113.25750000001</v>
      </c>
      <c r="T797" s="83">
        <v>0</v>
      </c>
      <c r="U797" s="1" t="s">
        <v>122</v>
      </c>
      <c r="V797" s="1" t="s">
        <v>837</v>
      </c>
      <c r="W797" s="1">
        <v>3280.0940773799998</v>
      </c>
      <c r="X797" s="1"/>
      <c r="Y797" s="83" t="str">
        <f>VLOOKUP(LossTable[[#This Row],[Department]],$A$15:$B$40,2,FALSE)</f>
        <v>Bermuda</v>
      </c>
    </row>
    <row r="798" spans="4:25" x14ac:dyDescent="0.25">
      <c r="D798" s="78">
        <v>429399</v>
      </c>
      <c r="E798" s="78">
        <v>280066590</v>
      </c>
      <c r="F798" s="83" t="s">
        <v>45</v>
      </c>
      <c r="G798" s="1" t="s">
        <v>296</v>
      </c>
      <c r="H798" s="1" t="s">
        <v>16</v>
      </c>
      <c r="I798" s="1" t="s">
        <v>297</v>
      </c>
      <c r="J798" s="1">
        <v>15000000</v>
      </c>
      <c r="K798" s="1">
        <v>500000000</v>
      </c>
      <c r="L798" s="1">
        <v>0</v>
      </c>
      <c r="M798" s="1">
        <v>0</v>
      </c>
      <c r="N798" s="1" t="s">
        <v>298</v>
      </c>
      <c r="O798" s="1">
        <v>2.1080000000000002E-2</v>
      </c>
      <c r="P798" s="1">
        <v>0.03</v>
      </c>
      <c r="Q798" s="83">
        <v>2180.6147999999998</v>
      </c>
      <c r="R798" s="83">
        <v>2180.6147999999998</v>
      </c>
      <c r="S798" s="1">
        <v>2180.6147999999998</v>
      </c>
      <c r="T798" s="83">
        <v>0</v>
      </c>
      <c r="U798" s="1" t="s">
        <v>122</v>
      </c>
      <c r="V798" s="1" t="s">
        <v>837</v>
      </c>
      <c r="W798" s="1">
        <v>3280.0940773799998</v>
      </c>
      <c r="X798" s="1"/>
      <c r="Y798" s="83" t="str">
        <f>VLOOKUP(LossTable[[#This Row],[Department]],$A$15:$B$40,2,FALSE)</f>
        <v>FP</v>
      </c>
    </row>
    <row r="799" spans="4:25" x14ac:dyDescent="0.25">
      <c r="D799" s="78">
        <v>431322</v>
      </c>
      <c r="E799" s="78">
        <v>280066590</v>
      </c>
      <c r="F799" s="83" t="s">
        <v>94</v>
      </c>
      <c r="G799" s="1" t="s">
        <v>269</v>
      </c>
      <c r="H799" s="1" t="s">
        <v>16</v>
      </c>
      <c r="I799" s="1" t="s">
        <v>351</v>
      </c>
      <c r="J799" s="1">
        <v>127842</v>
      </c>
      <c r="K799" s="1">
        <v>2556840</v>
      </c>
      <c r="L799" s="1">
        <v>0</v>
      </c>
      <c r="M799" s="1">
        <v>0</v>
      </c>
      <c r="N799" s="1" t="s">
        <v>352</v>
      </c>
      <c r="O799" s="1">
        <v>1.2004377500000001</v>
      </c>
      <c r="P799" s="1">
        <v>0.05</v>
      </c>
      <c r="Q799" s="83">
        <v>700.60149999999999</v>
      </c>
      <c r="R799" s="83">
        <v>700.60149999999999</v>
      </c>
      <c r="S799" s="1">
        <v>700.60149999999999</v>
      </c>
      <c r="T799" s="83">
        <v>0</v>
      </c>
      <c r="U799" s="1" t="s">
        <v>122</v>
      </c>
      <c r="V799" s="1" t="s">
        <v>837</v>
      </c>
      <c r="W799" s="1">
        <v>3280.0940773799998</v>
      </c>
      <c r="X799" s="1"/>
      <c r="Y799" s="83" t="str">
        <f>VLOOKUP(LossTable[[#This Row],[Department]],$A$15:$B$40,2,FALSE)</f>
        <v>TP</v>
      </c>
    </row>
    <row r="800" spans="4:25" x14ac:dyDescent="0.25">
      <c r="D800" s="78">
        <v>431334</v>
      </c>
      <c r="E800" s="78">
        <v>280066590</v>
      </c>
      <c r="F800" s="83" t="s">
        <v>94</v>
      </c>
      <c r="G800" s="1" t="s">
        <v>255</v>
      </c>
      <c r="H800" s="1" t="s">
        <v>16</v>
      </c>
      <c r="I800" s="1" t="s">
        <v>353</v>
      </c>
      <c r="J800" s="1">
        <v>3000000</v>
      </c>
      <c r="K800" s="1">
        <v>20000000</v>
      </c>
      <c r="L800" s="1">
        <v>0</v>
      </c>
      <c r="M800" s="1">
        <v>0</v>
      </c>
      <c r="N800" s="1" t="s">
        <v>354</v>
      </c>
      <c r="O800" s="1">
        <v>0.4</v>
      </c>
      <c r="P800" s="1">
        <v>0.15</v>
      </c>
      <c r="Q800" s="83">
        <v>1975.5989999999999</v>
      </c>
      <c r="R800" s="83">
        <v>1975.5989999999999</v>
      </c>
      <c r="S800" s="1">
        <v>1975.5989999999999</v>
      </c>
      <c r="T800" s="83">
        <v>0</v>
      </c>
      <c r="U800" s="1" t="s">
        <v>122</v>
      </c>
      <c r="V800" s="1" t="s">
        <v>837</v>
      </c>
      <c r="W800" s="1">
        <v>3280.0940773799998</v>
      </c>
      <c r="X800" s="1"/>
      <c r="Y800" s="83" t="str">
        <f>VLOOKUP(LossTable[[#This Row],[Department]],$A$15:$B$40,2,FALSE)</f>
        <v>TP</v>
      </c>
    </row>
    <row r="801" spans="4:25" x14ac:dyDescent="0.25">
      <c r="D801" s="78">
        <v>432222</v>
      </c>
      <c r="E801" s="78">
        <v>280066590</v>
      </c>
      <c r="F801" s="83" t="s">
        <v>45</v>
      </c>
      <c r="G801" s="1" t="s">
        <v>363</v>
      </c>
      <c r="H801" s="1" t="s">
        <v>16</v>
      </c>
      <c r="I801" s="1" t="s">
        <v>364</v>
      </c>
      <c r="J801" s="1">
        <v>20000000</v>
      </c>
      <c r="K801" s="1">
        <v>200000000</v>
      </c>
      <c r="L801" s="1">
        <v>0</v>
      </c>
      <c r="M801" s="1">
        <v>0</v>
      </c>
      <c r="N801" s="1" t="s">
        <v>365</v>
      </c>
      <c r="O801" s="1">
        <v>4.6383510000000003E-2</v>
      </c>
      <c r="P801" s="1">
        <v>0.1</v>
      </c>
      <c r="Q801" s="83">
        <v>7087.9709999999995</v>
      </c>
      <c r="R801" s="83">
        <v>7087.9709999999995</v>
      </c>
      <c r="S801" s="1">
        <v>7087.9709999999995</v>
      </c>
      <c r="T801" s="83">
        <v>0</v>
      </c>
      <c r="U801" s="1" t="s">
        <v>122</v>
      </c>
      <c r="V801" s="1" t="s">
        <v>837</v>
      </c>
      <c r="W801" s="1">
        <v>3280.0940773799998</v>
      </c>
      <c r="X801" s="1"/>
      <c r="Y801" s="83" t="str">
        <f>VLOOKUP(LossTable[[#This Row],[Department]],$A$15:$B$40,2,FALSE)</f>
        <v>FP</v>
      </c>
    </row>
    <row r="802" spans="4:25" x14ac:dyDescent="0.25">
      <c r="D802" s="78">
        <v>432267</v>
      </c>
      <c r="E802" s="78">
        <v>280066590</v>
      </c>
      <c r="F802" s="83" t="s">
        <v>94</v>
      </c>
      <c r="G802" s="1" t="s">
        <v>287</v>
      </c>
      <c r="H802" s="1" t="s">
        <v>16</v>
      </c>
      <c r="I802" s="1" t="s">
        <v>288</v>
      </c>
      <c r="J802" s="1">
        <v>750000</v>
      </c>
      <c r="K802" s="1">
        <v>15000000</v>
      </c>
      <c r="L802" s="1">
        <v>0</v>
      </c>
      <c r="M802" s="1">
        <v>0</v>
      </c>
      <c r="N802" s="1" t="s">
        <v>274</v>
      </c>
      <c r="O802" s="1">
        <v>0.29499999999999998</v>
      </c>
      <c r="P802" s="1">
        <v>0.05</v>
      </c>
      <c r="Q802" s="83">
        <v>6.4675000000000002</v>
      </c>
      <c r="R802" s="83">
        <v>6.4675000000000002</v>
      </c>
      <c r="S802" s="1">
        <v>6.4675000000000002</v>
      </c>
      <c r="T802" s="83">
        <v>0</v>
      </c>
      <c r="U802" s="1" t="s">
        <v>122</v>
      </c>
      <c r="V802" s="1" t="s">
        <v>837</v>
      </c>
      <c r="W802" s="1">
        <v>3280.0940773799998</v>
      </c>
      <c r="X802" s="1"/>
      <c r="Y802" s="83" t="str">
        <f>VLOOKUP(LossTable[[#This Row],[Department]],$A$15:$B$40,2,FALSE)</f>
        <v>TP</v>
      </c>
    </row>
    <row r="803" spans="4:25" x14ac:dyDescent="0.25">
      <c r="D803" s="78">
        <v>433117</v>
      </c>
      <c r="E803" s="78">
        <v>280066590</v>
      </c>
      <c r="F803" s="83" t="s">
        <v>45</v>
      </c>
      <c r="G803" s="1" t="s">
        <v>304</v>
      </c>
      <c r="H803" s="1" t="s">
        <v>14</v>
      </c>
      <c r="I803" s="1" t="s">
        <v>305</v>
      </c>
      <c r="J803" s="1">
        <v>42089350.185000002</v>
      </c>
      <c r="K803" s="1">
        <v>168357400.74000001</v>
      </c>
      <c r="L803" s="1">
        <v>0</v>
      </c>
      <c r="M803" s="1">
        <v>0</v>
      </c>
      <c r="N803" s="1" t="s">
        <v>14</v>
      </c>
      <c r="O803" s="1">
        <v>0.18977484999999999</v>
      </c>
      <c r="P803" s="1">
        <v>0.25</v>
      </c>
      <c r="Q803" s="83">
        <v>13306.7775</v>
      </c>
      <c r="R803" s="83">
        <v>13306.7775</v>
      </c>
      <c r="S803" s="1">
        <v>13306.7775</v>
      </c>
      <c r="T803" s="83">
        <v>0</v>
      </c>
      <c r="U803" s="1" t="s">
        <v>122</v>
      </c>
      <c r="V803" s="1" t="s">
        <v>837</v>
      </c>
      <c r="W803" s="1">
        <v>3280.0940773799998</v>
      </c>
      <c r="X803" s="1"/>
      <c r="Y803" s="83" t="str">
        <f>VLOOKUP(LossTable[[#This Row],[Department]],$A$15:$B$40,2,FALSE)</f>
        <v>FP</v>
      </c>
    </row>
    <row r="804" spans="4:25" x14ac:dyDescent="0.25">
      <c r="D804" s="78">
        <v>434259</v>
      </c>
      <c r="E804" s="78">
        <v>280066590</v>
      </c>
      <c r="F804" s="83" t="s">
        <v>94</v>
      </c>
      <c r="G804" s="1" t="s">
        <v>309</v>
      </c>
      <c r="H804" s="1" t="s">
        <v>14</v>
      </c>
      <c r="I804" s="1" t="s">
        <v>310</v>
      </c>
      <c r="J804" s="1">
        <v>875000</v>
      </c>
      <c r="K804" s="1">
        <v>35000000</v>
      </c>
      <c r="L804" s="1">
        <v>0</v>
      </c>
      <c r="M804" s="1">
        <v>0</v>
      </c>
      <c r="N804" s="1" t="s">
        <v>311</v>
      </c>
      <c r="O804" s="1">
        <v>3.97226846</v>
      </c>
      <c r="P804" s="1">
        <v>2.5000000000000001E-2</v>
      </c>
      <c r="Q804" s="83">
        <v>238221.07949999999</v>
      </c>
      <c r="R804" s="83">
        <v>238221.07949999999</v>
      </c>
      <c r="S804" s="1">
        <v>238221.07949999999</v>
      </c>
      <c r="T804" s="83">
        <v>0</v>
      </c>
      <c r="U804" s="1" t="s">
        <v>122</v>
      </c>
      <c r="V804" s="1" t="s">
        <v>837</v>
      </c>
      <c r="W804" s="1">
        <v>3280.0940773799998</v>
      </c>
      <c r="X804" s="1"/>
      <c r="Y804" s="83" t="str">
        <f>VLOOKUP(LossTable[[#This Row],[Department]],$A$15:$B$40,2,FALSE)</f>
        <v>TP</v>
      </c>
    </row>
    <row r="805" spans="4:25" x14ac:dyDescent="0.25">
      <c r="D805" s="78">
        <v>434658</v>
      </c>
      <c r="E805" s="78">
        <v>280066590</v>
      </c>
      <c r="F805" s="83" t="s">
        <v>94</v>
      </c>
      <c r="G805" s="1" t="s">
        <v>321</v>
      </c>
      <c r="H805" s="1" t="s">
        <v>16</v>
      </c>
      <c r="I805" s="1" t="s">
        <v>322</v>
      </c>
      <c r="J805" s="1">
        <v>450000</v>
      </c>
      <c r="K805" s="1">
        <v>15000000</v>
      </c>
      <c r="L805" s="1">
        <v>0</v>
      </c>
      <c r="M805" s="1">
        <v>0</v>
      </c>
      <c r="N805" s="1" t="s">
        <v>323</v>
      </c>
      <c r="O805" s="1">
        <v>0.88001543999999998</v>
      </c>
      <c r="P805" s="1">
        <v>0.03</v>
      </c>
      <c r="Q805" s="83">
        <v>369.08609999999999</v>
      </c>
      <c r="R805" s="83">
        <v>369.08609999999999</v>
      </c>
      <c r="S805" s="1">
        <v>369.08609999999999</v>
      </c>
      <c r="T805" s="83">
        <v>0</v>
      </c>
      <c r="U805" s="1" t="s">
        <v>122</v>
      </c>
      <c r="V805" s="1" t="s">
        <v>837</v>
      </c>
      <c r="W805" s="1">
        <v>3280.0940773799998</v>
      </c>
      <c r="X805" s="1"/>
      <c r="Y805" s="83" t="str">
        <f>VLOOKUP(LossTable[[#This Row],[Department]],$A$15:$B$40,2,FALSE)</f>
        <v>TP</v>
      </c>
    </row>
    <row r="806" spans="4:25" x14ac:dyDescent="0.25">
      <c r="D806" s="78">
        <v>434862</v>
      </c>
      <c r="E806" s="78">
        <v>280066590</v>
      </c>
      <c r="F806" s="83" t="s">
        <v>94</v>
      </c>
      <c r="G806" s="1" t="s">
        <v>384</v>
      </c>
      <c r="H806" s="1" t="s">
        <v>14</v>
      </c>
      <c r="I806" s="1" t="s">
        <v>385</v>
      </c>
      <c r="J806" s="1">
        <v>6975000</v>
      </c>
      <c r="K806" s="1">
        <v>465000000</v>
      </c>
      <c r="L806" s="1">
        <v>0</v>
      </c>
      <c r="M806" s="1">
        <v>0</v>
      </c>
      <c r="N806" s="1" t="s">
        <v>386</v>
      </c>
      <c r="O806" s="1">
        <v>0.99832902999999995</v>
      </c>
      <c r="P806" s="1">
        <v>1.4999999999999999E-2</v>
      </c>
      <c r="Q806" s="83">
        <v>316276.50180000003</v>
      </c>
      <c r="R806" s="83">
        <v>316276.50180000003</v>
      </c>
      <c r="S806" s="1">
        <v>316276.50180000003</v>
      </c>
      <c r="T806" s="83">
        <v>0</v>
      </c>
      <c r="U806" s="1" t="s">
        <v>122</v>
      </c>
      <c r="V806" s="1" t="s">
        <v>837</v>
      </c>
      <c r="W806" s="1">
        <v>3280.0940773799998</v>
      </c>
      <c r="X806" s="1"/>
      <c r="Y806" s="83" t="str">
        <f>VLOOKUP(LossTable[[#This Row],[Department]],$A$15:$B$40,2,FALSE)</f>
        <v>TP</v>
      </c>
    </row>
    <row r="807" spans="4:25" x14ac:dyDescent="0.25">
      <c r="D807" s="78">
        <v>435795</v>
      </c>
      <c r="E807" s="78">
        <v>280066590</v>
      </c>
      <c r="F807" s="83" t="s">
        <v>94</v>
      </c>
      <c r="G807" s="1" t="s">
        <v>167</v>
      </c>
      <c r="H807" s="1" t="s">
        <v>16</v>
      </c>
      <c r="I807" s="1" t="s">
        <v>338</v>
      </c>
      <c r="J807" s="1">
        <v>3812500</v>
      </c>
      <c r="K807" s="1">
        <v>25000000</v>
      </c>
      <c r="L807" s="1">
        <v>0</v>
      </c>
      <c r="M807" s="1">
        <v>0</v>
      </c>
      <c r="N807" s="1" t="s">
        <v>122</v>
      </c>
      <c r="O807" s="1">
        <v>0.12600037</v>
      </c>
      <c r="P807" s="1">
        <v>0.1525</v>
      </c>
      <c r="Q807" s="83">
        <v>556.17055000000005</v>
      </c>
      <c r="R807" s="83">
        <v>556.17055000000005</v>
      </c>
      <c r="S807" s="1">
        <v>556.17055000000005</v>
      </c>
      <c r="T807" s="83">
        <v>0</v>
      </c>
      <c r="U807" s="1" t="s">
        <v>122</v>
      </c>
      <c r="V807" s="1" t="s">
        <v>837</v>
      </c>
      <c r="W807" s="1">
        <v>3280.0940773799998</v>
      </c>
      <c r="X807" s="1"/>
      <c r="Y807" s="83" t="str">
        <f>VLOOKUP(LossTable[[#This Row],[Department]],$A$15:$B$40,2,FALSE)</f>
        <v>TP</v>
      </c>
    </row>
    <row r="808" spans="4:25" x14ac:dyDescent="0.25">
      <c r="D808" s="78">
        <v>436137</v>
      </c>
      <c r="E808" s="78">
        <v>280066590</v>
      </c>
      <c r="F808" s="83" t="s">
        <v>94</v>
      </c>
      <c r="G808" s="1" t="s">
        <v>436</v>
      </c>
      <c r="H808" s="1" t="s">
        <v>14</v>
      </c>
      <c r="I808" s="1" t="s">
        <v>437</v>
      </c>
      <c r="J808" s="1">
        <v>2100000</v>
      </c>
      <c r="K808" s="1">
        <v>70000000</v>
      </c>
      <c r="L808" s="1">
        <v>0</v>
      </c>
      <c r="M808" s="1">
        <v>0</v>
      </c>
      <c r="N808" s="1" t="s">
        <v>122</v>
      </c>
      <c r="O808" s="1">
        <v>2.3679456700000001</v>
      </c>
      <c r="P808" s="1">
        <v>0.03</v>
      </c>
      <c r="Q808" s="83">
        <v>22688.176800000001</v>
      </c>
      <c r="R808" s="83">
        <v>22688.176800000001</v>
      </c>
      <c r="S808" s="1">
        <v>22688.176800000001</v>
      </c>
      <c r="T808" s="83">
        <v>0</v>
      </c>
      <c r="U808" s="1" t="s">
        <v>122</v>
      </c>
      <c r="V808" s="1" t="s">
        <v>837</v>
      </c>
      <c r="W808" s="1">
        <v>3280.0940773799998</v>
      </c>
      <c r="X808" s="1"/>
      <c r="Y808" s="83" t="str">
        <f>VLOOKUP(LossTable[[#This Row],[Department]],$A$15:$B$40,2,FALSE)</f>
        <v>TP</v>
      </c>
    </row>
    <row r="809" spans="4:25" x14ac:dyDescent="0.25">
      <c r="D809" s="78">
        <v>436194</v>
      </c>
      <c r="E809" s="78">
        <v>280066590</v>
      </c>
      <c r="F809" s="83" t="s">
        <v>94</v>
      </c>
      <c r="G809" s="1" t="s">
        <v>349</v>
      </c>
      <c r="H809" s="1" t="s">
        <v>16</v>
      </c>
      <c r="I809" s="1" t="s">
        <v>350</v>
      </c>
      <c r="J809" s="1">
        <v>3000000</v>
      </c>
      <c r="K809" s="1">
        <v>20000000</v>
      </c>
      <c r="L809" s="1">
        <v>0</v>
      </c>
      <c r="M809" s="1">
        <v>0</v>
      </c>
      <c r="N809" s="1" t="s">
        <v>122</v>
      </c>
      <c r="O809" s="1">
        <v>1.0509273699999999</v>
      </c>
      <c r="P809" s="1">
        <v>0.15</v>
      </c>
      <c r="Q809" s="83">
        <v>859.76099999999997</v>
      </c>
      <c r="R809" s="83">
        <v>859.76099999999997</v>
      </c>
      <c r="S809" s="1">
        <v>859.76099999999997</v>
      </c>
      <c r="T809" s="83">
        <v>0</v>
      </c>
      <c r="U809" s="1" t="s">
        <v>122</v>
      </c>
      <c r="V809" s="1" t="s">
        <v>837</v>
      </c>
      <c r="W809" s="1">
        <v>3280.0940773799998</v>
      </c>
      <c r="X809" s="1"/>
      <c r="Y809" s="83" t="str">
        <f>VLOOKUP(LossTable[[#This Row],[Department]],$A$15:$B$40,2,FALSE)</f>
        <v>TP</v>
      </c>
    </row>
    <row r="810" spans="4:25" x14ac:dyDescent="0.25">
      <c r="D810" s="78">
        <v>436536</v>
      </c>
      <c r="E810" s="78">
        <v>280066590</v>
      </c>
      <c r="F810" s="83" t="s">
        <v>94</v>
      </c>
      <c r="G810" s="1" t="s">
        <v>445</v>
      </c>
      <c r="H810" s="1" t="s">
        <v>16</v>
      </c>
      <c r="I810" s="1" t="s">
        <v>446</v>
      </c>
      <c r="J810" s="1">
        <v>5000000</v>
      </c>
      <c r="K810" s="1">
        <v>50000000</v>
      </c>
      <c r="L810" s="1">
        <v>0</v>
      </c>
      <c r="M810" s="1">
        <v>0</v>
      </c>
      <c r="N810" s="1" t="s">
        <v>122</v>
      </c>
      <c r="O810" s="1">
        <v>0.34</v>
      </c>
      <c r="P810" s="1">
        <v>0.1</v>
      </c>
      <c r="Q810" s="83">
        <v>2284.5650000000001</v>
      </c>
      <c r="R810" s="83">
        <v>2284.5650000000001</v>
      </c>
      <c r="S810" s="1">
        <v>2284.5650000000001</v>
      </c>
      <c r="T810" s="83">
        <v>0</v>
      </c>
      <c r="U810" s="1" t="s">
        <v>122</v>
      </c>
      <c r="V810" s="1" t="s">
        <v>837</v>
      </c>
      <c r="W810" s="1">
        <v>3280.0940773799998</v>
      </c>
      <c r="X810" s="1"/>
      <c r="Y810" s="83" t="str">
        <f>VLOOKUP(LossTable[[#This Row],[Department]],$A$15:$B$40,2,FALSE)</f>
        <v>TP</v>
      </c>
    </row>
    <row r="811" spans="4:25" x14ac:dyDescent="0.25">
      <c r="D811" s="78">
        <v>438656</v>
      </c>
      <c r="E811" s="78">
        <v>280066590</v>
      </c>
      <c r="F811" s="83" t="s">
        <v>94</v>
      </c>
      <c r="G811" s="1" t="s">
        <v>788</v>
      </c>
      <c r="H811" s="1" t="s">
        <v>14</v>
      </c>
      <c r="I811" s="1" t="s">
        <v>789</v>
      </c>
      <c r="J811" s="1">
        <v>2900000</v>
      </c>
      <c r="K811" s="1">
        <v>40000000</v>
      </c>
      <c r="L811" s="1">
        <v>0</v>
      </c>
      <c r="M811" s="1">
        <v>0</v>
      </c>
      <c r="N811" s="1" t="s">
        <v>400</v>
      </c>
      <c r="O811" s="1">
        <v>16.782877500000001</v>
      </c>
      <c r="P811" s="1">
        <v>7.2499999999999995E-2</v>
      </c>
      <c r="Q811" s="83">
        <v>198295.11322500001</v>
      </c>
      <c r="R811" s="83">
        <v>198295.11322500001</v>
      </c>
      <c r="S811" s="1">
        <v>198295.11322500001</v>
      </c>
      <c r="T811" s="83">
        <v>0</v>
      </c>
      <c r="U811" s="1" t="s">
        <v>122</v>
      </c>
      <c r="V811" s="1" t="s">
        <v>837</v>
      </c>
      <c r="W811" s="1">
        <v>3280.0940773799998</v>
      </c>
      <c r="X811" s="1"/>
      <c r="Y811" s="83" t="str">
        <f>VLOOKUP(LossTable[[#This Row],[Department]],$A$15:$B$40,2,FALSE)</f>
        <v>TP</v>
      </c>
    </row>
    <row r="812" spans="4:25" x14ac:dyDescent="0.25">
      <c r="D812" s="78">
        <v>441791</v>
      </c>
      <c r="E812" s="78">
        <v>280066590</v>
      </c>
      <c r="F812" s="83" t="s">
        <v>94</v>
      </c>
      <c r="G812" s="1" t="s">
        <v>380</v>
      </c>
      <c r="H812" s="1" t="s">
        <v>16</v>
      </c>
      <c r="I812" s="1" t="s">
        <v>381</v>
      </c>
      <c r="J812" s="1">
        <v>375000</v>
      </c>
      <c r="K812" s="1">
        <v>30000000</v>
      </c>
      <c r="L812" s="1">
        <v>0</v>
      </c>
      <c r="M812" s="1">
        <v>0</v>
      </c>
      <c r="N812" s="1" t="s">
        <v>122</v>
      </c>
      <c r="O812" s="1">
        <v>0.05</v>
      </c>
      <c r="P812" s="1">
        <v>1.2500000000000001E-2</v>
      </c>
      <c r="Q812" s="83">
        <v>28.126124999999998</v>
      </c>
      <c r="R812" s="83">
        <v>28.126124999999998</v>
      </c>
      <c r="S812" s="1">
        <v>28.126124999999998</v>
      </c>
      <c r="T812" s="83">
        <v>0</v>
      </c>
      <c r="U812" s="1" t="s">
        <v>122</v>
      </c>
      <c r="V812" s="1" t="s">
        <v>837</v>
      </c>
      <c r="W812" s="1">
        <v>3280.0940773799998</v>
      </c>
      <c r="X812" s="1"/>
      <c r="Y812" s="83" t="str">
        <f>VLOOKUP(LossTable[[#This Row],[Department]],$A$15:$B$40,2,FALSE)</f>
        <v>TP</v>
      </c>
    </row>
    <row r="813" spans="4:25" x14ac:dyDescent="0.25">
      <c r="D813" s="78">
        <v>443180</v>
      </c>
      <c r="E813" s="78">
        <v>280066590</v>
      </c>
      <c r="F813" s="83" t="s">
        <v>94</v>
      </c>
      <c r="G813" s="1" t="s">
        <v>425</v>
      </c>
      <c r="H813" s="1" t="s">
        <v>14</v>
      </c>
      <c r="I813" s="1" t="s">
        <v>426</v>
      </c>
      <c r="J813" s="1">
        <v>67500000</v>
      </c>
      <c r="K813" s="1">
        <v>750000000</v>
      </c>
      <c r="L813" s="1">
        <v>0</v>
      </c>
      <c r="M813" s="1">
        <v>0</v>
      </c>
      <c r="N813" s="1" t="s">
        <v>122</v>
      </c>
      <c r="O813" s="1">
        <v>1.93333333</v>
      </c>
      <c r="P813" s="1">
        <v>0.09</v>
      </c>
      <c r="Q813" s="83">
        <v>248979.13200000001</v>
      </c>
      <c r="R813" s="83">
        <v>248979.13200000001</v>
      </c>
      <c r="S813" s="1">
        <v>248979.13200000001</v>
      </c>
      <c r="T813" s="83">
        <v>0</v>
      </c>
      <c r="U813" s="1" t="s">
        <v>122</v>
      </c>
      <c r="V813" s="1" t="s">
        <v>837</v>
      </c>
      <c r="W813" s="1">
        <v>3280.0940773799998</v>
      </c>
      <c r="X813" s="1"/>
      <c r="Y813" s="83" t="str">
        <f>VLOOKUP(LossTable[[#This Row],[Department]],$A$15:$B$40,2,FALSE)</f>
        <v>TP</v>
      </c>
    </row>
    <row r="814" spans="4:25" x14ac:dyDescent="0.25">
      <c r="D814" s="78">
        <v>444583</v>
      </c>
      <c r="E814" s="78">
        <v>280066590</v>
      </c>
      <c r="F814" s="83" t="s">
        <v>94</v>
      </c>
      <c r="G814" s="1" t="s">
        <v>395</v>
      </c>
      <c r="H814" s="1" t="s">
        <v>16</v>
      </c>
      <c r="I814" s="1" t="s">
        <v>451</v>
      </c>
      <c r="J814" s="1">
        <v>280000</v>
      </c>
      <c r="K814" s="1">
        <v>8000000</v>
      </c>
      <c r="L814" s="1">
        <v>0</v>
      </c>
      <c r="M814" s="1">
        <v>0</v>
      </c>
      <c r="N814" s="1" t="s">
        <v>452</v>
      </c>
      <c r="O814" s="1">
        <v>28.749999970000001</v>
      </c>
      <c r="P814" s="1">
        <v>3.5000000000000003E-2</v>
      </c>
      <c r="Q814" s="83">
        <v>17060.067500000001</v>
      </c>
      <c r="R814" s="83">
        <v>17060.067500000001</v>
      </c>
      <c r="S814" s="1">
        <v>17060.067500000001</v>
      </c>
      <c r="T814" s="83">
        <v>0</v>
      </c>
      <c r="U814" s="1" t="s">
        <v>122</v>
      </c>
      <c r="V814" s="1" t="s">
        <v>837</v>
      </c>
      <c r="W814" s="1">
        <v>3280.0940773799998</v>
      </c>
      <c r="X814" s="1"/>
      <c r="Y814" s="83" t="str">
        <f>VLOOKUP(LossTable[[#This Row],[Department]],$A$15:$B$40,2,FALSE)</f>
        <v>TP</v>
      </c>
    </row>
    <row r="815" spans="4:25" x14ac:dyDescent="0.25">
      <c r="D815" s="78">
        <v>445338</v>
      </c>
      <c r="E815" s="78">
        <v>280066590</v>
      </c>
      <c r="F815" s="83" t="s">
        <v>94</v>
      </c>
      <c r="G815" s="1" t="s">
        <v>416</v>
      </c>
      <c r="H815" s="1" t="s">
        <v>16</v>
      </c>
      <c r="I815" s="1" t="s">
        <v>480</v>
      </c>
      <c r="J815" s="1">
        <v>2000000</v>
      </c>
      <c r="K815" s="1">
        <v>80000000</v>
      </c>
      <c r="L815" s="1">
        <v>0</v>
      </c>
      <c r="M815" s="1">
        <v>0</v>
      </c>
      <c r="N815" s="1" t="s">
        <v>481</v>
      </c>
      <c r="O815" s="1">
        <v>3.0000000099999999</v>
      </c>
      <c r="P815" s="1">
        <v>2.5000000000000001E-2</v>
      </c>
      <c r="Q815" s="83">
        <v>12457.241</v>
      </c>
      <c r="R815" s="83">
        <v>12457.241</v>
      </c>
      <c r="S815" s="1">
        <v>12457.241</v>
      </c>
      <c r="T815" s="83">
        <v>0</v>
      </c>
      <c r="U815" s="1" t="s">
        <v>122</v>
      </c>
      <c r="V815" s="1" t="s">
        <v>837</v>
      </c>
      <c r="W815" s="1">
        <v>3280.0940773799998</v>
      </c>
      <c r="X815" s="1"/>
      <c r="Y815" s="83" t="str">
        <f>VLOOKUP(LossTable[[#This Row],[Department]],$A$15:$B$40,2,FALSE)</f>
        <v>TP</v>
      </c>
    </row>
    <row r="816" spans="4:25" x14ac:dyDescent="0.25">
      <c r="D816" s="78">
        <v>445706</v>
      </c>
      <c r="E816" s="78">
        <v>280066590</v>
      </c>
      <c r="F816" s="83" t="s">
        <v>94</v>
      </c>
      <c r="G816" s="1" t="s">
        <v>430</v>
      </c>
      <c r="H816" s="1" t="s">
        <v>16</v>
      </c>
      <c r="I816" s="1" t="s">
        <v>496</v>
      </c>
      <c r="J816" s="1">
        <v>750000</v>
      </c>
      <c r="K816" s="1">
        <v>25000000</v>
      </c>
      <c r="L816" s="1">
        <v>0</v>
      </c>
      <c r="M816" s="1">
        <v>0</v>
      </c>
      <c r="N816" s="1" t="s">
        <v>407</v>
      </c>
      <c r="O816" s="1">
        <v>0.27</v>
      </c>
      <c r="P816" s="1">
        <v>0.03</v>
      </c>
      <c r="Q816" s="83">
        <v>908.6223</v>
      </c>
      <c r="R816" s="83">
        <v>908.6223</v>
      </c>
      <c r="S816" s="1">
        <v>908.6223</v>
      </c>
      <c r="T816" s="83">
        <v>0</v>
      </c>
      <c r="U816" s="1" t="s">
        <v>122</v>
      </c>
      <c r="V816" s="1" t="s">
        <v>837</v>
      </c>
      <c r="W816" s="1">
        <v>3280.0940773799998</v>
      </c>
      <c r="X816" s="1"/>
      <c r="Y816" s="83" t="str">
        <f>VLOOKUP(LossTable[[#This Row],[Department]],$A$15:$B$40,2,FALSE)</f>
        <v>TP</v>
      </c>
    </row>
    <row r="817" spans="4:25" x14ac:dyDescent="0.25">
      <c r="D817" s="78">
        <v>445991</v>
      </c>
      <c r="E817" s="78">
        <v>280066590</v>
      </c>
      <c r="F817" s="83" t="s">
        <v>94</v>
      </c>
      <c r="G817" s="1" t="s">
        <v>440</v>
      </c>
      <c r="H817" s="1" t="s">
        <v>16</v>
      </c>
      <c r="I817" s="1" t="s">
        <v>441</v>
      </c>
      <c r="J817" s="1">
        <v>8500000</v>
      </c>
      <c r="K817" s="1">
        <v>100000000</v>
      </c>
      <c r="L817" s="1">
        <v>0</v>
      </c>
      <c r="M817" s="1">
        <v>0</v>
      </c>
      <c r="N817" s="1" t="s">
        <v>442</v>
      </c>
      <c r="O817" s="1">
        <v>0.15</v>
      </c>
      <c r="P817" s="1">
        <v>8.5000000000000006E-2</v>
      </c>
      <c r="Q817" s="83">
        <v>4206.4400500000002</v>
      </c>
      <c r="R817" s="83">
        <v>4206.4400500000002</v>
      </c>
      <c r="S817" s="1">
        <v>4206.4400500000002</v>
      </c>
      <c r="T817" s="83">
        <v>0</v>
      </c>
      <c r="U817" s="1" t="s">
        <v>122</v>
      </c>
      <c r="V817" s="1" t="s">
        <v>837</v>
      </c>
      <c r="W817" s="1">
        <v>3280.0940773799998</v>
      </c>
      <c r="X817" s="1"/>
      <c r="Y817" s="83" t="str">
        <f>VLOOKUP(LossTable[[#This Row],[Department]],$A$15:$B$40,2,FALSE)</f>
        <v>TP</v>
      </c>
    </row>
    <row r="818" spans="4:25" x14ac:dyDescent="0.25">
      <c r="D818" s="78">
        <v>446803</v>
      </c>
      <c r="E818" s="78">
        <v>280066590</v>
      </c>
      <c r="F818" s="83" t="s">
        <v>94</v>
      </c>
      <c r="G818" s="1" t="s">
        <v>448</v>
      </c>
      <c r="H818" s="1" t="s">
        <v>16</v>
      </c>
      <c r="I818" s="1" t="s">
        <v>513</v>
      </c>
      <c r="J818" s="1">
        <v>1875000</v>
      </c>
      <c r="K818" s="1">
        <v>75000000</v>
      </c>
      <c r="L818" s="1">
        <v>0</v>
      </c>
      <c r="M818" s="1">
        <v>0</v>
      </c>
      <c r="N818" s="1" t="s">
        <v>514</v>
      </c>
      <c r="O818" s="1">
        <v>0.22000162000000001</v>
      </c>
      <c r="P818" s="1">
        <v>2.5000000000000001E-2</v>
      </c>
      <c r="Q818" s="83">
        <v>9270.4055000000008</v>
      </c>
      <c r="R818" s="83">
        <v>9270.4055000000008</v>
      </c>
      <c r="S818" s="1">
        <v>9270.4055000000008</v>
      </c>
      <c r="T818" s="83">
        <v>0</v>
      </c>
      <c r="U818" s="1" t="s">
        <v>122</v>
      </c>
      <c r="V818" s="1" t="s">
        <v>837</v>
      </c>
      <c r="W818" s="1">
        <v>3280.0940773799998</v>
      </c>
      <c r="X818" s="1"/>
      <c r="Y818" s="83" t="str">
        <f>VLOOKUP(LossTable[[#This Row],[Department]],$A$15:$B$40,2,FALSE)</f>
        <v>TP</v>
      </c>
    </row>
    <row r="819" spans="4:25" x14ac:dyDescent="0.25">
      <c r="D819" s="78">
        <v>446936</v>
      </c>
      <c r="E819" s="78">
        <v>280066590</v>
      </c>
      <c r="F819" s="83" t="s">
        <v>12</v>
      </c>
      <c r="G819" s="1" t="s">
        <v>473</v>
      </c>
      <c r="H819" s="1" t="s">
        <v>16</v>
      </c>
      <c r="I819" s="1" t="s">
        <v>759</v>
      </c>
      <c r="J819" s="1">
        <v>1125000</v>
      </c>
      <c r="K819" s="1">
        <v>15000000</v>
      </c>
      <c r="L819" s="1">
        <v>0</v>
      </c>
      <c r="M819" s="1">
        <v>0</v>
      </c>
      <c r="N819" s="1" t="s">
        <v>760</v>
      </c>
      <c r="O819" s="1">
        <v>0.18668399999999999</v>
      </c>
      <c r="P819" s="1">
        <v>7.4999999999999997E-2</v>
      </c>
      <c r="Q819" s="83">
        <v>394.416</v>
      </c>
      <c r="R819" s="83">
        <v>394.416</v>
      </c>
      <c r="S819" s="1">
        <v>394.416</v>
      </c>
      <c r="T819" s="83">
        <v>0</v>
      </c>
      <c r="U819" s="1" t="s">
        <v>122</v>
      </c>
      <c r="V819" s="1" t="s">
        <v>837</v>
      </c>
      <c r="W819" s="1">
        <v>3280.0940773799998</v>
      </c>
      <c r="X819" s="1"/>
      <c r="Y819" s="83" t="str">
        <f>VLOOKUP(LossTable[[#This Row],[Department]],$A$15:$B$40,2,FALSE)</f>
        <v>Bermuda</v>
      </c>
    </row>
    <row r="820" spans="4:25" x14ac:dyDescent="0.25">
      <c r="D820" s="78">
        <v>447394</v>
      </c>
      <c r="E820" s="78">
        <v>280066590</v>
      </c>
      <c r="F820" s="83" t="s">
        <v>94</v>
      </c>
      <c r="G820" s="1" t="s">
        <v>482</v>
      </c>
      <c r="H820" s="1" t="s">
        <v>16</v>
      </c>
      <c r="I820" s="1" t="s">
        <v>522</v>
      </c>
      <c r="J820" s="1">
        <v>1700000</v>
      </c>
      <c r="K820" s="1">
        <v>10000000</v>
      </c>
      <c r="L820" s="1">
        <v>0</v>
      </c>
      <c r="M820" s="1">
        <v>0</v>
      </c>
      <c r="N820" s="1" t="s">
        <v>315</v>
      </c>
      <c r="O820" s="1">
        <v>0.71</v>
      </c>
      <c r="P820" s="1">
        <v>0.17</v>
      </c>
      <c r="Q820" s="83">
        <v>2530.5468999999998</v>
      </c>
      <c r="R820" s="83">
        <v>2530.5468999999998</v>
      </c>
      <c r="S820" s="1">
        <v>2530.5468999999998</v>
      </c>
      <c r="T820" s="83">
        <v>0</v>
      </c>
      <c r="U820" s="1" t="s">
        <v>122</v>
      </c>
      <c r="V820" s="1" t="s">
        <v>837</v>
      </c>
      <c r="W820" s="1">
        <v>3280.0940773799998</v>
      </c>
      <c r="X820" s="1"/>
      <c r="Y820" s="83" t="str">
        <f>VLOOKUP(LossTable[[#This Row],[Department]],$A$15:$B$40,2,FALSE)</f>
        <v>TP</v>
      </c>
    </row>
    <row r="821" spans="4:25" x14ac:dyDescent="0.25">
      <c r="D821" s="78">
        <v>448028</v>
      </c>
      <c r="E821" s="78">
        <v>280066590</v>
      </c>
      <c r="F821" s="83" t="s">
        <v>94</v>
      </c>
      <c r="G821" s="1" t="s">
        <v>395</v>
      </c>
      <c r="H821" s="1" t="s">
        <v>16</v>
      </c>
      <c r="I821" s="1" t="s">
        <v>525</v>
      </c>
      <c r="J821" s="1">
        <v>1410737.5386000001</v>
      </c>
      <c r="K821" s="1">
        <v>43407308.880000003</v>
      </c>
      <c r="L821" s="1">
        <v>0</v>
      </c>
      <c r="M821" s="1">
        <v>0</v>
      </c>
      <c r="N821" s="1" t="s">
        <v>526</v>
      </c>
      <c r="O821" s="1">
        <v>0.57999999999999996</v>
      </c>
      <c r="P821" s="1">
        <v>3.2500000000000001E-2</v>
      </c>
      <c r="Q821" s="83">
        <v>9222.3556750000007</v>
      </c>
      <c r="R821" s="83">
        <v>9222.3556750000007</v>
      </c>
      <c r="S821" s="1">
        <v>9222.3556750000007</v>
      </c>
      <c r="T821" s="83">
        <v>0</v>
      </c>
      <c r="U821" s="1" t="s">
        <v>122</v>
      </c>
      <c r="V821" s="1" t="s">
        <v>837</v>
      </c>
      <c r="W821" s="1">
        <v>3280.0940773799998</v>
      </c>
      <c r="X821" s="1"/>
      <c r="Y821" s="83" t="str">
        <f>VLOOKUP(LossTable[[#This Row],[Department]],$A$15:$B$40,2,FALSE)</f>
        <v>TP</v>
      </c>
    </row>
    <row r="822" spans="4:25" x14ac:dyDescent="0.25">
      <c r="D822" s="78">
        <v>448237</v>
      </c>
      <c r="E822" s="78">
        <v>280066590</v>
      </c>
      <c r="F822" s="83" t="s">
        <v>45</v>
      </c>
      <c r="G822" s="1" t="s">
        <v>553</v>
      </c>
      <c r="H822" s="1" t="s">
        <v>16</v>
      </c>
      <c r="I822" s="1" t="s">
        <v>554</v>
      </c>
      <c r="J822" s="1">
        <v>750000</v>
      </c>
      <c r="K822" s="1">
        <v>10000000</v>
      </c>
      <c r="L822" s="1">
        <v>0</v>
      </c>
      <c r="M822" s="1">
        <v>0</v>
      </c>
      <c r="N822" s="1" t="s">
        <v>315</v>
      </c>
      <c r="O822" s="1">
        <v>0.27500000000000002</v>
      </c>
      <c r="P822" s="1">
        <v>7.4999999999999997E-2</v>
      </c>
      <c r="Q822" s="83">
        <v>489.39749999999998</v>
      </c>
      <c r="R822" s="83">
        <v>489.39749999999998</v>
      </c>
      <c r="S822" s="1">
        <v>489.39749999999998</v>
      </c>
      <c r="T822" s="83">
        <v>0</v>
      </c>
      <c r="U822" s="1" t="s">
        <v>122</v>
      </c>
      <c r="V822" s="1" t="s">
        <v>837</v>
      </c>
      <c r="W822" s="1">
        <v>3280.0940773799998</v>
      </c>
      <c r="X822" s="1"/>
      <c r="Y822" s="83" t="str">
        <f>VLOOKUP(LossTable[[#This Row],[Department]],$A$15:$B$40,2,FALSE)</f>
        <v>FP</v>
      </c>
    </row>
    <row r="823" spans="4:25" x14ac:dyDescent="0.25">
      <c r="D823" s="78">
        <v>456760</v>
      </c>
      <c r="E823" s="78">
        <v>280066590</v>
      </c>
      <c r="F823" s="83" t="s">
        <v>45</v>
      </c>
      <c r="G823" s="1" t="s">
        <v>577</v>
      </c>
      <c r="H823" s="1" t="s">
        <v>16</v>
      </c>
      <c r="I823" s="1" t="s">
        <v>578</v>
      </c>
      <c r="J823" s="1">
        <v>5094000</v>
      </c>
      <c r="K823" s="1">
        <v>25470000</v>
      </c>
      <c r="L823" s="1">
        <v>0</v>
      </c>
      <c r="M823" s="1">
        <v>0</v>
      </c>
      <c r="N823" s="1" t="s">
        <v>579</v>
      </c>
      <c r="O823" s="1">
        <v>0.42</v>
      </c>
      <c r="P823" s="1">
        <v>0.2</v>
      </c>
      <c r="Q823" s="83">
        <v>63.932000000000002</v>
      </c>
      <c r="R823" s="83">
        <v>63.932000000000002</v>
      </c>
      <c r="S823" s="1">
        <v>63.932000000000002</v>
      </c>
      <c r="T823" s="83">
        <v>0</v>
      </c>
      <c r="U823" s="1" t="s">
        <v>122</v>
      </c>
      <c r="V823" s="1" t="s">
        <v>837</v>
      </c>
      <c r="W823" s="1">
        <v>3280.0940773799998</v>
      </c>
      <c r="X823" s="1"/>
      <c r="Y823" s="83" t="str">
        <f>VLOOKUP(LossTable[[#This Row],[Department]],$A$15:$B$40,2,FALSE)</f>
        <v>FP</v>
      </c>
    </row>
    <row r="824" spans="4:25" x14ac:dyDescent="0.25">
      <c r="D824" s="78">
        <v>468489</v>
      </c>
      <c r="E824" s="78">
        <v>280066590</v>
      </c>
      <c r="F824" s="83" t="s">
        <v>21</v>
      </c>
      <c r="G824" s="1" t="s">
        <v>594</v>
      </c>
      <c r="H824" s="1" t="s">
        <v>14</v>
      </c>
      <c r="I824" s="1" t="s">
        <v>595</v>
      </c>
      <c r="J824" s="1">
        <v>23494439.125061002</v>
      </c>
      <c r="K824" s="1">
        <v>469888782.501221</v>
      </c>
      <c r="L824" s="1">
        <v>0</v>
      </c>
      <c r="M824" s="1">
        <v>0</v>
      </c>
      <c r="N824" s="1" t="s">
        <v>157</v>
      </c>
      <c r="O824" s="1">
        <v>1.3674999999999999</v>
      </c>
      <c r="P824" s="1">
        <v>0.05</v>
      </c>
      <c r="Q824" s="83">
        <v>20690.961652310001</v>
      </c>
      <c r="R824" s="83">
        <v>20690.961652310001</v>
      </c>
      <c r="S824" s="1">
        <v>20690.961652310001</v>
      </c>
      <c r="T824" s="83">
        <v>0</v>
      </c>
      <c r="U824" s="1" t="s">
        <v>122</v>
      </c>
      <c r="V824" s="1" t="s">
        <v>837</v>
      </c>
      <c r="W824" s="1">
        <v>3280.0940773799998</v>
      </c>
      <c r="X824" s="1"/>
      <c r="Y824" s="83" t="str">
        <f>VLOOKUP(LossTable[[#This Row],[Department]],$A$15:$B$40,2,FALSE)</f>
        <v>London</v>
      </c>
    </row>
    <row r="825" spans="4:25" x14ac:dyDescent="0.25">
      <c r="D825" s="78">
        <v>468532</v>
      </c>
      <c r="E825" s="78">
        <v>280066590</v>
      </c>
      <c r="F825" s="83" t="s">
        <v>95</v>
      </c>
      <c r="G825" s="1" t="s">
        <v>638</v>
      </c>
      <c r="H825" s="1" t="s">
        <v>14</v>
      </c>
      <c r="I825" s="1" t="s">
        <v>639</v>
      </c>
      <c r="J825" s="1">
        <v>39658812.313482799</v>
      </c>
      <c r="K825" s="1">
        <v>721069314.79059601</v>
      </c>
      <c r="L825" s="1">
        <v>0</v>
      </c>
      <c r="M825" s="1">
        <v>0</v>
      </c>
      <c r="N825" s="1" t="s">
        <v>122</v>
      </c>
      <c r="O825" s="1">
        <v>0.65165550000000005</v>
      </c>
      <c r="P825" s="1">
        <v>5.5E-2</v>
      </c>
      <c r="Q825" s="83">
        <v>51078.084968679999</v>
      </c>
      <c r="R825" s="83">
        <v>51078.084968679999</v>
      </c>
      <c r="S825" s="1">
        <v>51078.084968679999</v>
      </c>
      <c r="T825" s="83">
        <v>0</v>
      </c>
      <c r="U825" s="1" t="s">
        <v>122</v>
      </c>
      <c r="V825" s="1" t="s">
        <v>837</v>
      </c>
      <c r="W825" s="1">
        <v>3280.0940773799998</v>
      </c>
      <c r="X825" s="1"/>
      <c r="Y825" s="83" t="str">
        <f>VLOOKUP(LossTable[[#This Row],[Department]],$A$15:$B$40,2,FALSE)</f>
        <v>Dublin</v>
      </c>
    </row>
    <row r="826" spans="4:25" x14ac:dyDescent="0.25">
      <c r="D826" s="78">
        <v>468971</v>
      </c>
      <c r="E826" s="78">
        <v>280066590</v>
      </c>
      <c r="F826" s="83" t="s">
        <v>94</v>
      </c>
      <c r="G826" s="1" t="s">
        <v>832</v>
      </c>
      <c r="H826" s="1" t="s">
        <v>16</v>
      </c>
      <c r="I826" s="1" t="s">
        <v>833</v>
      </c>
      <c r="J826" s="1">
        <v>4092128.8162500001</v>
      </c>
      <c r="K826" s="1">
        <v>32737030.530000001</v>
      </c>
      <c r="L826" s="1">
        <v>0</v>
      </c>
      <c r="M826" s="1">
        <v>0</v>
      </c>
      <c r="N826" s="1" t="s">
        <v>122</v>
      </c>
      <c r="O826" s="1">
        <v>0.26500000000000001</v>
      </c>
      <c r="P826" s="1">
        <v>0.125</v>
      </c>
      <c r="Q826" s="83">
        <v>26.46</v>
      </c>
      <c r="R826" s="83">
        <v>26.46</v>
      </c>
      <c r="S826" s="1">
        <v>26.46</v>
      </c>
      <c r="T826" s="83">
        <v>0</v>
      </c>
      <c r="U826" s="1" t="s">
        <v>122</v>
      </c>
      <c r="V826" s="1" t="s">
        <v>837</v>
      </c>
      <c r="W826" s="1">
        <v>3280.0940773799998</v>
      </c>
      <c r="X826" s="1"/>
      <c r="Y826" s="83" t="str">
        <f>VLOOKUP(LossTable[[#This Row],[Department]],$A$15:$B$40,2,FALSE)</f>
        <v>TP</v>
      </c>
    </row>
    <row r="827" spans="4:25" x14ac:dyDescent="0.25">
      <c r="D827" s="78">
        <v>473122</v>
      </c>
      <c r="E827" s="78">
        <v>280066590</v>
      </c>
      <c r="F827" s="83" t="s">
        <v>94</v>
      </c>
      <c r="G827" s="1" t="s">
        <v>761</v>
      </c>
      <c r="H827" s="1" t="s">
        <v>16</v>
      </c>
      <c r="I827" s="1" t="s">
        <v>762</v>
      </c>
      <c r="J827" s="1">
        <v>2000000</v>
      </c>
      <c r="K827" s="1">
        <v>10000000</v>
      </c>
      <c r="L827" s="1">
        <v>0</v>
      </c>
      <c r="M827" s="1">
        <v>0</v>
      </c>
      <c r="N827" s="1" t="s">
        <v>122</v>
      </c>
      <c r="O827" s="1">
        <v>0.32</v>
      </c>
      <c r="P827" s="1">
        <v>0.2</v>
      </c>
      <c r="Q827" s="83">
        <v>2.1379999999999999</v>
      </c>
      <c r="R827" s="83">
        <v>2.1379999999999999</v>
      </c>
      <c r="S827" s="1">
        <v>2.1379999999999999</v>
      </c>
      <c r="T827" s="83">
        <v>0</v>
      </c>
      <c r="U827" s="1" t="s">
        <v>122</v>
      </c>
      <c r="V827" s="1" t="s">
        <v>837</v>
      </c>
      <c r="W827" s="1">
        <v>3280.0940773799998</v>
      </c>
      <c r="X827" s="1"/>
      <c r="Y827" s="83" t="str">
        <f>VLOOKUP(LossTable[[#This Row],[Department]],$A$15:$B$40,2,FALSE)</f>
        <v>TP</v>
      </c>
    </row>
    <row r="828" spans="4:25" x14ac:dyDescent="0.25">
      <c r="D828" s="78">
        <v>473915</v>
      </c>
      <c r="E828" s="78">
        <v>280066590</v>
      </c>
      <c r="F828" s="83" t="s">
        <v>95</v>
      </c>
      <c r="G828" s="1" t="s">
        <v>679</v>
      </c>
      <c r="H828" s="1" t="s">
        <v>14</v>
      </c>
      <c r="I828" s="1" t="s">
        <v>680</v>
      </c>
      <c r="J828" s="1">
        <v>12334580.540657099</v>
      </c>
      <c r="K828" s="1">
        <v>411152684.688568</v>
      </c>
      <c r="L828" s="1">
        <v>0</v>
      </c>
      <c r="M828" s="1">
        <v>0</v>
      </c>
      <c r="N828" s="1" t="s">
        <v>160</v>
      </c>
      <c r="O828" s="1">
        <v>0.74285714000000003</v>
      </c>
      <c r="P828" s="1">
        <v>0.03</v>
      </c>
      <c r="Q828" s="83">
        <v>8274.3231413400008</v>
      </c>
      <c r="R828" s="83">
        <v>8274.3231413400008</v>
      </c>
      <c r="S828" s="1">
        <v>8274.3231413400008</v>
      </c>
      <c r="T828" s="83">
        <v>0</v>
      </c>
      <c r="U828" s="1" t="s">
        <v>122</v>
      </c>
      <c r="V828" s="1" t="s">
        <v>837</v>
      </c>
      <c r="W828" s="1">
        <v>3280.0940773799998</v>
      </c>
      <c r="X828" s="1"/>
      <c r="Y828" s="83" t="str">
        <f>VLOOKUP(LossTable[[#This Row],[Department]],$A$15:$B$40,2,FALSE)</f>
        <v>Dublin</v>
      </c>
    </row>
    <row r="829" spans="4:25" x14ac:dyDescent="0.25">
      <c r="D829" s="78">
        <v>475589</v>
      </c>
      <c r="E829" s="78">
        <v>280066590</v>
      </c>
      <c r="F829" s="83" t="s">
        <v>94</v>
      </c>
      <c r="G829" s="1" t="s">
        <v>623</v>
      </c>
      <c r="H829" s="1" t="s">
        <v>14</v>
      </c>
      <c r="I829" s="1" t="s">
        <v>624</v>
      </c>
      <c r="J829" s="1">
        <v>10500000</v>
      </c>
      <c r="K829" s="1">
        <v>105000000</v>
      </c>
      <c r="L829" s="1">
        <v>0</v>
      </c>
      <c r="M829" s="1">
        <v>0</v>
      </c>
      <c r="N829" s="1" t="s">
        <v>122</v>
      </c>
      <c r="O829" s="1">
        <v>0.45362531</v>
      </c>
      <c r="P829" s="1">
        <v>0.1</v>
      </c>
      <c r="Q829" s="83">
        <v>34122.201000000001</v>
      </c>
      <c r="R829" s="83">
        <v>34122.201000000001</v>
      </c>
      <c r="S829" s="1">
        <v>34122.201000000001</v>
      </c>
      <c r="T829" s="83">
        <v>0</v>
      </c>
      <c r="U829" s="1" t="s">
        <v>122</v>
      </c>
      <c r="V829" s="1" t="s">
        <v>837</v>
      </c>
      <c r="W829" s="1">
        <v>3280.0940773799998</v>
      </c>
      <c r="X829" s="1"/>
      <c r="Y829" s="83" t="str">
        <f>VLOOKUP(LossTable[[#This Row],[Department]],$A$15:$B$40,2,FALSE)</f>
        <v>TP</v>
      </c>
    </row>
    <row r="830" spans="4:25" x14ac:dyDescent="0.25">
      <c r="D830" s="78">
        <v>476959</v>
      </c>
      <c r="E830" s="78">
        <v>280066590</v>
      </c>
      <c r="F830" s="83" t="s">
        <v>94</v>
      </c>
      <c r="G830" s="1" t="s">
        <v>629</v>
      </c>
      <c r="H830" s="1" t="s">
        <v>14</v>
      </c>
      <c r="I830" s="1" t="s">
        <v>630</v>
      </c>
      <c r="J830" s="1">
        <v>7000000</v>
      </c>
      <c r="K830" s="1">
        <v>35000000</v>
      </c>
      <c r="L830" s="1">
        <v>0</v>
      </c>
      <c r="M830" s="1">
        <v>0</v>
      </c>
      <c r="N830" s="1" t="s">
        <v>122</v>
      </c>
      <c r="O830" s="1">
        <v>1.71428571</v>
      </c>
      <c r="P830" s="1">
        <v>0.2</v>
      </c>
      <c r="Q830" s="83">
        <v>38268.959999999999</v>
      </c>
      <c r="R830" s="83">
        <v>38268.959999999999</v>
      </c>
      <c r="S830" s="1">
        <v>38268.959999999999</v>
      </c>
      <c r="T830" s="83">
        <v>0</v>
      </c>
      <c r="U830" s="1" t="s">
        <v>122</v>
      </c>
      <c r="V830" s="1" t="s">
        <v>837</v>
      </c>
      <c r="W830" s="1">
        <v>3280.0940773799998</v>
      </c>
      <c r="X830" s="1"/>
      <c r="Y830" s="83" t="str">
        <f>VLOOKUP(LossTable[[#This Row],[Department]],$A$15:$B$40,2,FALSE)</f>
        <v>TP</v>
      </c>
    </row>
    <row r="831" spans="4:25" x14ac:dyDescent="0.25">
      <c r="D831" s="78">
        <v>481420</v>
      </c>
      <c r="E831" s="78">
        <v>280066590</v>
      </c>
      <c r="F831" s="83" t="s">
        <v>94</v>
      </c>
      <c r="G831" s="1" t="s">
        <v>731</v>
      </c>
      <c r="H831" s="1" t="s">
        <v>14</v>
      </c>
      <c r="I831" s="1" t="s">
        <v>732</v>
      </c>
      <c r="J831" s="1">
        <v>2063250</v>
      </c>
      <c r="K831" s="1">
        <v>91700000</v>
      </c>
      <c r="L831" s="1">
        <v>0</v>
      </c>
      <c r="M831" s="1">
        <v>0</v>
      </c>
      <c r="N831" s="1" t="s">
        <v>733</v>
      </c>
      <c r="O831" s="1">
        <v>0.63980720000000002</v>
      </c>
      <c r="P831" s="1">
        <v>2.2499999999999999E-2</v>
      </c>
      <c r="Q831" s="83">
        <v>3465.3042</v>
      </c>
      <c r="R831" s="83">
        <v>3465.3042</v>
      </c>
      <c r="S831" s="1">
        <v>3465.3042</v>
      </c>
      <c r="T831" s="83">
        <v>0</v>
      </c>
      <c r="U831" s="1" t="s">
        <v>122</v>
      </c>
      <c r="V831" s="1" t="s">
        <v>837</v>
      </c>
      <c r="W831" s="1">
        <v>3280.0940773799998</v>
      </c>
      <c r="X831" s="1"/>
      <c r="Y831" s="83" t="str">
        <f>VLOOKUP(LossTable[[#This Row],[Department]],$A$15:$B$40,2,FALSE)</f>
        <v>TP</v>
      </c>
    </row>
    <row r="832" spans="4:25" x14ac:dyDescent="0.25">
      <c r="D832" s="78">
        <v>482844</v>
      </c>
      <c r="E832" s="78">
        <v>280066590</v>
      </c>
      <c r="F832" s="83" t="s">
        <v>21</v>
      </c>
      <c r="G832" s="1" t="s">
        <v>738</v>
      </c>
      <c r="H832" s="1" t="s">
        <v>14</v>
      </c>
      <c r="I832" s="1" t="s">
        <v>739</v>
      </c>
      <c r="J832" s="1">
        <v>17100000</v>
      </c>
      <c r="K832" s="1">
        <v>1140000000</v>
      </c>
      <c r="L832" s="1">
        <v>0</v>
      </c>
      <c r="M832" s="1">
        <v>0</v>
      </c>
      <c r="N832" s="1" t="s">
        <v>122</v>
      </c>
      <c r="O832" s="1">
        <v>0.33333332999999998</v>
      </c>
      <c r="P832" s="1">
        <v>1.4999999999999999E-2</v>
      </c>
      <c r="Q832" s="83">
        <v>28916.796600000001</v>
      </c>
      <c r="R832" s="83">
        <v>28916.796600000001</v>
      </c>
      <c r="S832" s="1">
        <v>28916.796600000001</v>
      </c>
      <c r="T832" s="83">
        <v>0</v>
      </c>
      <c r="U832" s="1" t="s">
        <v>122</v>
      </c>
      <c r="V832" s="1" t="s">
        <v>837</v>
      </c>
      <c r="W832" s="1">
        <v>3280.0940773799998</v>
      </c>
      <c r="X832" s="1"/>
      <c r="Y832" s="83" t="str">
        <f>VLOOKUP(LossTable[[#This Row],[Department]],$A$15:$B$40,2,FALSE)</f>
        <v>London</v>
      </c>
    </row>
    <row r="833" spans="4:25" x14ac:dyDescent="0.25">
      <c r="D833" s="78">
        <v>483561</v>
      </c>
      <c r="E833" s="78">
        <v>280066590</v>
      </c>
      <c r="F833" s="83" t="s">
        <v>45</v>
      </c>
      <c r="G833" s="1" t="s">
        <v>772</v>
      </c>
      <c r="H833" s="1" t="s">
        <v>16</v>
      </c>
      <c r="I833" s="1" t="s">
        <v>773</v>
      </c>
      <c r="J833" s="1">
        <v>2250000</v>
      </c>
      <c r="K833" s="1">
        <v>30000000</v>
      </c>
      <c r="L833" s="1">
        <v>0</v>
      </c>
      <c r="M833" s="1">
        <v>0</v>
      </c>
      <c r="N833" s="1" t="s">
        <v>376</v>
      </c>
      <c r="O833" s="1">
        <v>1.43333333</v>
      </c>
      <c r="P833" s="1">
        <v>7.4999999999999997E-2</v>
      </c>
      <c r="Q833" s="83">
        <v>291.10275000000001</v>
      </c>
      <c r="R833" s="83">
        <v>291.10275000000001</v>
      </c>
      <c r="S833" s="1">
        <v>291.10275000000001</v>
      </c>
      <c r="T833" s="83">
        <v>0</v>
      </c>
      <c r="U833" s="1" t="s">
        <v>122</v>
      </c>
      <c r="V833" s="1" t="s">
        <v>837</v>
      </c>
      <c r="W833" s="1">
        <v>3280.0940773799998</v>
      </c>
      <c r="X833" s="1"/>
      <c r="Y833" s="83" t="str">
        <f>VLOOKUP(LossTable[[#This Row],[Department]],$A$15:$B$40,2,FALSE)</f>
        <v>FP</v>
      </c>
    </row>
    <row r="834" spans="4:25" x14ac:dyDescent="0.25">
      <c r="D834" s="78">
        <v>484031</v>
      </c>
      <c r="E834" s="78">
        <v>280066590</v>
      </c>
      <c r="F834" s="83" t="s">
        <v>21</v>
      </c>
      <c r="G834" s="1" t="s">
        <v>729</v>
      </c>
      <c r="H834" s="1" t="s">
        <v>14</v>
      </c>
      <c r="I834" s="1" t="s">
        <v>730</v>
      </c>
      <c r="J834" s="1">
        <v>600000</v>
      </c>
      <c r="K834" s="1">
        <v>60000000</v>
      </c>
      <c r="L834" s="1">
        <v>0</v>
      </c>
      <c r="M834" s="1">
        <v>0</v>
      </c>
      <c r="N834" s="1" t="s">
        <v>620</v>
      </c>
      <c r="O834" s="1">
        <v>0.79666667000000002</v>
      </c>
      <c r="P834" s="1">
        <v>0.01</v>
      </c>
      <c r="Q834" s="83">
        <v>275.07420000000002</v>
      </c>
      <c r="R834" s="83">
        <v>275.07420000000002</v>
      </c>
      <c r="S834" s="1">
        <v>275.07420000000002</v>
      </c>
      <c r="T834" s="83">
        <v>0</v>
      </c>
      <c r="U834" s="1" t="s">
        <v>122</v>
      </c>
      <c r="V834" s="1" t="s">
        <v>837</v>
      </c>
      <c r="W834" s="1">
        <v>3280.0940773799998</v>
      </c>
      <c r="X834" s="1"/>
      <c r="Y834" s="83" t="str">
        <f>VLOOKUP(LossTable[[#This Row],[Department]],$A$15:$B$40,2,FALSE)</f>
        <v>London</v>
      </c>
    </row>
    <row r="835" spans="4:25" x14ac:dyDescent="0.25">
      <c r="D835" s="78">
        <v>484259</v>
      </c>
      <c r="E835" s="78">
        <v>280066590</v>
      </c>
      <c r="F835" s="83" t="s">
        <v>94</v>
      </c>
      <c r="G835" s="1" t="s">
        <v>686</v>
      </c>
      <c r="H835" s="1" t="s">
        <v>16</v>
      </c>
      <c r="I835" s="1" t="s">
        <v>736</v>
      </c>
      <c r="J835" s="1">
        <v>3000000</v>
      </c>
      <c r="K835" s="1">
        <v>75000000</v>
      </c>
      <c r="L835" s="1">
        <v>0</v>
      </c>
      <c r="M835" s="1">
        <v>0</v>
      </c>
      <c r="N835" s="1" t="s">
        <v>122</v>
      </c>
      <c r="O835" s="1">
        <v>2</v>
      </c>
      <c r="P835" s="1">
        <v>0.04</v>
      </c>
      <c r="Q835" s="83">
        <v>47122.328800000003</v>
      </c>
      <c r="R835" s="83">
        <v>47122.328800000003</v>
      </c>
      <c r="S835" s="1">
        <v>47122.328800000003</v>
      </c>
      <c r="T835" s="83">
        <v>0</v>
      </c>
      <c r="U835" s="1" t="s">
        <v>122</v>
      </c>
      <c r="V835" s="1" t="s">
        <v>837</v>
      </c>
      <c r="W835" s="1">
        <v>3280.0940773799998</v>
      </c>
      <c r="X835" s="1"/>
      <c r="Y835" s="83" t="str">
        <f>VLOOKUP(LossTable[[#This Row],[Department]],$A$15:$B$40,2,FALSE)</f>
        <v>TP</v>
      </c>
    </row>
    <row r="836" spans="4:25" x14ac:dyDescent="0.25">
      <c r="D836" s="78">
        <v>484924</v>
      </c>
      <c r="E836" s="78">
        <v>280066590</v>
      </c>
      <c r="F836" s="83" t="s">
        <v>94</v>
      </c>
      <c r="G836" s="1" t="s">
        <v>774</v>
      </c>
      <c r="H836" s="1" t="s">
        <v>16</v>
      </c>
      <c r="I836" s="1" t="s">
        <v>775</v>
      </c>
      <c r="J836" s="1">
        <v>1125000</v>
      </c>
      <c r="K836" s="1">
        <v>7500000</v>
      </c>
      <c r="L836" s="1">
        <v>0</v>
      </c>
      <c r="M836" s="1">
        <v>0</v>
      </c>
      <c r="N836" s="1" t="s">
        <v>776</v>
      </c>
      <c r="O836" s="1">
        <v>0.17499999999999999</v>
      </c>
      <c r="P836" s="1">
        <v>0.15</v>
      </c>
      <c r="Q836" s="83">
        <v>451.48649999999998</v>
      </c>
      <c r="R836" s="83">
        <v>451.48649999999998</v>
      </c>
      <c r="S836" s="1">
        <v>451.48649999999998</v>
      </c>
      <c r="T836" s="83">
        <v>0</v>
      </c>
      <c r="U836" s="1" t="s">
        <v>122</v>
      </c>
      <c r="V836" s="1" t="s">
        <v>837</v>
      </c>
      <c r="W836" s="1">
        <v>3280.0940773799998</v>
      </c>
      <c r="X836" s="1"/>
      <c r="Y836" s="83" t="str">
        <f>VLOOKUP(LossTable[[#This Row],[Department]],$A$15:$B$40,2,FALSE)</f>
        <v>TP</v>
      </c>
    </row>
    <row r="837" spans="4:25" x14ac:dyDescent="0.25">
      <c r="D837" s="78">
        <v>485546</v>
      </c>
      <c r="E837" s="78">
        <v>280066590</v>
      </c>
      <c r="F837" s="83" t="s">
        <v>94</v>
      </c>
      <c r="G837" s="1" t="s">
        <v>747</v>
      </c>
      <c r="H837" s="1" t="s">
        <v>14</v>
      </c>
      <c r="I837" s="1" t="s">
        <v>748</v>
      </c>
      <c r="J837" s="1">
        <v>8750000</v>
      </c>
      <c r="K837" s="1">
        <v>50000000</v>
      </c>
      <c r="L837" s="1">
        <v>0</v>
      </c>
      <c r="M837" s="1">
        <v>0</v>
      </c>
      <c r="N837" s="1" t="s">
        <v>166</v>
      </c>
      <c r="O837" s="1">
        <v>0.51867832000000003</v>
      </c>
      <c r="P837" s="1">
        <v>0.17499999999999999</v>
      </c>
      <c r="Q837" s="83">
        <v>51603.502999999997</v>
      </c>
      <c r="R837" s="83">
        <v>51603.502999999997</v>
      </c>
      <c r="S837" s="1">
        <v>51603.502999999997</v>
      </c>
      <c r="T837" s="83">
        <v>0</v>
      </c>
      <c r="U837" s="1" t="s">
        <v>122</v>
      </c>
      <c r="V837" s="1" t="s">
        <v>837</v>
      </c>
      <c r="W837" s="1">
        <v>3280.0940773799998</v>
      </c>
      <c r="X837" s="1"/>
      <c r="Y837" s="83" t="str">
        <f>VLOOKUP(LossTable[[#This Row],[Department]],$A$15:$B$40,2,FALSE)</f>
        <v>TP</v>
      </c>
    </row>
    <row r="838" spans="4:25" x14ac:dyDescent="0.25">
      <c r="D838" s="78">
        <v>112</v>
      </c>
      <c r="E838" s="78">
        <v>280037801</v>
      </c>
      <c r="F838" s="83" t="s">
        <v>42</v>
      </c>
      <c r="G838" s="1" t="s">
        <v>43</v>
      </c>
      <c r="H838" s="1" t="s">
        <v>16</v>
      </c>
      <c r="I838" s="1" t="s">
        <v>43</v>
      </c>
      <c r="J838" s="1">
        <v>689002647.25189602</v>
      </c>
      <c r="K838" s="1">
        <v>0</v>
      </c>
      <c r="L838" s="1">
        <v>0</v>
      </c>
      <c r="M838" s="1">
        <v>0</v>
      </c>
      <c r="N838" s="1" t="s">
        <v>44</v>
      </c>
      <c r="O838" s="1">
        <v>0</v>
      </c>
      <c r="P838" s="1">
        <v>1</v>
      </c>
      <c r="Q838" s="83">
        <v>821.94317699999999</v>
      </c>
      <c r="R838" s="83">
        <v>821.94317699999999</v>
      </c>
      <c r="S838" s="1">
        <v>821.94317699999999</v>
      </c>
      <c r="T838" s="83">
        <v>0</v>
      </c>
      <c r="U838" s="1" t="s">
        <v>122</v>
      </c>
      <c r="V838" s="1" t="s">
        <v>852</v>
      </c>
      <c r="W838" s="1">
        <v>3949.1976460300002</v>
      </c>
      <c r="X838" s="1"/>
      <c r="Y838" s="83" t="str">
        <f>VLOOKUP(LossTable[[#This Row],[Department]],$A$15:$B$40,2,FALSE)</f>
        <v>FP</v>
      </c>
    </row>
    <row r="839" spans="4:25" x14ac:dyDescent="0.25">
      <c r="D839" s="78">
        <v>119</v>
      </c>
      <c r="E839" s="78">
        <v>280037801</v>
      </c>
      <c r="F839" s="83" t="s">
        <v>42</v>
      </c>
      <c r="G839" s="1" t="s">
        <v>43</v>
      </c>
      <c r="H839" s="1" t="s">
        <v>16</v>
      </c>
      <c r="I839" s="1" t="s">
        <v>43</v>
      </c>
      <c r="J839" s="1">
        <v>140720073.28258401</v>
      </c>
      <c r="K839" s="1">
        <v>0</v>
      </c>
      <c r="L839" s="1">
        <v>0</v>
      </c>
      <c r="M839" s="1">
        <v>0</v>
      </c>
      <c r="N839" s="1" t="s">
        <v>44</v>
      </c>
      <c r="O839" s="1">
        <v>0</v>
      </c>
      <c r="P839" s="1">
        <v>1</v>
      </c>
      <c r="Q839" s="83">
        <v>1071.8739129999999</v>
      </c>
      <c r="R839" s="83">
        <v>1071.8739129999999</v>
      </c>
      <c r="S839" s="1">
        <v>1071.8739129999999</v>
      </c>
      <c r="T839" s="83">
        <v>0</v>
      </c>
      <c r="U839" s="1" t="s">
        <v>122</v>
      </c>
      <c r="V839" s="1" t="s">
        <v>852</v>
      </c>
      <c r="W839" s="1">
        <v>3949.1976460300002</v>
      </c>
      <c r="X839" s="1"/>
      <c r="Y839" s="83" t="str">
        <f>VLOOKUP(LossTable[[#This Row],[Department]],$A$15:$B$40,2,FALSE)</f>
        <v>FP</v>
      </c>
    </row>
    <row r="840" spans="4:25" x14ac:dyDescent="0.25">
      <c r="D840" s="78">
        <v>131</v>
      </c>
      <c r="E840" s="78">
        <v>280037801</v>
      </c>
      <c r="F840" s="83" t="s">
        <v>218</v>
      </c>
      <c r="G840" s="1" t="s">
        <v>219</v>
      </c>
      <c r="H840" s="1" t="s">
        <v>16</v>
      </c>
      <c r="I840" s="1" t="s">
        <v>219</v>
      </c>
      <c r="J840" s="1">
        <v>16348609.506002501</v>
      </c>
      <c r="K840" s="1">
        <v>0</v>
      </c>
      <c r="L840" s="1">
        <v>0</v>
      </c>
      <c r="M840" s="1">
        <v>0</v>
      </c>
      <c r="N840" s="1" t="s">
        <v>44</v>
      </c>
      <c r="O840" s="1">
        <v>0</v>
      </c>
      <c r="P840" s="1">
        <v>1</v>
      </c>
      <c r="Q840" s="83">
        <v>26.368600000000001</v>
      </c>
      <c r="R840" s="83">
        <v>26.368600000000001</v>
      </c>
      <c r="S840" s="1">
        <v>26.368600000000001</v>
      </c>
      <c r="T840" s="83">
        <v>0</v>
      </c>
      <c r="U840" s="1" t="s">
        <v>122</v>
      </c>
      <c r="V840" s="1" t="s">
        <v>852</v>
      </c>
      <c r="W840" s="1">
        <v>3949.1976460300002</v>
      </c>
      <c r="X840" s="1"/>
      <c r="Y840" s="83" t="e">
        <f>VLOOKUP(LossTable[[#This Row],[Department]],$A$15:$B$40,2,FALSE)</f>
        <v>#N/A</v>
      </c>
    </row>
    <row r="841" spans="4:25" x14ac:dyDescent="0.25">
      <c r="D841" s="78">
        <v>138</v>
      </c>
      <c r="E841" s="78">
        <v>280037801</v>
      </c>
      <c r="F841" s="83" t="s">
        <v>45</v>
      </c>
      <c r="G841" s="1" t="s">
        <v>46</v>
      </c>
      <c r="H841" s="1" t="s">
        <v>16</v>
      </c>
      <c r="I841" s="1" t="s">
        <v>46</v>
      </c>
      <c r="J841" s="1">
        <v>25670000</v>
      </c>
      <c r="K841" s="1">
        <v>0</v>
      </c>
      <c r="L841" s="1">
        <v>0</v>
      </c>
      <c r="M841" s="1">
        <v>0</v>
      </c>
      <c r="N841" s="1" t="s">
        <v>44</v>
      </c>
      <c r="O841" s="1">
        <v>0</v>
      </c>
      <c r="P841" s="1">
        <v>1</v>
      </c>
      <c r="Q841" s="83">
        <v>65.089799999999997</v>
      </c>
      <c r="R841" s="83">
        <v>65.089799999999997</v>
      </c>
      <c r="S841" s="1">
        <v>65.089799999999997</v>
      </c>
      <c r="T841" s="83">
        <v>0</v>
      </c>
      <c r="U841" s="1" t="s">
        <v>122</v>
      </c>
      <c r="V841" s="1" t="s">
        <v>852</v>
      </c>
      <c r="W841" s="1">
        <v>3949.1976460300002</v>
      </c>
      <c r="X841" s="1"/>
      <c r="Y841" s="83" t="str">
        <f>VLOOKUP(LossTable[[#This Row],[Department]],$A$15:$B$40,2,FALSE)</f>
        <v>FP</v>
      </c>
    </row>
    <row r="842" spans="4:25" x14ac:dyDescent="0.25">
      <c r="D842" s="78">
        <v>326486</v>
      </c>
      <c r="E842" s="78">
        <v>280037801</v>
      </c>
      <c r="F842" s="83" t="s">
        <v>87</v>
      </c>
      <c r="G842" s="1" t="s">
        <v>239</v>
      </c>
      <c r="H842" s="1" t="s">
        <v>14</v>
      </c>
      <c r="I842" s="1" t="s">
        <v>240</v>
      </c>
      <c r="J842" s="1">
        <v>32450004.57</v>
      </c>
      <c r="K842" s="1">
        <v>32450004.57</v>
      </c>
      <c r="L842" s="1">
        <v>0</v>
      </c>
      <c r="M842" s="1">
        <v>0</v>
      </c>
      <c r="N842" s="1" t="s">
        <v>14</v>
      </c>
      <c r="O842" s="1">
        <v>6.1633269999999997E-2</v>
      </c>
      <c r="P842" s="1">
        <v>1</v>
      </c>
      <c r="Q842" s="83">
        <v>24686.51</v>
      </c>
      <c r="R842" s="83">
        <v>24686.51</v>
      </c>
      <c r="S842" s="1">
        <v>24686.51</v>
      </c>
      <c r="T842" s="83">
        <v>0</v>
      </c>
      <c r="U842" s="1" t="s">
        <v>122</v>
      </c>
      <c r="V842" s="1" t="s">
        <v>852</v>
      </c>
      <c r="W842" s="1">
        <v>3949.1976460300002</v>
      </c>
      <c r="X842" s="1"/>
      <c r="Y842" s="83" t="str">
        <f>VLOOKUP(LossTable[[#This Row],[Department]],$A$15:$B$40,2,FALSE)</f>
        <v>Insurance</v>
      </c>
    </row>
    <row r="843" spans="4:25" x14ac:dyDescent="0.25">
      <c r="D843" s="78">
        <v>424644</v>
      </c>
      <c r="E843" s="78">
        <v>280037801</v>
      </c>
      <c r="F843" s="83" t="s">
        <v>100</v>
      </c>
      <c r="G843" s="1" t="s">
        <v>230</v>
      </c>
      <c r="H843" s="1" t="s">
        <v>14</v>
      </c>
      <c r="I843" s="1" t="s">
        <v>231</v>
      </c>
      <c r="J843" s="1">
        <v>-11501738.939999999</v>
      </c>
      <c r="K843" s="1">
        <v>-11501738.939999999</v>
      </c>
      <c r="L843" s="1">
        <v>0</v>
      </c>
      <c r="M843" s="1">
        <v>0</v>
      </c>
      <c r="N843" s="1" t="s">
        <v>14</v>
      </c>
      <c r="O843" s="1">
        <v>0</v>
      </c>
      <c r="P843" s="1">
        <v>1</v>
      </c>
      <c r="Q843" s="83">
        <v>0</v>
      </c>
      <c r="R843" s="83">
        <v>0</v>
      </c>
      <c r="S843" s="1">
        <v>-5.07</v>
      </c>
      <c r="T843" s="83">
        <v>0</v>
      </c>
      <c r="U843" s="1" t="s">
        <v>122</v>
      </c>
      <c r="V843" s="1" t="s">
        <v>852</v>
      </c>
      <c r="W843" s="1">
        <v>3949.1976460300002</v>
      </c>
      <c r="X843" s="1"/>
      <c r="Y843" s="83" t="str">
        <f>VLOOKUP(LossTable[[#This Row],[Department]],$A$15:$B$40,2,FALSE)</f>
        <v>EI Recovery^</v>
      </c>
    </row>
    <row r="844" spans="4:25" x14ac:dyDescent="0.25">
      <c r="D844" s="78">
        <v>426751</v>
      </c>
      <c r="E844" s="78">
        <v>280037801</v>
      </c>
      <c r="F844" s="83" t="s">
        <v>94</v>
      </c>
      <c r="G844" s="1" t="s">
        <v>306</v>
      </c>
      <c r="H844" s="1" t="s">
        <v>16</v>
      </c>
      <c r="I844" s="1" t="s">
        <v>754</v>
      </c>
      <c r="J844" s="1">
        <v>2000000</v>
      </c>
      <c r="K844" s="1">
        <v>20000000</v>
      </c>
      <c r="L844" s="1">
        <v>0</v>
      </c>
      <c r="M844" s="1">
        <v>0</v>
      </c>
      <c r="N844" s="1" t="s">
        <v>477</v>
      </c>
      <c r="O844" s="1">
        <v>0.22499390999999999</v>
      </c>
      <c r="P844" s="1">
        <v>0.1</v>
      </c>
      <c r="Q844" s="83">
        <v>374.322</v>
      </c>
      <c r="R844" s="83">
        <v>374.322</v>
      </c>
      <c r="S844" s="1">
        <v>374.322</v>
      </c>
      <c r="T844" s="83">
        <v>0</v>
      </c>
      <c r="U844" s="1" t="s">
        <v>122</v>
      </c>
      <c r="V844" s="1" t="s">
        <v>852</v>
      </c>
      <c r="W844" s="1">
        <v>3949.1976460300002</v>
      </c>
      <c r="X844" s="1"/>
      <c r="Y844" s="83" t="str">
        <f>VLOOKUP(LossTable[[#This Row],[Department]],$A$15:$B$40,2,FALSE)</f>
        <v>TP</v>
      </c>
    </row>
    <row r="845" spans="4:25" x14ac:dyDescent="0.25">
      <c r="D845" s="78">
        <v>432368</v>
      </c>
      <c r="E845" s="78">
        <v>280037801</v>
      </c>
      <c r="F845" s="83" t="s">
        <v>12</v>
      </c>
      <c r="G845" s="1" t="s">
        <v>172</v>
      </c>
      <c r="H845" s="1" t="s">
        <v>14</v>
      </c>
      <c r="I845" s="1" t="s">
        <v>173</v>
      </c>
      <c r="J845" s="1">
        <v>7800000</v>
      </c>
      <c r="K845" s="1">
        <v>390000000</v>
      </c>
      <c r="L845" s="1">
        <v>0</v>
      </c>
      <c r="M845" s="1">
        <v>0</v>
      </c>
      <c r="N845" s="1" t="s">
        <v>122</v>
      </c>
      <c r="O845" s="1">
        <v>1.1220538499999999</v>
      </c>
      <c r="P845" s="1">
        <v>0.02</v>
      </c>
      <c r="Q845" s="83">
        <v>133526.50899999999</v>
      </c>
      <c r="R845" s="83">
        <v>133526.50899999999</v>
      </c>
      <c r="S845" s="1">
        <v>133526.50899999999</v>
      </c>
      <c r="T845" s="83">
        <v>0</v>
      </c>
      <c r="U845" s="1" t="s">
        <v>122</v>
      </c>
      <c r="V845" s="1" t="s">
        <v>852</v>
      </c>
      <c r="W845" s="1">
        <v>3949.1976460300002</v>
      </c>
      <c r="X845" s="1"/>
      <c r="Y845" s="83" t="str">
        <f>VLOOKUP(LossTable[[#This Row],[Department]],$A$15:$B$40,2,FALSE)</f>
        <v>Bermuda</v>
      </c>
    </row>
    <row r="846" spans="4:25" x14ac:dyDescent="0.25">
      <c r="D846" s="78">
        <v>433028</v>
      </c>
      <c r="E846" s="78">
        <v>280037801</v>
      </c>
      <c r="F846" s="83" t="s">
        <v>94</v>
      </c>
      <c r="G846" s="1" t="s">
        <v>367</v>
      </c>
      <c r="H846" s="1" t="s">
        <v>16</v>
      </c>
      <c r="I846" s="1" t="s">
        <v>377</v>
      </c>
      <c r="J846" s="1">
        <v>2000000</v>
      </c>
      <c r="K846" s="1">
        <v>20000000</v>
      </c>
      <c r="L846" s="1">
        <v>0</v>
      </c>
      <c r="M846" s="1">
        <v>0</v>
      </c>
      <c r="N846" s="1" t="s">
        <v>284</v>
      </c>
      <c r="O846" s="1">
        <v>0.13881784</v>
      </c>
      <c r="P846" s="1">
        <v>0.1</v>
      </c>
      <c r="Q846" s="83">
        <v>9126.0460000000003</v>
      </c>
      <c r="R846" s="83">
        <v>9126.0460000000003</v>
      </c>
      <c r="S846" s="1">
        <v>9126.0460000000003</v>
      </c>
      <c r="T846" s="83">
        <v>0</v>
      </c>
      <c r="U846" s="1" t="s">
        <v>122</v>
      </c>
      <c r="V846" s="1" t="s">
        <v>852</v>
      </c>
      <c r="W846" s="1">
        <v>3949.1976460300002</v>
      </c>
      <c r="X846" s="1"/>
      <c r="Y846" s="83" t="str">
        <f>VLOOKUP(LossTable[[#This Row],[Department]],$A$15:$B$40,2,FALSE)</f>
        <v>TP</v>
      </c>
    </row>
    <row r="847" spans="4:25" x14ac:dyDescent="0.25">
      <c r="D847" s="78">
        <v>434018</v>
      </c>
      <c r="E847" s="78">
        <v>280037801</v>
      </c>
      <c r="F847" s="83" t="s">
        <v>94</v>
      </c>
      <c r="G847" s="1" t="s">
        <v>301</v>
      </c>
      <c r="H847" s="1" t="s">
        <v>16</v>
      </c>
      <c r="I847" s="1" t="s">
        <v>302</v>
      </c>
      <c r="J847" s="1">
        <v>562500</v>
      </c>
      <c r="K847" s="1">
        <v>7500000</v>
      </c>
      <c r="L847" s="1">
        <v>0</v>
      </c>
      <c r="M847" s="1">
        <v>0</v>
      </c>
      <c r="N847" s="1" t="s">
        <v>303</v>
      </c>
      <c r="O847" s="1">
        <v>0.105</v>
      </c>
      <c r="P847" s="1">
        <v>7.4999999999999997E-2</v>
      </c>
      <c r="Q847" s="83">
        <v>17.357250000000001</v>
      </c>
      <c r="R847" s="83">
        <v>17.357250000000001</v>
      </c>
      <c r="S847" s="1">
        <v>17.357250000000001</v>
      </c>
      <c r="T847" s="83">
        <v>0</v>
      </c>
      <c r="U847" s="1" t="s">
        <v>122</v>
      </c>
      <c r="V847" s="1" t="s">
        <v>852</v>
      </c>
      <c r="W847" s="1">
        <v>3949.1976460300002</v>
      </c>
      <c r="X847" s="1"/>
      <c r="Y847" s="83" t="str">
        <f>VLOOKUP(LossTable[[#This Row],[Department]],$A$15:$B$40,2,FALSE)</f>
        <v>TP</v>
      </c>
    </row>
    <row r="848" spans="4:25" x14ac:dyDescent="0.25">
      <c r="D848" s="78">
        <v>441790</v>
      </c>
      <c r="E848" s="78">
        <v>280037801</v>
      </c>
      <c r="F848" s="83" t="s">
        <v>94</v>
      </c>
      <c r="G848" s="1" t="s">
        <v>380</v>
      </c>
      <c r="H848" s="1" t="s">
        <v>16</v>
      </c>
      <c r="I848" s="1" t="s">
        <v>387</v>
      </c>
      <c r="J848" s="1">
        <v>375000</v>
      </c>
      <c r="K848" s="1">
        <v>30000000</v>
      </c>
      <c r="L848" s="1">
        <v>0</v>
      </c>
      <c r="M848" s="1">
        <v>0</v>
      </c>
      <c r="N848" s="1" t="s">
        <v>122</v>
      </c>
      <c r="O848" s="1">
        <v>0.125</v>
      </c>
      <c r="P848" s="1">
        <v>1.2500000000000001E-2</v>
      </c>
      <c r="Q848" s="83">
        <v>68.217124999999996</v>
      </c>
      <c r="R848" s="83">
        <v>68.217124999999996</v>
      </c>
      <c r="S848" s="1">
        <v>68.217124999999996</v>
      </c>
      <c r="T848" s="83">
        <v>0</v>
      </c>
      <c r="U848" s="1" t="s">
        <v>122</v>
      </c>
      <c r="V848" s="1" t="s">
        <v>852</v>
      </c>
      <c r="W848" s="1">
        <v>3949.1976460300002</v>
      </c>
      <c r="X848" s="1"/>
      <c r="Y848" s="83" t="str">
        <f>VLOOKUP(LossTable[[#This Row],[Department]],$A$15:$B$40,2,FALSE)</f>
        <v>TP</v>
      </c>
    </row>
    <row r="849" spans="4:25" x14ac:dyDescent="0.25">
      <c r="D849" s="78">
        <v>442927</v>
      </c>
      <c r="E849" s="78">
        <v>280037801</v>
      </c>
      <c r="F849" s="83" t="s">
        <v>94</v>
      </c>
      <c r="G849" s="1" t="s">
        <v>419</v>
      </c>
      <c r="H849" s="1" t="s">
        <v>14</v>
      </c>
      <c r="I849" s="1" t="s">
        <v>420</v>
      </c>
      <c r="J849" s="1">
        <v>4000000</v>
      </c>
      <c r="K849" s="1">
        <v>40000000</v>
      </c>
      <c r="L849" s="1">
        <v>0</v>
      </c>
      <c r="M849" s="1">
        <v>0</v>
      </c>
      <c r="N849" s="1" t="s">
        <v>400</v>
      </c>
      <c r="O849" s="1">
        <v>3.10336597</v>
      </c>
      <c r="P849" s="1">
        <v>0.1</v>
      </c>
      <c r="Q849" s="83">
        <v>2499422.7629999998</v>
      </c>
      <c r="R849" s="83">
        <v>2499422.7629999998</v>
      </c>
      <c r="S849" s="1">
        <v>2499422.7629999998</v>
      </c>
      <c r="T849" s="83">
        <v>0</v>
      </c>
      <c r="U849" s="1" t="s">
        <v>122</v>
      </c>
      <c r="V849" s="1" t="s">
        <v>852</v>
      </c>
      <c r="W849" s="1">
        <v>3949.1976460300002</v>
      </c>
      <c r="X849" s="1"/>
      <c r="Y849" s="83" t="str">
        <f>VLOOKUP(LossTable[[#This Row],[Department]],$A$15:$B$40,2,FALSE)</f>
        <v>TP</v>
      </c>
    </row>
    <row r="850" spans="4:25" x14ac:dyDescent="0.25">
      <c r="D850" s="78">
        <v>443948</v>
      </c>
      <c r="E850" s="78">
        <v>280037801</v>
      </c>
      <c r="F850" s="83" t="s">
        <v>45</v>
      </c>
      <c r="G850" s="1" t="s">
        <v>361</v>
      </c>
      <c r="H850" s="1" t="s">
        <v>16</v>
      </c>
      <c r="I850" s="1" t="s">
        <v>443</v>
      </c>
      <c r="J850" s="1">
        <v>6000000</v>
      </c>
      <c r="K850" s="1">
        <v>30000000</v>
      </c>
      <c r="L850" s="1">
        <v>0</v>
      </c>
      <c r="M850" s="1">
        <v>0</v>
      </c>
      <c r="N850" s="1" t="s">
        <v>444</v>
      </c>
      <c r="O850" s="1">
        <v>2.1666669999999999E-2</v>
      </c>
      <c r="P850" s="1">
        <v>0.2</v>
      </c>
      <c r="Q850" s="83">
        <v>603.39400000000001</v>
      </c>
      <c r="R850" s="83">
        <v>603.39400000000001</v>
      </c>
      <c r="S850" s="1">
        <v>603.39400000000001</v>
      </c>
      <c r="T850" s="83">
        <v>0</v>
      </c>
      <c r="U850" s="1" t="s">
        <v>122</v>
      </c>
      <c r="V850" s="1" t="s">
        <v>852</v>
      </c>
      <c r="W850" s="1">
        <v>3949.1976460300002</v>
      </c>
      <c r="X850" s="1"/>
      <c r="Y850" s="83" t="str">
        <f>VLOOKUP(LossTable[[#This Row],[Department]],$A$15:$B$40,2,FALSE)</f>
        <v>FP</v>
      </c>
    </row>
    <row r="851" spans="4:25" x14ac:dyDescent="0.25">
      <c r="D851" s="78">
        <v>444836</v>
      </c>
      <c r="E851" s="78">
        <v>280037801</v>
      </c>
      <c r="F851" s="83" t="s">
        <v>92</v>
      </c>
      <c r="G851" s="1" t="s">
        <v>848</v>
      </c>
      <c r="H851" s="1" t="s">
        <v>14</v>
      </c>
      <c r="I851" s="1" t="s">
        <v>849</v>
      </c>
      <c r="J851" s="1">
        <v>13215622.007846801</v>
      </c>
      <c r="K851" s="1">
        <v>176208293.437958</v>
      </c>
      <c r="L851" s="1">
        <v>0</v>
      </c>
      <c r="M851" s="1">
        <v>0</v>
      </c>
      <c r="N851" s="1" t="s">
        <v>161</v>
      </c>
      <c r="O851" s="1">
        <v>3.378888E-2</v>
      </c>
      <c r="P851" s="1">
        <v>7.4999999999999997E-2</v>
      </c>
      <c r="Q851" s="83">
        <v>2.22374866</v>
      </c>
      <c r="R851" s="83">
        <v>2.22374866</v>
      </c>
      <c r="S851" s="1">
        <v>2.22374866</v>
      </c>
      <c r="T851" s="83">
        <v>0</v>
      </c>
      <c r="U851" s="1" t="s">
        <v>122</v>
      </c>
      <c r="V851" s="1" t="s">
        <v>852</v>
      </c>
      <c r="W851" s="1">
        <v>3949.1976460300002</v>
      </c>
      <c r="X851" s="1"/>
      <c r="Y851" s="83" t="str">
        <f>VLOOKUP(LossTable[[#This Row],[Department]],$A$15:$B$40,2,FALSE)</f>
        <v>FP</v>
      </c>
    </row>
    <row r="852" spans="4:25" x14ac:dyDescent="0.25">
      <c r="D852" s="78">
        <v>444855</v>
      </c>
      <c r="E852" s="78">
        <v>280037801</v>
      </c>
      <c r="F852" s="83" t="s">
        <v>45</v>
      </c>
      <c r="G852" s="1" t="s">
        <v>405</v>
      </c>
      <c r="H852" s="1" t="s">
        <v>16</v>
      </c>
      <c r="I852" s="1" t="s">
        <v>406</v>
      </c>
      <c r="J852" s="1">
        <v>2500000</v>
      </c>
      <c r="K852" s="1">
        <v>25000000</v>
      </c>
      <c r="L852" s="1">
        <v>0</v>
      </c>
      <c r="M852" s="1">
        <v>0</v>
      </c>
      <c r="N852" s="1" t="s">
        <v>407</v>
      </c>
      <c r="O852" s="1">
        <v>0.19889999999999999</v>
      </c>
      <c r="P852" s="1">
        <v>0.1</v>
      </c>
      <c r="Q852" s="83">
        <v>1224.674</v>
      </c>
      <c r="R852" s="83">
        <v>1224.674</v>
      </c>
      <c r="S852" s="1">
        <v>1224.674</v>
      </c>
      <c r="T852" s="83">
        <v>0</v>
      </c>
      <c r="U852" s="1" t="s">
        <v>122</v>
      </c>
      <c r="V852" s="1" t="s">
        <v>852</v>
      </c>
      <c r="W852" s="1">
        <v>3949.1976460300002</v>
      </c>
      <c r="X852" s="1"/>
      <c r="Y852" s="83" t="str">
        <f>VLOOKUP(LossTable[[#This Row],[Department]],$A$15:$B$40,2,FALSE)</f>
        <v>FP</v>
      </c>
    </row>
    <row r="853" spans="4:25" x14ac:dyDescent="0.25">
      <c r="D853" s="78">
        <v>445971</v>
      </c>
      <c r="E853" s="78">
        <v>280037801</v>
      </c>
      <c r="F853" s="83" t="s">
        <v>94</v>
      </c>
      <c r="G853" s="1" t="s">
        <v>470</v>
      </c>
      <c r="H853" s="1" t="s">
        <v>16</v>
      </c>
      <c r="I853" s="1" t="s">
        <v>484</v>
      </c>
      <c r="J853" s="1">
        <v>2500000</v>
      </c>
      <c r="K853" s="1">
        <v>50000000</v>
      </c>
      <c r="L853" s="1">
        <v>0</v>
      </c>
      <c r="M853" s="1">
        <v>0</v>
      </c>
      <c r="N853" s="1" t="s">
        <v>432</v>
      </c>
      <c r="O853" s="1">
        <v>3.9997829999999998E-2</v>
      </c>
      <c r="P853" s="1">
        <v>0.05</v>
      </c>
      <c r="Q853" s="83">
        <v>338.21050000000002</v>
      </c>
      <c r="R853" s="83">
        <v>338.21050000000002</v>
      </c>
      <c r="S853" s="1">
        <v>338.21050000000002</v>
      </c>
      <c r="T853" s="83">
        <v>0</v>
      </c>
      <c r="U853" s="1" t="s">
        <v>122</v>
      </c>
      <c r="V853" s="1" t="s">
        <v>852</v>
      </c>
      <c r="W853" s="1">
        <v>3949.1976460300002</v>
      </c>
      <c r="X853" s="1"/>
      <c r="Y853" s="83" t="str">
        <f>VLOOKUP(LossTable[[#This Row],[Department]],$A$15:$B$40,2,FALSE)</f>
        <v>TP</v>
      </c>
    </row>
    <row r="854" spans="4:25" x14ac:dyDescent="0.25">
      <c r="D854" s="78">
        <v>445990</v>
      </c>
      <c r="E854" s="78">
        <v>280037801</v>
      </c>
      <c r="F854" s="83" t="s">
        <v>94</v>
      </c>
      <c r="G854" s="1" t="s">
        <v>440</v>
      </c>
      <c r="H854" s="1" t="s">
        <v>16</v>
      </c>
      <c r="I854" s="1" t="s">
        <v>502</v>
      </c>
      <c r="J854" s="1">
        <v>20000000</v>
      </c>
      <c r="K854" s="1">
        <v>200000000</v>
      </c>
      <c r="L854" s="1">
        <v>0</v>
      </c>
      <c r="M854" s="1">
        <v>0</v>
      </c>
      <c r="N854" s="1" t="s">
        <v>365</v>
      </c>
      <c r="O854" s="1">
        <v>0.37</v>
      </c>
      <c r="P854" s="1">
        <v>0.1</v>
      </c>
      <c r="Q854" s="83">
        <v>8763.6290000000008</v>
      </c>
      <c r="R854" s="83">
        <v>8763.6290000000008</v>
      </c>
      <c r="S854" s="1">
        <v>8763.6290000000008</v>
      </c>
      <c r="T854" s="83">
        <v>0</v>
      </c>
      <c r="U854" s="1" t="s">
        <v>122</v>
      </c>
      <c r="V854" s="1" t="s">
        <v>852</v>
      </c>
      <c r="W854" s="1">
        <v>3949.1976460300002</v>
      </c>
      <c r="X854" s="1"/>
      <c r="Y854" s="83" t="str">
        <f>VLOOKUP(LossTable[[#This Row],[Department]],$A$15:$B$40,2,FALSE)</f>
        <v>TP</v>
      </c>
    </row>
    <row r="855" spans="4:25" x14ac:dyDescent="0.25">
      <c r="D855" s="78">
        <v>446802</v>
      </c>
      <c r="E855" s="78">
        <v>280037801</v>
      </c>
      <c r="F855" s="83" t="s">
        <v>94</v>
      </c>
      <c r="G855" s="1" t="s">
        <v>448</v>
      </c>
      <c r="H855" s="1" t="s">
        <v>16</v>
      </c>
      <c r="I855" s="1" t="s">
        <v>449</v>
      </c>
      <c r="J855" s="1">
        <v>1500000</v>
      </c>
      <c r="K855" s="1">
        <v>60000000</v>
      </c>
      <c r="L855" s="1">
        <v>0</v>
      </c>
      <c r="M855" s="1">
        <v>0</v>
      </c>
      <c r="N855" s="1" t="s">
        <v>450</v>
      </c>
      <c r="O855" s="1">
        <v>1.49995777</v>
      </c>
      <c r="P855" s="1">
        <v>2.5000000000000001E-2</v>
      </c>
      <c r="Q855" s="83">
        <v>14438.71725</v>
      </c>
      <c r="R855" s="83">
        <v>14438.71725</v>
      </c>
      <c r="S855" s="1">
        <v>14438.71725</v>
      </c>
      <c r="T855" s="83">
        <v>0</v>
      </c>
      <c r="U855" s="1" t="s">
        <v>122</v>
      </c>
      <c r="V855" s="1" t="s">
        <v>852</v>
      </c>
      <c r="W855" s="1">
        <v>3949.1976460300002</v>
      </c>
      <c r="X855" s="1"/>
      <c r="Y855" s="83" t="str">
        <f>VLOOKUP(LossTable[[#This Row],[Department]],$A$15:$B$40,2,FALSE)</f>
        <v>TP</v>
      </c>
    </row>
    <row r="856" spans="4:25" x14ac:dyDescent="0.25">
      <c r="D856" s="78">
        <v>447863</v>
      </c>
      <c r="E856" s="78">
        <v>280037801</v>
      </c>
      <c r="F856" s="83" t="s">
        <v>94</v>
      </c>
      <c r="G856" s="1" t="s">
        <v>489</v>
      </c>
      <c r="H856" s="1" t="s">
        <v>16</v>
      </c>
      <c r="I856" s="1" t="s">
        <v>490</v>
      </c>
      <c r="J856" s="1">
        <v>175000</v>
      </c>
      <c r="K856" s="1">
        <v>5000000</v>
      </c>
      <c r="L856" s="1">
        <v>0</v>
      </c>
      <c r="M856" s="1">
        <v>0</v>
      </c>
      <c r="N856" s="1" t="s">
        <v>475</v>
      </c>
      <c r="O856" s="1">
        <v>0.45</v>
      </c>
      <c r="P856" s="1">
        <v>3.5000000000000003E-2</v>
      </c>
      <c r="Q856" s="83">
        <v>56.303800000000003</v>
      </c>
      <c r="R856" s="83">
        <v>56.303800000000003</v>
      </c>
      <c r="S856" s="1">
        <v>56.303800000000003</v>
      </c>
      <c r="T856" s="83">
        <v>0</v>
      </c>
      <c r="U856" s="1" t="s">
        <v>122</v>
      </c>
      <c r="V856" s="1" t="s">
        <v>852</v>
      </c>
      <c r="W856" s="1">
        <v>3949.1976460300002</v>
      </c>
      <c r="X856" s="1"/>
      <c r="Y856" s="83" t="str">
        <f>VLOOKUP(LossTable[[#This Row],[Department]],$A$15:$B$40,2,FALSE)</f>
        <v>TP</v>
      </c>
    </row>
    <row r="857" spans="4:25" x14ac:dyDescent="0.25">
      <c r="D857" s="78">
        <v>448027</v>
      </c>
      <c r="E857" s="78">
        <v>280037801</v>
      </c>
      <c r="F857" s="83" t="s">
        <v>94</v>
      </c>
      <c r="G857" s="1" t="s">
        <v>395</v>
      </c>
      <c r="H857" s="1" t="s">
        <v>16</v>
      </c>
      <c r="I857" s="1" t="s">
        <v>517</v>
      </c>
      <c r="J857" s="1">
        <v>1452718.6726500001</v>
      </c>
      <c r="K857" s="1">
        <v>41506247.789999999</v>
      </c>
      <c r="L857" s="1">
        <v>0</v>
      </c>
      <c r="M857" s="1">
        <v>0</v>
      </c>
      <c r="N857" s="1" t="s">
        <v>518</v>
      </c>
      <c r="O857" s="1">
        <v>2.0799999900000001</v>
      </c>
      <c r="P857" s="1">
        <v>3.5000000000000003E-2</v>
      </c>
      <c r="Q857" s="83">
        <v>23334.372599999999</v>
      </c>
      <c r="R857" s="83">
        <v>23334.372599999999</v>
      </c>
      <c r="S857" s="1">
        <v>23334.372599999999</v>
      </c>
      <c r="T857" s="83">
        <v>0</v>
      </c>
      <c r="U857" s="1" t="s">
        <v>122</v>
      </c>
      <c r="V857" s="1" t="s">
        <v>852</v>
      </c>
      <c r="W857" s="1">
        <v>3949.1976460300002</v>
      </c>
      <c r="X857" s="1"/>
      <c r="Y857" s="83" t="str">
        <f>VLOOKUP(LossTable[[#This Row],[Department]],$A$15:$B$40,2,FALSE)</f>
        <v>TP</v>
      </c>
    </row>
    <row r="858" spans="4:25" x14ac:dyDescent="0.25">
      <c r="D858" s="78">
        <v>448034</v>
      </c>
      <c r="E858" s="78">
        <v>280037801</v>
      </c>
      <c r="F858" s="83" t="s">
        <v>12</v>
      </c>
      <c r="G858" s="1" t="s">
        <v>508</v>
      </c>
      <c r="H858" s="1" t="s">
        <v>16</v>
      </c>
      <c r="I858" s="1" t="s">
        <v>543</v>
      </c>
      <c r="J858" s="1">
        <v>5625000</v>
      </c>
      <c r="K858" s="1">
        <v>112500000</v>
      </c>
      <c r="L858" s="1">
        <v>0</v>
      </c>
      <c r="M858" s="1">
        <v>0</v>
      </c>
      <c r="N858" s="1" t="s">
        <v>544</v>
      </c>
      <c r="O858" s="1">
        <v>1.0266645999999999</v>
      </c>
      <c r="P858" s="1">
        <v>0.05</v>
      </c>
      <c r="Q858" s="83">
        <v>22518.0075</v>
      </c>
      <c r="R858" s="83">
        <v>22518.0075</v>
      </c>
      <c r="S858" s="1">
        <v>22518.0075</v>
      </c>
      <c r="T858" s="83">
        <v>0</v>
      </c>
      <c r="U858" s="1" t="s">
        <v>122</v>
      </c>
      <c r="V858" s="1" t="s">
        <v>852</v>
      </c>
      <c r="W858" s="1">
        <v>3949.1976460300002</v>
      </c>
      <c r="X858" s="1"/>
      <c r="Y858" s="83" t="str">
        <f>VLOOKUP(LossTable[[#This Row],[Department]],$A$15:$B$40,2,FALSE)</f>
        <v>Bermuda</v>
      </c>
    </row>
    <row r="859" spans="4:25" x14ac:dyDescent="0.25">
      <c r="D859" s="78">
        <v>462061</v>
      </c>
      <c r="E859" s="78">
        <v>280037801</v>
      </c>
      <c r="F859" s="83" t="s">
        <v>94</v>
      </c>
      <c r="G859" s="1" t="s">
        <v>841</v>
      </c>
      <c r="H859" s="1" t="s">
        <v>16</v>
      </c>
      <c r="I859" s="1" t="s">
        <v>842</v>
      </c>
      <c r="J859" s="1">
        <v>600000</v>
      </c>
      <c r="K859" s="1">
        <v>12000000</v>
      </c>
      <c r="L859" s="1">
        <v>0</v>
      </c>
      <c r="M859" s="1">
        <v>0</v>
      </c>
      <c r="N859" s="1" t="s">
        <v>122</v>
      </c>
      <c r="O859" s="1">
        <v>1.2999801</v>
      </c>
      <c r="P859" s="1">
        <v>0.05</v>
      </c>
      <c r="Q859" s="83">
        <v>3.9285000000000001</v>
      </c>
      <c r="R859" s="83">
        <v>3.9285000000000001</v>
      </c>
      <c r="S859" s="1">
        <v>3.9285000000000001</v>
      </c>
      <c r="T859" s="83">
        <v>0</v>
      </c>
      <c r="U859" s="1" t="s">
        <v>122</v>
      </c>
      <c r="V859" s="1" t="s">
        <v>852</v>
      </c>
      <c r="W859" s="1">
        <v>3949.1976460300002</v>
      </c>
      <c r="X859" s="1"/>
      <c r="Y859" s="83" t="str">
        <f>VLOOKUP(LossTable[[#This Row],[Department]],$A$15:$B$40,2,FALSE)</f>
        <v>TP</v>
      </c>
    </row>
    <row r="860" spans="4:25" x14ac:dyDescent="0.25">
      <c r="D860" s="78">
        <v>464186</v>
      </c>
      <c r="E860" s="78">
        <v>280037801</v>
      </c>
      <c r="F860" s="83" t="s">
        <v>45</v>
      </c>
      <c r="G860" s="1" t="s">
        <v>606</v>
      </c>
      <c r="H860" s="1" t="s">
        <v>16</v>
      </c>
      <c r="I860" s="1" t="s">
        <v>607</v>
      </c>
      <c r="J860" s="1">
        <v>4000000</v>
      </c>
      <c r="K860" s="1">
        <v>20000000</v>
      </c>
      <c r="L860" s="1">
        <v>0</v>
      </c>
      <c r="M860" s="1">
        <v>0</v>
      </c>
      <c r="N860" s="1" t="s">
        <v>608</v>
      </c>
      <c r="O860" s="1">
        <v>0.21</v>
      </c>
      <c r="P860" s="1">
        <v>0.2</v>
      </c>
      <c r="Q860" s="83">
        <v>24.4</v>
      </c>
      <c r="R860" s="83">
        <v>24.4</v>
      </c>
      <c r="S860" s="1">
        <v>24.4</v>
      </c>
      <c r="T860" s="83">
        <v>0</v>
      </c>
      <c r="U860" s="1" t="s">
        <v>122</v>
      </c>
      <c r="V860" s="1" t="s">
        <v>852</v>
      </c>
      <c r="W860" s="1">
        <v>3949.1976460300002</v>
      </c>
      <c r="X860" s="1"/>
      <c r="Y860" s="83" t="str">
        <f>VLOOKUP(LossTable[[#This Row],[Department]],$A$15:$B$40,2,FALSE)</f>
        <v>FP</v>
      </c>
    </row>
    <row r="861" spans="4:25" x14ac:dyDescent="0.25">
      <c r="D861" s="78">
        <v>468837</v>
      </c>
      <c r="E861" s="78">
        <v>280037801</v>
      </c>
      <c r="F861" s="83" t="s">
        <v>94</v>
      </c>
      <c r="G861" s="1" t="s">
        <v>582</v>
      </c>
      <c r="H861" s="1" t="s">
        <v>16</v>
      </c>
      <c r="I861" s="1" t="s">
        <v>583</v>
      </c>
      <c r="J861" s="1">
        <v>500000</v>
      </c>
      <c r="K861" s="1">
        <v>10000000</v>
      </c>
      <c r="L861" s="1">
        <v>0</v>
      </c>
      <c r="M861" s="1">
        <v>0</v>
      </c>
      <c r="N861" s="1" t="s">
        <v>122</v>
      </c>
      <c r="O861" s="1">
        <v>2.2774999999999999</v>
      </c>
      <c r="P861" s="1">
        <v>0.05</v>
      </c>
      <c r="Q861" s="83">
        <v>156.41900000000001</v>
      </c>
      <c r="R861" s="83">
        <v>156.41900000000001</v>
      </c>
      <c r="S861" s="1">
        <v>156.41900000000001</v>
      </c>
      <c r="T861" s="83">
        <v>0</v>
      </c>
      <c r="U861" s="1" t="s">
        <v>122</v>
      </c>
      <c r="V861" s="1" t="s">
        <v>852</v>
      </c>
      <c r="W861" s="1">
        <v>3949.1976460300002</v>
      </c>
      <c r="X861" s="1"/>
      <c r="Y861" s="83" t="str">
        <f>VLOOKUP(LossTable[[#This Row],[Department]],$A$15:$B$40,2,FALSE)</f>
        <v>TP</v>
      </c>
    </row>
    <row r="862" spans="4:25" x14ac:dyDescent="0.25">
      <c r="D862" s="78">
        <v>474073</v>
      </c>
      <c r="E862" s="78">
        <v>280037801</v>
      </c>
      <c r="F862" s="83" t="s">
        <v>94</v>
      </c>
      <c r="G862" s="1" t="s">
        <v>648</v>
      </c>
      <c r="H862" s="1" t="s">
        <v>16</v>
      </c>
      <c r="I862" s="1" t="s">
        <v>649</v>
      </c>
      <c r="J862" s="1">
        <v>300000</v>
      </c>
      <c r="K862" s="1">
        <v>10000000</v>
      </c>
      <c r="L862" s="1">
        <v>0</v>
      </c>
      <c r="M862" s="1">
        <v>0</v>
      </c>
      <c r="N862" s="1" t="s">
        <v>122</v>
      </c>
      <c r="O862" s="1">
        <v>0.98</v>
      </c>
      <c r="P862" s="1">
        <v>0.03</v>
      </c>
      <c r="Q862" s="83">
        <v>229.61009999999999</v>
      </c>
      <c r="R862" s="83">
        <v>229.61009999999999</v>
      </c>
      <c r="S862" s="1">
        <v>229.61009999999999</v>
      </c>
      <c r="T862" s="83">
        <v>0</v>
      </c>
      <c r="U862" s="1" t="s">
        <v>122</v>
      </c>
      <c r="V862" s="1" t="s">
        <v>852</v>
      </c>
      <c r="W862" s="1">
        <v>3949.1976460300002</v>
      </c>
      <c r="X862" s="1"/>
      <c r="Y862" s="83" t="str">
        <f>VLOOKUP(LossTable[[#This Row],[Department]],$A$15:$B$40,2,FALSE)</f>
        <v>TP</v>
      </c>
    </row>
    <row r="863" spans="4:25" x14ac:dyDescent="0.25">
      <c r="D863" s="78">
        <v>474078</v>
      </c>
      <c r="E863" s="78">
        <v>280037801</v>
      </c>
      <c r="F863" s="83" t="s">
        <v>94</v>
      </c>
      <c r="G863" s="1" t="s">
        <v>604</v>
      </c>
      <c r="H863" s="1" t="s">
        <v>16</v>
      </c>
      <c r="I863" s="1" t="s">
        <v>605</v>
      </c>
      <c r="J863" s="1">
        <v>87500</v>
      </c>
      <c r="K863" s="1">
        <v>5000000</v>
      </c>
      <c r="L863" s="1">
        <v>0</v>
      </c>
      <c r="M863" s="1">
        <v>0</v>
      </c>
      <c r="N863" s="1" t="s">
        <v>122</v>
      </c>
      <c r="O863" s="1">
        <v>0.28499999999999998</v>
      </c>
      <c r="P863" s="1">
        <v>1.7500000000000002E-2</v>
      </c>
      <c r="Q863" s="83">
        <v>1.9512499999999999</v>
      </c>
      <c r="R863" s="83">
        <v>1.9512499999999999</v>
      </c>
      <c r="S863" s="1">
        <v>1.9512499999999999</v>
      </c>
      <c r="T863" s="83">
        <v>0</v>
      </c>
      <c r="U863" s="1" t="s">
        <v>122</v>
      </c>
      <c r="V863" s="1" t="s">
        <v>852</v>
      </c>
      <c r="W863" s="1">
        <v>3949.1976460300002</v>
      </c>
      <c r="X863" s="1"/>
      <c r="Y863" s="83" t="str">
        <f>VLOOKUP(LossTable[[#This Row],[Department]],$A$15:$B$40,2,FALSE)</f>
        <v>TP</v>
      </c>
    </row>
    <row r="864" spans="4:25" x14ac:dyDescent="0.25">
      <c r="D864" s="78">
        <v>475196</v>
      </c>
      <c r="E864" s="78">
        <v>280037801</v>
      </c>
      <c r="F864" s="83" t="s">
        <v>21</v>
      </c>
      <c r="G864" s="1" t="s">
        <v>614</v>
      </c>
      <c r="H864" s="1" t="s">
        <v>14</v>
      </c>
      <c r="I864" s="1" t="s">
        <v>615</v>
      </c>
      <c r="J864" s="1">
        <v>25000000</v>
      </c>
      <c r="K864" s="1">
        <v>400000000</v>
      </c>
      <c r="L864" s="1">
        <v>0</v>
      </c>
      <c r="M864" s="1">
        <v>0</v>
      </c>
      <c r="N864" s="1" t="s">
        <v>157</v>
      </c>
      <c r="O864" s="1">
        <v>1.54125</v>
      </c>
      <c r="P864" s="1">
        <v>6.25E-2</v>
      </c>
      <c r="Q864" s="83">
        <v>19733.985625000001</v>
      </c>
      <c r="R864" s="83">
        <v>19733.985625000001</v>
      </c>
      <c r="S864" s="1">
        <v>19733.985625000001</v>
      </c>
      <c r="T864" s="83">
        <v>0</v>
      </c>
      <c r="U864" s="1" t="s">
        <v>122</v>
      </c>
      <c r="V864" s="1" t="s">
        <v>852</v>
      </c>
      <c r="W864" s="1">
        <v>3949.1976460300002</v>
      </c>
      <c r="X864" s="1"/>
      <c r="Y864" s="83" t="str">
        <f>VLOOKUP(LossTable[[#This Row],[Department]],$A$15:$B$40,2,FALSE)</f>
        <v>London</v>
      </c>
    </row>
    <row r="865" spans="4:25" x14ac:dyDescent="0.25">
      <c r="D865" s="78">
        <v>479985</v>
      </c>
      <c r="E865" s="78">
        <v>280037801</v>
      </c>
      <c r="F865" s="83" t="s">
        <v>94</v>
      </c>
      <c r="G865" s="1" t="s">
        <v>661</v>
      </c>
      <c r="H865" s="1" t="s">
        <v>16</v>
      </c>
      <c r="I865" s="1" t="s">
        <v>662</v>
      </c>
      <c r="J865" s="1">
        <v>1200000</v>
      </c>
      <c r="K865" s="1">
        <v>12000000</v>
      </c>
      <c r="L865" s="1">
        <v>0</v>
      </c>
      <c r="M865" s="1">
        <v>0</v>
      </c>
      <c r="N865" s="1" t="s">
        <v>493</v>
      </c>
      <c r="O865" s="1">
        <v>0.45</v>
      </c>
      <c r="P865" s="1">
        <v>0.1</v>
      </c>
      <c r="Q865" s="83">
        <v>693.85199999999998</v>
      </c>
      <c r="R865" s="83">
        <v>693.85199999999998</v>
      </c>
      <c r="S865" s="1">
        <v>693.85199999999998</v>
      </c>
      <c r="T865" s="83">
        <v>0</v>
      </c>
      <c r="U865" s="1" t="s">
        <v>122</v>
      </c>
      <c r="V865" s="1" t="s">
        <v>852</v>
      </c>
      <c r="W865" s="1">
        <v>3949.1976460300002</v>
      </c>
      <c r="X865" s="1"/>
      <c r="Y865" s="83" t="str">
        <f>VLOOKUP(LossTable[[#This Row],[Department]],$A$15:$B$40,2,FALSE)</f>
        <v>TP</v>
      </c>
    </row>
    <row r="866" spans="4:25" x14ac:dyDescent="0.25">
      <c r="D866" s="78">
        <v>480232</v>
      </c>
      <c r="E866" s="78">
        <v>280037801</v>
      </c>
      <c r="F866" s="83" t="s">
        <v>94</v>
      </c>
      <c r="G866" s="1" t="s">
        <v>783</v>
      </c>
      <c r="H866" s="1" t="s">
        <v>16</v>
      </c>
      <c r="I866" s="1" t="s">
        <v>784</v>
      </c>
      <c r="J866" s="1">
        <v>473527.0416</v>
      </c>
      <c r="K866" s="1">
        <v>5919088.0199999996</v>
      </c>
      <c r="L866" s="1">
        <v>0</v>
      </c>
      <c r="M866" s="1">
        <v>0</v>
      </c>
      <c r="N866" s="1" t="s">
        <v>122</v>
      </c>
      <c r="O866" s="1">
        <v>0.2475</v>
      </c>
      <c r="P866" s="1">
        <v>0.08</v>
      </c>
      <c r="Q866" s="83">
        <v>182.36959999999999</v>
      </c>
      <c r="R866" s="83">
        <v>182.36959999999999</v>
      </c>
      <c r="S866" s="1">
        <v>182.36959999999999</v>
      </c>
      <c r="T866" s="83">
        <v>0</v>
      </c>
      <c r="U866" s="1" t="s">
        <v>122</v>
      </c>
      <c r="V866" s="1" t="s">
        <v>852</v>
      </c>
      <c r="W866" s="1">
        <v>3949.1976460300002</v>
      </c>
      <c r="X866" s="1"/>
      <c r="Y866" s="83" t="str">
        <f>VLOOKUP(LossTable[[#This Row],[Department]],$A$15:$B$40,2,FALSE)</f>
        <v>TP</v>
      </c>
    </row>
    <row r="867" spans="4:25" x14ac:dyDescent="0.25">
      <c r="D867" s="78">
        <v>480246</v>
      </c>
      <c r="E867" s="78">
        <v>280037801</v>
      </c>
      <c r="F867" s="83" t="s">
        <v>94</v>
      </c>
      <c r="G867" s="1" t="s">
        <v>704</v>
      </c>
      <c r="H867" s="1" t="s">
        <v>14</v>
      </c>
      <c r="I867" s="1" t="s">
        <v>705</v>
      </c>
      <c r="J867" s="1">
        <v>40000000</v>
      </c>
      <c r="K867" s="1">
        <v>800000000</v>
      </c>
      <c r="L867" s="1">
        <v>0</v>
      </c>
      <c r="M867" s="1">
        <v>0</v>
      </c>
      <c r="N867" s="1" t="s">
        <v>159</v>
      </c>
      <c r="O867" s="1">
        <v>1.67317144</v>
      </c>
      <c r="P867" s="1">
        <v>0.05</v>
      </c>
      <c r="Q867" s="83">
        <v>312787.86849999998</v>
      </c>
      <c r="R867" s="83">
        <v>312787.86849999998</v>
      </c>
      <c r="S867" s="1">
        <v>312787.86849999998</v>
      </c>
      <c r="T867" s="83">
        <v>0</v>
      </c>
      <c r="U867" s="1" t="s">
        <v>122</v>
      </c>
      <c r="V867" s="1" t="s">
        <v>852</v>
      </c>
      <c r="W867" s="1">
        <v>3949.1976460300002</v>
      </c>
      <c r="X867" s="1"/>
      <c r="Y867" s="83" t="str">
        <f>VLOOKUP(LossTable[[#This Row],[Department]],$A$15:$B$40,2,FALSE)</f>
        <v>TP</v>
      </c>
    </row>
    <row r="868" spans="4:25" x14ac:dyDescent="0.25">
      <c r="D868" s="78">
        <v>484258</v>
      </c>
      <c r="E868" s="78">
        <v>280037801</v>
      </c>
      <c r="F868" s="83" t="s">
        <v>94</v>
      </c>
      <c r="G868" s="1" t="s">
        <v>686</v>
      </c>
      <c r="H868" s="1" t="s">
        <v>16</v>
      </c>
      <c r="I868" s="1" t="s">
        <v>728</v>
      </c>
      <c r="J868" s="1">
        <v>3375000</v>
      </c>
      <c r="K868" s="1">
        <v>45000000</v>
      </c>
      <c r="L868" s="1">
        <v>0</v>
      </c>
      <c r="M868" s="1">
        <v>0</v>
      </c>
      <c r="N868" s="1" t="s">
        <v>122</v>
      </c>
      <c r="O868" s="1">
        <v>2.4</v>
      </c>
      <c r="P868" s="1">
        <v>7.4999999999999997E-2</v>
      </c>
      <c r="Q868" s="83">
        <v>10384.057500000001</v>
      </c>
      <c r="R868" s="83">
        <v>10384.057500000001</v>
      </c>
      <c r="S868" s="1">
        <v>10384.057500000001</v>
      </c>
      <c r="T868" s="83">
        <v>0</v>
      </c>
      <c r="U868" s="1" t="s">
        <v>122</v>
      </c>
      <c r="V868" s="1" t="s">
        <v>852</v>
      </c>
      <c r="W868" s="1">
        <v>3949.1976460300002</v>
      </c>
      <c r="X868" s="1"/>
      <c r="Y868" s="83" t="str">
        <f>VLOOKUP(LossTable[[#This Row],[Department]],$A$15:$B$40,2,FALSE)</f>
        <v>TP</v>
      </c>
    </row>
    <row r="869" spans="4:25" x14ac:dyDescent="0.25">
      <c r="D869" s="78">
        <v>484925</v>
      </c>
      <c r="E869" s="78">
        <v>280037801</v>
      </c>
      <c r="F869" s="83" t="s">
        <v>21</v>
      </c>
      <c r="G869" s="1" t="s">
        <v>749</v>
      </c>
      <c r="H869" s="1" t="s">
        <v>14</v>
      </c>
      <c r="I869" s="1" t="s">
        <v>750</v>
      </c>
      <c r="J869" s="1">
        <v>15495000</v>
      </c>
      <c r="K869" s="1">
        <v>516500000</v>
      </c>
      <c r="L869" s="1">
        <v>0</v>
      </c>
      <c r="M869" s="1">
        <v>0</v>
      </c>
      <c r="N869" s="1" t="s">
        <v>751</v>
      </c>
      <c r="O869" s="1">
        <v>1.2598685199999999</v>
      </c>
      <c r="P869" s="1">
        <v>0.03</v>
      </c>
      <c r="Q869" s="83">
        <v>7836.6068999999998</v>
      </c>
      <c r="R869" s="83">
        <v>7836.6068999999998</v>
      </c>
      <c r="S869" s="1">
        <v>7836.6068999999998</v>
      </c>
      <c r="T869" s="83">
        <v>0</v>
      </c>
      <c r="U869" s="1" t="s">
        <v>122</v>
      </c>
      <c r="V869" s="1" t="s">
        <v>852</v>
      </c>
      <c r="W869" s="1">
        <v>3949.1976460300002</v>
      </c>
      <c r="X869" s="1"/>
      <c r="Y869" s="83" t="str">
        <f>VLOOKUP(LossTable[[#This Row],[Department]],$A$15:$B$40,2,FALSE)</f>
        <v>London</v>
      </c>
    </row>
    <row r="870" spans="4:25" x14ac:dyDescent="0.25">
      <c r="D870" s="78">
        <v>485540</v>
      </c>
      <c r="E870" s="78">
        <v>280037801</v>
      </c>
      <c r="F870" s="83" t="s">
        <v>94</v>
      </c>
      <c r="G870" s="1" t="s">
        <v>720</v>
      </c>
      <c r="H870" s="1" t="s">
        <v>16</v>
      </c>
      <c r="I870" s="1" t="s">
        <v>721</v>
      </c>
      <c r="J870" s="1">
        <v>3000000</v>
      </c>
      <c r="K870" s="1">
        <v>30000000</v>
      </c>
      <c r="L870" s="1">
        <v>0</v>
      </c>
      <c r="M870" s="1">
        <v>0</v>
      </c>
      <c r="N870" s="1" t="s">
        <v>122</v>
      </c>
      <c r="O870" s="1">
        <v>1.3998577299999999</v>
      </c>
      <c r="P870" s="1">
        <v>0.1</v>
      </c>
      <c r="Q870" s="83">
        <v>47.134999999999998</v>
      </c>
      <c r="R870" s="83">
        <v>47.134999999999998</v>
      </c>
      <c r="S870" s="1">
        <v>47.134999999999998</v>
      </c>
      <c r="T870" s="83">
        <v>0</v>
      </c>
      <c r="U870" s="1" t="s">
        <v>122</v>
      </c>
      <c r="V870" s="1" t="s">
        <v>852</v>
      </c>
      <c r="W870" s="1">
        <v>3949.1976460300002</v>
      </c>
      <c r="X870" s="1"/>
      <c r="Y870" s="83" t="str">
        <f>VLOOKUP(LossTable[[#This Row],[Department]],$A$15:$B$40,2,FALSE)</f>
        <v>TP</v>
      </c>
    </row>
    <row r="871" spans="4:25" x14ac:dyDescent="0.25">
      <c r="D871" s="78">
        <v>105</v>
      </c>
      <c r="E871" s="78">
        <v>280014790</v>
      </c>
      <c r="F871" s="83" t="s">
        <v>86</v>
      </c>
      <c r="G871" s="1" t="s">
        <v>217</v>
      </c>
      <c r="H871" s="1" t="s">
        <v>16</v>
      </c>
      <c r="I871" s="1" t="s">
        <v>217</v>
      </c>
      <c r="J871" s="1">
        <v>212006444.00703099</v>
      </c>
      <c r="K871" s="1">
        <v>0</v>
      </c>
      <c r="L871" s="1">
        <v>0</v>
      </c>
      <c r="M871" s="1">
        <v>0</v>
      </c>
      <c r="N871" s="1" t="s">
        <v>44</v>
      </c>
      <c r="O871" s="1">
        <v>0</v>
      </c>
      <c r="P871" s="1">
        <v>1</v>
      </c>
      <c r="Q871" s="83">
        <v>1286.604206</v>
      </c>
      <c r="R871" s="83">
        <v>1286.604206</v>
      </c>
      <c r="S871" s="1">
        <v>1286.604206</v>
      </c>
      <c r="T871" s="83">
        <v>0</v>
      </c>
      <c r="U871" s="1" t="s">
        <v>122</v>
      </c>
      <c r="V871" s="1" t="s">
        <v>836</v>
      </c>
      <c r="W871" s="1">
        <v>4781.60363426</v>
      </c>
      <c r="X871" s="1"/>
      <c r="Y871" s="83" t="str">
        <f>VLOOKUP(LossTable[[#This Row],[Department]],$A$15:$B$40,2,FALSE)</f>
        <v>FP</v>
      </c>
    </row>
    <row r="872" spans="4:25" x14ac:dyDescent="0.25">
      <c r="D872" s="78">
        <v>117</v>
      </c>
      <c r="E872" s="78">
        <v>280014790</v>
      </c>
      <c r="F872" s="83" t="s">
        <v>42</v>
      </c>
      <c r="G872" s="1" t="s">
        <v>43</v>
      </c>
      <c r="H872" s="1" t="s">
        <v>16</v>
      </c>
      <c r="I872" s="1" t="s">
        <v>43</v>
      </c>
      <c r="J872" s="1">
        <v>166785782.88660601</v>
      </c>
      <c r="K872" s="1">
        <v>0</v>
      </c>
      <c r="L872" s="1">
        <v>0</v>
      </c>
      <c r="M872" s="1">
        <v>0</v>
      </c>
      <c r="N872" s="1" t="s">
        <v>44</v>
      </c>
      <c r="O872" s="1">
        <v>0</v>
      </c>
      <c r="P872" s="1">
        <v>1</v>
      </c>
      <c r="Q872" s="83">
        <v>922.94812000000002</v>
      </c>
      <c r="R872" s="83">
        <v>922.94812000000002</v>
      </c>
      <c r="S872" s="1">
        <v>922.94812000000002</v>
      </c>
      <c r="T872" s="83">
        <v>0</v>
      </c>
      <c r="U872" s="1" t="s">
        <v>122</v>
      </c>
      <c r="V872" s="1" t="s">
        <v>836</v>
      </c>
      <c r="W872" s="1">
        <v>4781.60363426</v>
      </c>
      <c r="X872" s="1"/>
      <c r="Y872" s="83" t="str">
        <f>VLOOKUP(LossTable[[#This Row],[Department]],$A$15:$B$40,2,FALSE)</f>
        <v>FP</v>
      </c>
    </row>
    <row r="873" spans="4:25" x14ac:dyDescent="0.25">
      <c r="D873" s="78">
        <v>124</v>
      </c>
      <c r="E873" s="78">
        <v>280014790</v>
      </c>
      <c r="F873" s="83" t="s">
        <v>92</v>
      </c>
      <c r="G873" s="1" t="s">
        <v>220</v>
      </c>
      <c r="H873" s="1" t="s">
        <v>16</v>
      </c>
      <c r="I873" s="1" t="s">
        <v>220</v>
      </c>
      <c r="J873" s="1">
        <v>83656552.490421593</v>
      </c>
      <c r="K873" s="1">
        <v>0</v>
      </c>
      <c r="L873" s="1">
        <v>0</v>
      </c>
      <c r="M873" s="1">
        <v>0</v>
      </c>
      <c r="N873" s="1" t="s">
        <v>44</v>
      </c>
      <c r="O873" s="1">
        <v>0</v>
      </c>
      <c r="P873" s="1">
        <v>1</v>
      </c>
      <c r="Q873" s="83">
        <v>2140.736891</v>
      </c>
      <c r="R873" s="83">
        <v>2140.736891</v>
      </c>
      <c r="S873" s="1">
        <v>2140.736891</v>
      </c>
      <c r="T873" s="83">
        <v>0</v>
      </c>
      <c r="U873" s="1" t="s">
        <v>122</v>
      </c>
      <c r="V873" s="1" t="s">
        <v>836</v>
      </c>
      <c r="W873" s="1">
        <v>4781.60363426</v>
      </c>
      <c r="X873" s="1"/>
      <c r="Y873" s="83" t="str">
        <f>VLOOKUP(LossTable[[#This Row],[Department]],$A$15:$B$40,2,FALSE)</f>
        <v>FP</v>
      </c>
    </row>
    <row r="874" spans="4:25" x14ac:dyDescent="0.25">
      <c r="D874" s="78">
        <v>143</v>
      </c>
      <c r="E874" s="78">
        <v>280014790</v>
      </c>
      <c r="F874" s="83" t="s">
        <v>45</v>
      </c>
      <c r="G874" s="1" t="s">
        <v>46</v>
      </c>
      <c r="H874" s="1" t="s">
        <v>16</v>
      </c>
      <c r="I874" s="1" t="s">
        <v>46</v>
      </c>
      <c r="J874" s="1">
        <v>89508914</v>
      </c>
      <c r="K874" s="1">
        <v>0</v>
      </c>
      <c r="L874" s="1">
        <v>0</v>
      </c>
      <c r="M874" s="1">
        <v>0</v>
      </c>
      <c r="N874" s="1" t="s">
        <v>44</v>
      </c>
      <c r="O874" s="1">
        <v>0</v>
      </c>
      <c r="P874" s="1">
        <v>1</v>
      </c>
      <c r="Q874" s="83">
        <v>1331.0809879999999</v>
      </c>
      <c r="R874" s="83">
        <v>1331.0809879999999</v>
      </c>
      <c r="S874" s="1">
        <v>1331.0809879999999</v>
      </c>
      <c r="T874" s="83">
        <v>0</v>
      </c>
      <c r="U874" s="1" t="s">
        <v>122</v>
      </c>
      <c r="V874" s="1" t="s">
        <v>836</v>
      </c>
      <c r="W874" s="1">
        <v>4781.60363426</v>
      </c>
      <c r="X874" s="1"/>
      <c r="Y874" s="83" t="str">
        <f>VLOOKUP(LossTable[[#This Row],[Department]],$A$15:$B$40,2,FALSE)</f>
        <v>FP</v>
      </c>
    </row>
    <row r="875" spans="4:25" x14ac:dyDescent="0.25">
      <c r="D875" s="78">
        <v>40373</v>
      </c>
      <c r="E875" s="78">
        <v>280014790</v>
      </c>
      <c r="F875" s="83" t="s">
        <v>133</v>
      </c>
      <c r="G875" s="1" t="s">
        <v>134</v>
      </c>
      <c r="H875" s="1" t="s">
        <v>14</v>
      </c>
      <c r="I875" s="1" t="s">
        <v>135</v>
      </c>
      <c r="J875" s="1">
        <v>1133398288.04</v>
      </c>
      <c r="K875" s="1">
        <v>1133398288.04</v>
      </c>
      <c r="L875" s="1">
        <v>0</v>
      </c>
      <c r="M875" s="1">
        <v>0</v>
      </c>
      <c r="N875" s="1" t="s">
        <v>14</v>
      </c>
      <c r="O875" s="1">
        <v>4.3817799999999997E-2</v>
      </c>
      <c r="P875" s="1">
        <v>1</v>
      </c>
      <c r="Q875" s="83">
        <v>6418.36</v>
      </c>
      <c r="R875" s="83">
        <v>6418.36</v>
      </c>
      <c r="S875" s="1">
        <v>6418.36</v>
      </c>
      <c r="T875" s="83">
        <v>0</v>
      </c>
      <c r="U875" s="1" t="s">
        <v>122</v>
      </c>
      <c r="V875" s="1" t="s">
        <v>836</v>
      </c>
      <c r="W875" s="1">
        <v>4781.60363426</v>
      </c>
      <c r="X875" s="1"/>
      <c r="Y875" s="83" t="str">
        <f>VLOOKUP(LossTable[[#This Row],[Department]],$A$15:$B$40,2,FALSE)</f>
        <v>Insurance</v>
      </c>
    </row>
    <row r="876" spans="4:25" x14ac:dyDescent="0.25">
      <c r="D876" s="78">
        <v>197195</v>
      </c>
      <c r="E876" s="78">
        <v>280014790</v>
      </c>
      <c r="F876" s="83" t="s">
        <v>87</v>
      </c>
      <c r="G876" s="1" t="s">
        <v>232</v>
      </c>
      <c r="H876" s="1" t="s">
        <v>14</v>
      </c>
      <c r="I876" s="1" t="s">
        <v>233</v>
      </c>
      <c r="J876" s="1">
        <v>188117955.44999999</v>
      </c>
      <c r="K876" s="1">
        <v>188117955.44999999</v>
      </c>
      <c r="L876" s="1">
        <v>0</v>
      </c>
      <c r="M876" s="1">
        <v>0</v>
      </c>
      <c r="N876" s="1" t="s">
        <v>14</v>
      </c>
      <c r="O876" s="1">
        <v>0.45928629999999998</v>
      </c>
      <c r="P876" s="1">
        <v>1</v>
      </c>
      <c r="Q876" s="83">
        <v>372207.34</v>
      </c>
      <c r="R876" s="83">
        <v>372207.34</v>
      </c>
      <c r="S876" s="1">
        <v>372207.34</v>
      </c>
      <c r="T876" s="83">
        <v>0</v>
      </c>
      <c r="U876" s="1" t="s">
        <v>122</v>
      </c>
      <c r="V876" s="1" t="s">
        <v>836</v>
      </c>
      <c r="W876" s="1">
        <v>4781.60363426</v>
      </c>
      <c r="X876" s="1"/>
      <c r="Y876" s="83" t="str">
        <f>VLOOKUP(LossTable[[#This Row],[Department]],$A$15:$B$40,2,FALSE)</f>
        <v>Insurance</v>
      </c>
    </row>
    <row r="877" spans="4:25" x14ac:dyDescent="0.25">
      <c r="D877" s="78">
        <v>348580</v>
      </c>
      <c r="E877" s="78">
        <v>280014790</v>
      </c>
      <c r="F877" s="83" t="s">
        <v>130</v>
      </c>
      <c r="G877" s="1" t="s">
        <v>131</v>
      </c>
      <c r="H877" s="1" t="s">
        <v>14</v>
      </c>
      <c r="I877" s="1" t="s">
        <v>132</v>
      </c>
      <c r="J877" s="1">
        <v>94035376.159999996</v>
      </c>
      <c r="K877" s="1">
        <v>94035376.159999996</v>
      </c>
      <c r="L877" s="1">
        <v>0</v>
      </c>
      <c r="M877" s="1">
        <v>0</v>
      </c>
      <c r="N877" s="1" t="s">
        <v>14</v>
      </c>
      <c r="O877" s="1">
        <v>2.1268599999999999E-3</v>
      </c>
      <c r="P877" s="1">
        <v>1</v>
      </c>
      <c r="Q877" s="83">
        <v>15069.68</v>
      </c>
      <c r="R877" s="83">
        <v>15069.68</v>
      </c>
      <c r="S877" s="1">
        <v>15069.68</v>
      </c>
      <c r="T877" s="83">
        <v>0</v>
      </c>
      <c r="U877" s="1" t="s">
        <v>122</v>
      </c>
      <c r="V877" s="1" t="s">
        <v>836</v>
      </c>
      <c r="W877" s="1">
        <v>4781.60363426</v>
      </c>
      <c r="X877" s="1"/>
      <c r="Y877" s="83" t="str">
        <f>VLOOKUP(LossTable[[#This Row],[Department]],$A$15:$B$40,2,FALSE)</f>
        <v>Insurance</v>
      </c>
    </row>
    <row r="878" spans="4:25" x14ac:dyDescent="0.25">
      <c r="D878" s="78">
        <v>358575</v>
      </c>
      <c r="E878" s="78">
        <v>280014790</v>
      </c>
      <c r="F878" s="83" t="s">
        <v>130</v>
      </c>
      <c r="G878" s="1" t="s">
        <v>143</v>
      </c>
      <c r="H878" s="1" t="s">
        <v>14</v>
      </c>
      <c r="I878" s="1" t="s">
        <v>144</v>
      </c>
      <c r="J878" s="1">
        <v>95285572.239999995</v>
      </c>
      <c r="K878" s="1">
        <v>95285572.239999995</v>
      </c>
      <c r="L878" s="1">
        <v>0</v>
      </c>
      <c r="M878" s="1">
        <v>0</v>
      </c>
      <c r="N878" s="1" t="s">
        <v>14</v>
      </c>
      <c r="O878" s="1">
        <v>4.19791E-3</v>
      </c>
      <c r="P878" s="1">
        <v>1</v>
      </c>
      <c r="Q878" s="83">
        <v>84073.86</v>
      </c>
      <c r="R878" s="83">
        <v>84073.86</v>
      </c>
      <c r="S878" s="1">
        <v>84073.86</v>
      </c>
      <c r="T878" s="83">
        <v>0</v>
      </c>
      <c r="U878" s="1" t="s">
        <v>122</v>
      </c>
      <c r="V878" s="1" t="s">
        <v>836</v>
      </c>
      <c r="W878" s="1">
        <v>4781.60363426</v>
      </c>
      <c r="X878" s="1"/>
      <c r="Y878" s="83" t="str">
        <f>VLOOKUP(LossTable[[#This Row],[Department]],$A$15:$B$40,2,FALSE)</f>
        <v>Insurance</v>
      </c>
    </row>
    <row r="879" spans="4:25" x14ac:dyDescent="0.25">
      <c r="D879" s="78">
        <v>388306</v>
      </c>
      <c r="E879" s="78">
        <v>280014790</v>
      </c>
      <c r="F879" s="83" t="s">
        <v>100</v>
      </c>
      <c r="G879" s="1" t="s">
        <v>267</v>
      </c>
      <c r="H879" s="1" t="s">
        <v>16</v>
      </c>
      <c r="I879" s="1" t="s">
        <v>268</v>
      </c>
      <c r="J879" s="1">
        <v>-206418014.86000001</v>
      </c>
      <c r="K879" s="1">
        <v>-206418014.86000001</v>
      </c>
      <c r="L879" s="1">
        <v>0</v>
      </c>
      <c r="M879" s="1">
        <v>0</v>
      </c>
      <c r="N879" s="1" t="s">
        <v>254</v>
      </c>
      <c r="O879" s="1">
        <v>0</v>
      </c>
      <c r="P879" s="1">
        <v>1</v>
      </c>
      <c r="Q879" s="83">
        <v>0</v>
      </c>
      <c r="R879" s="83">
        <v>0</v>
      </c>
      <c r="S879" s="1">
        <v>-16256.94</v>
      </c>
      <c r="T879" s="83">
        <v>0</v>
      </c>
      <c r="U879" s="1" t="s">
        <v>122</v>
      </c>
      <c r="V879" s="1" t="s">
        <v>836</v>
      </c>
      <c r="W879" s="1">
        <v>4781.60363426</v>
      </c>
      <c r="X879" s="1"/>
      <c r="Y879" s="83" t="str">
        <f>VLOOKUP(LossTable[[#This Row],[Department]],$A$15:$B$40,2,FALSE)</f>
        <v>EI Recovery^</v>
      </c>
    </row>
    <row r="880" spans="4:25" x14ac:dyDescent="0.25">
      <c r="D880" s="78">
        <v>422403</v>
      </c>
      <c r="E880" s="78">
        <v>280014790</v>
      </c>
      <c r="F880" s="83" t="s">
        <v>45</v>
      </c>
      <c r="G880" s="1" t="s">
        <v>316</v>
      </c>
      <c r="H880" s="1" t="s">
        <v>14</v>
      </c>
      <c r="I880" s="1" t="s">
        <v>317</v>
      </c>
      <c r="J880" s="1">
        <v>4500000</v>
      </c>
      <c r="K880" s="1">
        <v>30000000</v>
      </c>
      <c r="L880" s="1">
        <v>0</v>
      </c>
      <c r="M880" s="1">
        <v>0</v>
      </c>
      <c r="N880" s="1" t="s">
        <v>14</v>
      </c>
      <c r="O880" s="1">
        <v>0.15728167000000001</v>
      </c>
      <c r="P880" s="1">
        <v>0.15</v>
      </c>
      <c r="Q880" s="83">
        <v>1413.1365000000001</v>
      </c>
      <c r="R880" s="83">
        <v>1413.1365000000001</v>
      </c>
      <c r="S880" s="1">
        <v>1413.1365000000001</v>
      </c>
      <c r="T880" s="83">
        <v>0</v>
      </c>
      <c r="U880" s="1" t="s">
        <v>122</v>
      </c>
      <c r="V880" s="1" t="s">
        <v>836</v>
      </c>
      <c r="W880" s="1">
        <v>4781.60363426</v>
      </c>
      <c r="X880" s="1"/>
      <c r="Y880" s="83" t="str">
        <f>VLOOKUP(LossTable[[#This Row],[Department]],$A$15:$B$40,2,FALSE)</f>
        <v>FP</v>
      </c>
    </row>
    <row r="881" spans="4:25" x14ac:dyDescent="0.25">
      <c r="D881" s="78">
        <v>424585</v>
      </c>
      <c r="E881" s="78">
        <v>280014790</v>
      </c>
      <c r="F881" s="83" t="s">
        <v>94</v>
      </c>
      <c r="G881" s="1" t="s">
        <v>282</v>
      </c>
      <c r="H881" s="1" t="s">
        <v>16</v>
      </c>
      <c r="I881" s="1" t="s">
        <v>283</v>
      </c>
      <c r="J881" s="1">
        <v>1800000</v>
      </c>
      <c r="K881" s="1">
        <v>20000000</v>
      </c>
      <c r="L881" s="1">
        <v>0</v>
      </c>
      <c r="M881" s="1">
        <v>0</v>
      </c>
      <c r="N881" s="1" t="s">
        <v>284</v>
      </c>
      <c r="O881" s="1">
        <v>0.14499999999999999</v>
      </c>
      <c r="P881" s="1">
        <v>0.09</v>
      </c>
      <c r="Q881" s="83">
        <v>1273.2849000000001</v>
      </c>
      <c r="R881" s="83">
        <v>1273.2849000000001</v>
      </c>
      <c r="S881" s="1">
        <v>1273.2849000000001</v>
      </c>
      <c r="T881" s="83">
        <v>0</v>
      </c>
      <c r="U881" s="1" t="s">
        <v>122</v>
      </c>
      <c r="V881" s="1" t="s">
        <v>836</v>
      </c>
      <c r="W881" s="1">
        <v>4781.60363426</v>
      </c>
      <c r="X881" s="1"/>
      <c r="Y881" s="83" t="str">
        <f>VLOOKUP(LossTable[[#This Row],[Department]],$A$15:$B$40,2,FALSE)</f>
        <v>TP</v>
      </c>
    </row>
    <row r="882" spans="4:25" x14ac:dyDescent="0.25">
      <c r="D882" s="78">
        <v>426751</v>
      </c>
      <c r="E882" s="78">
        <v>280014790</v>
      </c>
      <c r="F882" s="83" t="s">
        <v>94</v>
      </c>
      <c r="G882" s="1" t="s">
        <v>306</v>
      </c>
      <c r="H882" s="1" t="s">
        <v>16</v>
      </c>
      <c r="I882" s="1" t="s">
        <v>754</v>
      </c>
      <c r="J882" s="1">
        <v>2000000</v>
      </c>
      <c r="K882" s="1">
        <v>20000000</v>
      </c>
      <c r="L882" s="1">
        <v>0</v>
      </c>
      <c r="M882" s="1">
        <v>0</v>
      </c>
      <c r="N882" s="1" t="s">
        <v>477</v>
      </c>
      <c r="O882" s="1">
        <v>0.22499390999999999</v>
      </c>
      <c r="P882" s="1">
        <v>0.1</v>
      </c>
      <c r="Q882" s="83">
        <v>932.75</v>
      </c>
      <c r="R882" s="83">
        <v>932.75</v>
      </c>
      <c r="S882" s="1">
        <v>932.75</v>
      </c>
      <c r="T882" s="83">
        <v>0</v>
      </c>
      <c r="U882" s="1" t="s">
        <v>122</v>
      </c>
      <c r="V882" s="1" t="s">
        <v>836</v>
      </c>
      <c r="W882" s="1">
        <v>4781.60363426</v>
      </c>
      <c r="X882" s="1"/>
      <c r="Y882" s="83" t="str">
        <f>VLOOKUP(LossTable[[#This Row],[Department]],$A$15:$B$40,2,FALSE)</f>
        <v>TP</v>
      </c>
    </row>
    <row r="883" spans="4:25" x14ac:dyDescent="0.25">
      <c r="D883" s="78">
        <v>431333</v>
      </c>
      <c r="E883" s="78">
        <v>280014790</v>
      </c>
      <c r="F883" s="83" t="s">
        <v>94</v>
      </c>
      <c r="G883" s="1" t="s">
        <v>255</v>
      </c>
      <c r="H883" s="1" t="s">
        <v>16</v>
      </c>
      <c r="I883" s="1" t="s">
        <v>278</v>
      </c>
      <c r="J883" s="1">
        <v>1550000</v>
      </c>
      <c r="K883" s="1">
        <v>10000000</v>
      </c>
      <c r="L883" s="1">
        <v>0</v>
      </c>
      <c r="M883" s="1">
        <v>0</v>
      </c>
      <c r="N883" s="1" t="s">
        <v>257</v>
      </c>
      <c r="O883" s="1">
        <v>0.34485139999999997</v>
      </c>
      <c r="P883" s="1">
        <v>0.155</v>
      </c>
      <c r="Q883" s="83">
        <v>2.9232999999999998</v>
      </c>
      <c r="R883" s="83">
        <v>2.9232999999999998</v>
      </c>
      <c r="S883" s="1">
        <v>2.9232999999999998</v>
      </c>
      <c r="T883" s="83">
        <v>0</v>
      </c>
      <c r="U883" s="1" t="s">
        <v>122</v>
      </c>
      <c r="V883" s="1" t="s">
        <v>836</v>
      </c>
      <c r="W883" s="1">
        <v>4781.60363426</v>
      </c>
      <c r="X883" s="1"/>
      <c r="Y883" s="83" t="str">
        <f>VLOOKUP(LossTable[[#This Row],[Department]],$A$15:$B$40,2,FALSE)</f>
        <v>TP</v>
      </c>
    </row>
    <row r="884" spans="4:25" x14ac:dyDescent="0.25">
      <c r="D884" s="78">
        <v>431739</v>
      </c>
      <c r="E884" s="78">
        <v>280014790</v>
      </c>
      <c r="F884" s="83" t="s">
        <v>45</v>
      </c>
      <c r="G884" s="1" t="s">
        <v>361</v>
      </c>
      <c r="H884" s="1" t="s">
        <v>16</v>
      </c>
      <c r="I884" s="1" t="s">
        <v>362</v>
      </c>
      <c r="J884" s="1">
        <v>1500000</v>
      </c>
      <c r="K884" s="1">
        <v>10000000</v>
      </c>
      <c r="L884" s="1">
        <v>0</v>
      </c>
      <c r="M884" s="1">
        <v>0</v>
      </c>
      <c r="N884" s="1" t="s">
        <v>357</v>
      </c>
      <c r="O884" s="1">
        <v>0.38922430000000002</v>
      </c>
      <c r="P884" s="1">
        <v>0.15</v>
      </c>
      <c r="Q884" s="83">
        <v>3188.6444999999999</v>
      </c>
      <c r="R884" s="83">
        <v>3188.6444999999999</v>
      </c>
      <c r="S884" s="1">
        <v>3188.6444999999999</v>
      </c>
      <c r="T884" s="83">
        <v>0</v>
      </c>
      <c r="U884" s="1" t="s">
        <v>122</v>
      </c>
      <c r="V884" s="1" t="s">
        <v>836</v>
      </c>
      <c r="W884" s="1">
        <v>4781.60363426</v>
      </c>
      <c r="X884" s="1"/>
      <c r="Y884" s="83" t="str">
        <f>VLOOKUP(LossTable[[#This Row],[Department]],$A$15:$B$40,2,FALSE)</f>
        <v>FP</v>
      </c>
    </row>
    <row r="885" spans="4:25" x14ac:dyDescent="0.25">
      <c r="D885" s="78">
        <v>432786</v>
      </c>
      <c r="E885" s="78">
        <v>280014790</v>
      </c>
      <c r="F885" s="83" t="s">
        <v>94</v>
      </c>
      <c r="G885" s="1" t="s">
        <v>826</v>
      </c>
      <c r="H885" s="1" t="s">
        <v>13</v>
      </c>
      <c r="I885" s="1" t="s">
        <v>827</v>
      </c>
      <c r="J885" s="1">
        <v>350000</v>
      </c>
      <c r="K885" s="1">
        <v>35000000</v>
      </c>
      <c r="L885" s="1">
        <v>5000000</v>
      </c>
      <c r="M885" s="1">
        <v>0</v>
      </c>
      <c r="N885" s="1" t="s">
        <v>828</v>
      </c>
      <c r="O885" s="1">
        <v>0.98</v>
      </c>
      <c r="P885" s="1">
        <v>0.01</v>
      </c>
      <c r="Q885" s="83">
        <v>6524.1518999999998</v>
      </c>
      <c r="R885" s="83">
        <v>4294.2602917752502</v>
      </c>
      <c r="S885" s="1">
        <v>4294.2602917752502</v>
      </c>
      <c r="T885" s="83">
        <v>0</v>
      </c>
      <c r="U885" s="1" t="s">
        <v>122</v>
      </c>
      <c r="V885" s="1" t="s">
        <v>836</v>
      </c>
      <c r="W885" s="1">
        <v>4781.60363426</v>
      </c>
      <c r="X885" s="1"/>
      <c r="Y885" s="83" t="str">
        <f>VLOOKUP(LossTable[[#This Row],[Department]],$A$15:$B$40,2,FALSE)</f>
        <v>TP</v>
      </c>
    </row>
    <row r="886" spans="4:25" x14ac:dyDescent="0.25">
      <c r="D886" s="78">
        <v>434244</v>
      </c>
      <c r="E886" s="78">
        <v>280014790</v>
      </c>
      <c r="F886" s="83" t="s">
        <v>21</v>
      </c>
      <c r="G886" s="1" t="s">
        <v>188</v>
      </c>
      <c r="H886" s="1" t="s">
        <v>14</v>
      </c>
      <c r="I886" s="1" t="s">
        <v>189</v>
      </c>
      <c r="J886" s="1">
        <v>4500000</v>
      </c>
      <c r="K886" s="1">
        <v>150000000</v>
      </c>
      <c r="L886" s="1">
        <v>0</v>
      </c>
      <c r="M886" s="1">
        <v>0</v>
      </c>
      <c r="N886" s="1" t="s">
        <v>161</v>
      </c>
      <c r="O886" s="1">
        <v>1.36166667</v>
      </c>
      <c r="P886" s="1">
        <v>0.03</v>
      </c>
      <c r="Q886" s="83">
        <v>2075.1950999999999</v>
      </c>
      <c r="R886" s="83">
        <v>2075.1950999999999</v>
      </c>
      <c r="S886" s="1">
        <v>2075.1950999999999</v>
      </c>
      <c r="T886" s="83">
        <v>0</v>
      </c>
      <c r="U886" s="1" t="s">
        <v>122</v>
      </c>
      <c r="V886" s="1" t="s">
        <v>836</v>
      </c>
      <c r="W886" s="1">
        <v>4781.60363426</v>
      </c>
      <c r="X886" s="1"/>
      <c r="Y886" s="83" t="str">
        <f>VLOOKUP(LossTable[[#This Row],[Department]],$A$15:$B$40,2,FALSE)</f>
        <v>London</v>
      </c>
    </row>
    <row r="887" spans="4:25" x14ac:dyDescent="0.25">
      <c r="D887" s="78">
        <v>435697</v>
      </c>
      <c r="E887" s="78">
        <v>280014790</v>
      </c>
      <c r="F887" s="83" t="s">
        <v>94</v>
      </c>
      <c r="G887" s="1" t="s">
        <v>318</v>
      </c>
      <c r="H887" s="1" t="s">
        <v>16</v>
      </c>
      <c r="I887" s="1" t="s">
        <v>328</v>
      </c>
      <c r="J887" s="1">
        <v>6500000</v>
      </c>
      <c r="K887" s="1">
        <v>130000000</v>
      </c>
      <c r="L887" s="1">
        <v>0</v>
      </c>
      <c r="M887" s="1">
        <v>0</v>
      </c>
      <c r="N887" s="1" t="s">
        <v>329</v>
      </c>
      <c r="O887" s="1">
        <v>0.12692307999999999</v>
      </c>
      <c r="P887" s="1">
        <v>0.05</v>
      </c>
      <c r="Q887" s="83">
        <v>1712.3734999999999</v>
      </c>
      <c r="R887" s="83">
        <v>1712.3734999999999</v>
      </c>
      <c r="S887" s="1">
        <v>1712.3734999999999</v>
      </c>
      <c r="T887" s="83">
        <v>0</v>
      </c>
      <c r="U887" s="1" t="s">
        <v>122</v>
      </c>
      <c r="V887" s="1" t="s">
        <v>836</v>
      </c>
      <c r="W887" s="1">
        <v>4781.60363426</v>
      </c>
      <c r="X887" s="1"/>
      <c r="Y887" s="83" t="str">
        <f>VLOOKUP(LossTable[[#This Row],[Department]],$A$15:$B$40,2,FALSE)</f>
        <v>TP</v>
      </c>
    </row>
    <row r="888" spans="4:25" x14ac:dyDescent="0.25">
      <c r="D888" s="78">
        <v>435996</v>
      </c>
      <c r="E888" s="78">
        <v>280014790</v>
      </c>
      <c r="F888" s="83" t="s">
        <v>94</v>
      </c>
      <c r="G888" s="1" t="s">
        <v>174</v>
      </c>
      <c r="H888" s="1" t="s">
        <v>14</v>
      </c>
      <c r="I888" s="1" t="s">
        <v>421</v>
      </c>
      <c r="J888" s="1">
        <v>7312500</v>
      </c>
      <c r="K888" s="1">
        <v>975000000</v>
      </c>
      <c r="L888" s="1">
        <v>0</v>
      </c>
      <c r="M888" s="1">
        <v>0</v>
      </c>
      <c r="N888" s="1" t="s">
        <v>422</v>
      </c>
      <c r="O888" s="1">
        <v>1.48010011</v>
      </c>
      <c r="P888" s="1">
        <v>7.4999999999999997E-3</v>
      </c>
      <c r="Q888" s="83">
        <v>98244.476624999996</v>
      </c>
      <c r="R888" s="83">
        <v>98244.476624999996</v>
      </c>
      <c r="S888" s="1">
        <v>98244.476624999996</v>
      </c>
      <c r="T888" s="83">
        <v>0</v>
      </c>
      <c r="U888" s="1" t="s">
        <v>122</v>
      </c>
      <c r="V888" s="1" t="s">
        <v>836</v>
      </c>
      <c r="W888" s="1">
        <v>4781.60363426</v>
      </c>
      <c r="X888" s="1"/>
      <c r="Y888" s="83" t="str">
        <f>VLOOKUP(LossTable[[#This Row],[Department]],$A$15:$B$40,2,FALSE)</f>
        <v>TP</v>
      </c>
    </row>
    <row r="889" spans="4:25" x14ac:dyDescent="0.25">
      <c r="D889" s="78">
        <v>437594</v>
      </c>
      <c r="E889" s="78">
        <v>280014790</v>
      </c>
      <c r="F889" s="83" t="s">
        <v>94</v>
      </c>
      <c r="G889" s="1" t="s">
        <v>347</v>
      </c>
      <c r="H889" s="1" t="s">
        <v>14</v>
      </c>
      <c r="I889" s="1" t="s">
        <v>348</v>
      </c>
      <c r="J889" s="1">
        <v>1875000</v>
      </c>
      <c r="K889" s="1">
        <v>30000000</v>
      </c>
      <c r="L889" s="1">
        <v>0</v>
      </c>
      <c r="M889" s="1">
        <v>0</v>
      </c>
      <c r="N889" s="1" t="s">
        <v>122</v>
      </c>
      <c r="O889" s="1">
        <v>5.3494280099999996</v>
      </c>
      <c r="P889" s="1">
        <v>6.25E-2</v>
      </c>
      <c r="Q889" s="83">
        <v>228491.044375</v>
      </c>
      <c r="R889" s="83">
        <v>228491.044375</v>
      </c>
      <c r="S889" s="1">
        <v>228491.044375</v>
      </c>
      <c r="T889" s="83">
        <v>0</v>
      </c>
      <c r="U889" s="1" t="s">
        <v>122</v>
      </c>
      <c r="V889" s="1" t="s">
        <v>836</v>
      </c>
      <c r="W889" s="1">
        <v>4781.60363426</v>
      </c>
      <c r="X889" s="1"/>
      <c r="Y889" s="83" t="str">
        <f>VLOOKUP(LossTable[[#This Row],[Department]],$A$15:$B$40,2,FALSE)</f>
        <v>TP</v>
      </c>
    </row>
    <row r="890" spans="4:25" x14ac:dyDescent="0.25">
      <c r="D890" s="78">
        <v>437855</v>
      </c>
      <c r="E890" s="78">
        <v>280014790</v>
      </c>
      <c r="F890" s="83" t="s">
        <v>94</v>
      </c>
      <c r="G890" s="1" t="s">
        <v>427</v>
      </c>
      <c r="H890" s="1" t="s">
        <v>16</v>
      </c>
      <c r="I890" s="1" t="s">
        <v>472</v>
      </c>
      <c r="J890" s="1">
        <v>750000</v>
      </c>
      <c r="K890" s="1">
        <v>30000000</v>
      </c>
      <c r="L890" s="1">
        <v>0</v>
      </c>
      <c r="M890" s="1">
        <v>0</v>
      </c>
      <c r="N890" s="1" t="s">
        <v>391</v>
      </c>
      <c r="O890" s="1">
        <v>0.15</v>
      </c>
      <c r="P890" s="1">
        <v>2.5000000000000001E-2</v>
      </c>
      <c r="Q890" s="83">
        <v>184.6995</v>
      </c>
      <c r="R890" s="83">
        <v>184.6995</v>
      </c>
      <c r="S890" s="1">
        <v>184.6995</v>
      </c>
      <c r="T890" s="83">
        <v>0</v>
      </c>
      <c r="U890" s="1" t="s">
        <v>122</v>
      </c>
      <c r="V890" s="1" t="s">
        <v>836</v>
      </c>
      <c r="W890" s="1">
        <v>4781.60363426</v>
      </c>
      <c r="X890" s="1"/>
      <c r="Y890" s="83" t="str">
        <f>VLOOKUP(LossTable[[#This Row],[Department]],$A$15:$B$40,2,FALSE)</f>
        <v>TP</v>
      </c>
    </row>
    <row r="891" spans="4:25" x14ac:dyDescent="0.25">
      <c r="D891" s="78">
        <v>439199</v>
      </c>
      <c r="E891" s="78">
        <v>280014790</v>
      </c>
      <c r="F891" s="83" t="s">
        <v>94</v>
      </c>
      <c r="G891" s="1" t="s">
        <v>438</v>
      </c>
      <c r="H891" s="1" t="s">
        <v>16</v>
      </c>
      <c r="I891" s="1" t="s">
        <v>439</v>
      </c>
      <c r="J891" s="1">
        <v>500000</v>
      </c>
      <c r="K891" s="1">
        <v>10000000</v>
      </c>
      <c r="L891" s="1">
        <v>0</v>
      </c>
      <c r="M891" s="1">
        <v>0</v>
      </c>
      <c r="N891" s="1" t="s">
        <v>315</v>
      </c>
      <c r="O891" s="1">
        <v>0.40009453</v>
      </c>
      <c r="P891" s="1">
        <v>0.05</v>
      </c>
      <c r="Q891" s="83">
        <v>16987.651000000002</v>
      </c>
      <c r="R891" s="83">
        <v>16987.651000000002</v>
      </c>
      <c r="S891" s="1">
        <v>16987.651000000002</v>
      </c>
      <c r="T891" s="83">
        <v>0</v>
      </c>
      <c r="U891" s="1" t="s">
        <v>122</v>
      </c>
      <c r="V891" s="1" t="s">
        <v>836</v>
      </c>
      <c r="W891" s="1">
        <v>4781.60363426</v>
      </c>
      <c r="X891" s="1"/>
      <c r="Y891" s="83" t="str">
        <f>VLOOKUP(LossTable[[#This Row],[Department]],$A$15:$B$40,2,FALSE)</f>
        <v>TP</v>
      </c>
    </row>
    <row r="892" spans="4:25" x14ac:dyDescent="0.25">
      <c r="D892" s="78">
        <v>441612</v>
      </c>
      <c r="E892" s="78">
        <v>280014790</v>
      </c>
      <c r="F892" s="83" t="s">
        <v>94</v>
      </c>
      <c r="G892" s="1" t="s">
        <v>811</v>
      </c>
      <c r="H892" s="1" t="s">
        <v>13</v>
      </c>
      <c r="I892" s="1" t="s">
        <v>817</v>
      </c>
      <c r="J892" s="1">
        <v>285000</v>
      </c>
      <c r="K892" s="1">
        <v>6000000</v>
      </c>
      <c r="L892" s="1">
        <v>4000000</v>
      </c>
      <c r="M892" s="1">
        <v>0</v>
      </c>
      <c r="N892" s="1" t="s">
        <v>611</v>
      </c>
      <c r="O892" s="1">
        <v>0.47</v>
      </c>
      <c r="P892" s="1">
        <v>4.7500000000000001E-2</v>
      </c>
      <c r="Q892" s="83">
        <v>285000</v>
      </c>
      <c r="R892" s="83">
        <v>187589.77441281601</v>
      </c>
      <c r="S892" s="1">
        <v>187589.77441281601</v>
      </c>
      <c r="T892" s="83">
        <v>0</v>
      </c>
      <c r="U892" s="1" t="s">
        <v>122</v>
      </c>
      <c r="V892" s="1" t="s">
        <v>836</v>
      </c>
      <c r="W892" s="1">
        <v>4781.60363426</v>
      </c>
      <c r="X892" s="1"/>
      <c r="Y892" s="83" t="str">
        <f>VLOOKUP(LossTable[[#This Row],[Department]],$A$15:$B$40,2,FALSE)</f>
        <v>TP</v>
      </c>
    </row>
    <row r="893" spans="4:25" x14ac:dyDescent="0.25">
      <c r="D893" s="78">
        <v>441790</v>
      </c>
      <c r="E893" s="78">
        <v>280014790</v>
      </c>
      <c r="F893" s="83" t="s">
        <v>94</v>
      </c>
      <c r="G893" s="1" t="s">
        <v>380</v>
      </c>
      <c r="H893" s="1" t="s">
        <v>16</v>
      </c>
      <c r="I893" s="1" t="s">
        <v>387</v>
      </c>
      <c r="J893" s="1">
        <v>375000</v>
      </c>
      <c r="K893" s="1">
        <v>30000000</v>
      </c>
      <c r="L893" s="1">
        <v>0</v>
      </c>
      <c r="M893" s="1">
        <v>0</v>
      </c>
      <c r="N893" s="1" t="s">
        <v>122</v>
      </c>
      <c r="O893" s="1">
        <v>0.125</v>
      </c>
      <c r="P893" s="1">
        <v>1.2500000000000001E-2</v>
      </c>
      <c r="Q893" s="83">
        <v>73.644625000000005</v>
      </c>
      <c r="R893" s="83">
        <v>73.644625000000005</v>
      </c>
      <c r="S893" s="1">
        <v>73.644625000000005</v>
      </c>
      <c r="T893" s="83">
        <v>0</v>
      </c>
      <c r="U893" s="1" t="s">
        <v>122</v>
      </c>
      <c r="V893" s="1" t="s">
        <v>836</v>
      </c>
      <c r="W893" s="1">
        <v>4781.60363426</v>
      </c>
      <c r="X893" s="1"/>
      <c r="Y893" s="83" t="str">
        <f>VLOOKUP(LossTable[[#This Row],[Department]],$A$15:$B$40,2,FALSE)</f>
        <v>TP</v>
      </c>
    </row>
    <row r="894" spans="4:25" x14ac:dyDescent="0.25">
      <c r="D894" s="78">
        <v>444587</v>
      </c>
      <c r="E894" s="78">
        <v>280014790</v>
      </c>
      <c r="F894" s="83" t="s">
        <v>94</v>
      </c>
      <c r="G894" s="1" t="s">
        <v>395</v>
      </c>
      <c r="H894" s="1" t="s">
        <v>16</v>
      </c>
      <c r="I894" s="1" t="s">
        <v>396</v>
      </c>
      <c r="J894" s="1">
        <v>787500</v>
      </c>
      <c r="K894" s="1">
        <v>22500000</v>
      </c>
      <c r="L894" s="1">
        <v>0</v>
      </c>
      <c r="M894" s="1">
        <v>0</v>
      </c>
      <c r="N894" s="1" t="s">
        <v>397</v>
      </c>
      <c r="O894" s="1">
        <v>9.2666666699999993</v>
      </c>
      <c r="P894" s="1">
        <v>3.5000000000000003E-2</v>
      </c>
      <c r="Q894" s="83">
        <v>61817.415800000002</v>
      </c>
      <c r="R894" s="83">
        <v>61817.415800000002</v>
      </c>
      <c r="S894" s="1">
        <v>61817.415800000002</v>
      </c>
      <c r="T894" s="83">
        <v>0</v>
      </c>
      <c r="U894" s="1" t="s">
        <v>122</v>
      </c>
      <c r="V894" s="1" t="s">
        <v>836</v>
      </c>
      <c r="W894" s="1">
        <v>4781.60363426</v>
      </c>
      <c r="X894" s="1"/>
      <c r="Y894" s="83" t="str">
        <f>VLOOKUP(LossTable[[#This Row],[Department]],$A$15:$B$40,2,FALSE)</f>
        <v>TP</v>
      </c>
    </row>
    <row r="895" spans="4:25" x14ac:dyDescent="0.25">
      <c r="D895" s="78">
        <v>445843</v>
      </c>
      <c r="E895" s="78">
        <v>280014790</v>
      </c>
      <c r="F895" s="83" t="s">
        <v>45</v>
      </c>
      <c r="G895" s="1" t="s">
        <v>519</v>
      </c>
      <c r="H895" s="1" t="s">
        <v>16</v>
      </c>
      <c r="I895" s="1" t="s">
        <v>520</v>
      </c>
      <c r="J895" s="1">
        <v>50000000</v>
      </c>
      <c r="K895" s="1">
        <v>1000000000</v>
      </c>
      <c r="L895" s="1">
        <v>0</v>
      </c>
      <c r="M895" s="1">
        <v>0</v>
      </c>
      <c r="N895" s="1" t="s">
        <v>521</v>
      </c>
      <c r="O895" s="1">
        <v>1.334834E-2</v>
      </c>
      <c r="P895" s="1">
        <v>0.05</v>
      </c>
      <c r="Q895" s="83">
        <v>2180.6685000000002</v>
      </c>
      <c r="R895" s="83">
        <v>2180.6685000000002</v>
      </c>
      <c r="S895" s="1">
        <v>2180.6685000000002</v>
      </c>
      <c r="T895" s="83">
        <v>0</v>
      </c>
      <c r="U895" s="1" t="s">
        <v>122</v>
      </c>
      <c r="V895" s="1" t="s">
        <v>836</v>
      </c>
      <c r="W895" s="1">
        <v>4781.60363426</v>
      </c>
      <c r="X895" s="1"/>
      <c r="Y895" s="83" t="str">
        <f>VLOOKUP(LossTable[[#This Row],[Department]],$A$15:$B$40,2,FALSE)</f>
        <v>FP</v>
      </c>
    </row>
    <row r="896" spans="4:25" x14ac:dyDescent="0.25">
      <c r="D896" s="78">
        <v>445971</v>
      </c>
      <c r="E896" s="78">
        <v>280014790</v>
      </c>
      <c r="F896" s="83" t="s">
        <v>94</v>
      </c>
      <c r="G896" s="1" t="s">
        <v>470</v>
      </c>
      <c r="H896" s="1" t="s">
        <v>16</v>
      </c>
      <c r="I896" s="1" t="s">
        <v>484</v>
      </c>
      <c r="J896" s="1">
        <v>2500000</v>
      </c>
      <c r="K896" s="1">
        <v>50000000</v>
      </c>
      <c r="L896" s="1">
        <v>0</v>
      </c>
      <c r="M896" s="1">
        <v>0</v>
      </c>
      <c r="N896" s="1" t="s">
        <v>432</v>
      </c>
      <c r="O896" s="1">
        <v>3.9997829999999998E-2</v>
      </c>
      <c r="P896" s="1">
        <v>0.05</v>
      </c>
      <c r="Q896" s="83">
        <v>762.97299999999996</v>
      </c>
      <c r="R896" s="83">
        <v>762.97299999999996</v>
      </c>
      <c r="S896" s="1">
        <v>762.97299999999996</v>
      </c>
      <c r="T896" s="83">
        <v>0</v>
      </c>
      <c r="U896" s="1" t="s">
        <v>122</v>
      </c>
      <c r="V896" s="1" t="s">
        <v>836</v>
      </c>
      <c r="W896" s="1">
        <v>4781.60363426</v>
      </c>
      <c r="X896" s="1"/>
      <c r="Y896" s="83" t="str">
        <f>VLOOKUP(LossTable[[#This Row],[Department]],$A$15:$B$40,2,FALSE)</f>
        <v>TP</v>
      </c>
    </row>
    <row r="897" spans="4:25" x14ac:dyDescent="0.25">
      <c r="D897" s="78">
        <v>445990</v>
      </c>
      <c r="E897" s="78">
        <v>280014790</v>
      </c>
      <c r="F897" s="83" t="s">
        <v>94</v>
      </c>
      <c r="G897" s="1" t="s">
        <v>440</v>
      </c>
      <c r="H897" s="1" t="s">
        <v>16</v>
      </c>
      <c r="I897" s="1" t="s">
        <v>502</v>
      </c>
      <c r="J897" s="1">
        <v>20000000</v>
      </c>
      <c r="K897" s="1">
        <v>200000000</v>
      </c>
      <c r="L897" s="1">
        <v>0</v>
      </c>
      <c r="M897" s="1">
        <v>0</v>
      </c>
      <c r="N897" s="1" t="s">
        <v>365</v>
      </c>
      <c r="O897" s="1">
        <v>0.37</v>
      </c>
      <c r="P897" s="1">
        <v>0.1</v>
      </c>
      <c r="Q897" s="83">
        <v>11775.433000000001</v>
      </c>
      <c r="R897" s="83">
        <v>11775.433000000001</v>
      </c>
      <c r="S897" s="1">
        <v>11775.433000000001</v>
      </c>
      <c r="T897" s="83">
        <v>0</v>
      </c>
      <c r="U897" s="1" t="s">
        <v>122</v>
      </c>
      <c r="V897" s="1" t="s">
        <v>836</v>
      </c>
      <c r="W897" s="1">
        <v>4781.60363426</v>
      </c>
      <c r="X897" s="1"/>
      <c r="Y897" s="83" t="str">
        <f>VLOOKUP(LossTable[[#This Row],[Department]],$A$15:$B$40,2,FALSE)</f>
        <v>TP</v>
      </c>
    </row>
    <row r="898" spans="4:25" x14ac:dyDescent="0.25">
      <c r="D898" s="78">
        <v>446802</v>
      </c>
      <c r="E898" s="78">
        <v>280014790</v>
      </c>
      <c r="F898" s="83" t="s">
        <v>94</v>
      </c>
      <c r="G898" s="1" t="s">
        <v>448</v>
      </c>
      <c r="H898" s="1" t="s">
        <v>16</v>
      </c>
      <c r="I898" s="1" t="s">
        <v>449</v>
      </c>
      <c r="J898" s="1">
        <v>1500000</v>
      </c>
      <c r="K898" s="1">
        <v>60000000</v>
      </c>
      <c r="L898" s="1">
        <v>0</v>
      </c>
      <c r="M898" s="1">
        <v>0</v>
      </c>
      <c r="N898" s="1" t="s">
        <v>450</v>
      </c>
      <c r="O898" s="1">
        <v>1.49995777</v>
      </c>
      <c r="P898" s="1">
        <v>2.5000000000000001E-2</v>
      </c>
      <c r="Q898" s="83">
        <v>23129.647499999999</v>
      </c>
      <c r="R898" s="83">
        <v>23129.647499999999</v>
      </c>
      <c r="S898" s="1">
        <v>23129.647499999999</v>
      </c>
      <c r="T898" s="83">
        <v>0</v>
      </c>
      <c r="U898" s="1" t="s">
        <v>122</v>
      </c>
      <c r="V898" s="1" t="s">
        <v>836</v>
      </c>
      <c r="W898" s="1">
        <v>4781.60363426</v>
      </c>
      <c r="X898" s="1"/>
      <c r="Y898" s="83" t="str">
        <f>VLOOKUP(LossTable[[#This Row],[Department]],$A$15:$B$40,2,FALSE)</f>
        <v>TP</v>
      </c>
    </row>
    <row r="899" spans="4:25" x14ac:dyDescent="0.25">
      <c r="D899" s="78">
        <v>448039</v>
      </c>
      <c r="E899" s="78">
        <v>280014790</v>
      </c>
      <c r="F899" s="83" t="s">
        <v>12</v>
      </c>
      <c r="G899" s="1" t="s">
        <v>508</v>
      </c>
      <c r="H899" s="1" t="s">
        <v>16</v>
      </c>
      <c r="I899" s="1" t="s">
        <v>545</v>
      </c>
      <c r="J899" s="1">
        <v>10000000</v>
      </c>
      <c r="K899" s="1">
        <v>200000000</v>
      </c>
      <c r="L899" s="1">
        <v>0</v>
      </c>
      <c r="M899" s="1">
        <v>0</v>
      </c>
      <c r="N899" s="1" t="s">
        <v>546</v>
      </c>
      <c r="O899" s="1">
        <v>5.5E-2</v>
      </c>
      <c r="P899" s="1">
        <v>0.05</v>
      </c>
      <c r="Q899" s="83">
        <v>6185.8355000000001</v>
      </c>
      <c r="R899" s="83">
        <v>6185.8355000000001</v>
      </c>
      <c r="S899" s="1">
        <v>6185.8355000000001</v>
      </c>
      <c r="T899" s="83">
        <v>0</v>
      </c>
      <c r="U899" s="1" t="s">
        <v>122</v>
      </c>
      <c r="V899" s="1" t="s">
        <v>836</v>
      </c>
      <c r="W899" s="1">
        <v>4781.60363426</v>
      </c>
      <c r="X899" s="1"/>
      <c r="Y899" s="83" t="str">
        <f>VLOOKUP(LossTable[[#This Row],[Department]],$A$15:$B$40,2,FALSE)</f>
        <v>Bermuda</v>
      </c>
    </row>
    <row r="900" spans="4:25" x14ac:dyDescent="0.25">
      <c r="D900" s="78">
        <v>448495</v>
      </c>
      <c r="E900" s="78">
        <v>280014790</v>
      </c>
      <c r="F900" s="83" t="s">
        <v>94</v>
      </c>
      <c r="G900" s="1" t="s">
        <v>533</v>
      </c>
      <c r="H900" s="1" t="s">
        <v>16</v>
      </c>
      <c r="I900" s="1" t="s">
        <v>557</v>
      </c>
      <c r="J900" s="1">
        <v>12000000</v>
      </c>
      <c r="K900" s="1">
        <v>200000000</v>
      </c>
      <c r="L900" s="1">
        <v>0</v>
      </c>
      <c r="M900" s="1">
        <v>0</v>
      </c>
      <c r="N900" s="1" t="s">
        <v>558</v>
      </c>
      <c r="O900" s="1">
        <v>0.22500000000000001</v>
      </c>
      <c r="P900" s="1">
        <v>0.06</v>
      </c>
      <c r="Q900" s="83">
        <v>50561.939400000003</v>
      </c>
      <c r="R900" s="83">
        <v>50561.939400000003</v>
      </c>
      <c r="S900" s="1">
        <v>50561.939400000003</v>
      </c>
      <c r="T900" s="83">
        <v>0</v>
      </c>
      <c r="U900" s="1" t="s">
        <v>122</v>
      </c>
      <c r="V900" s="1" t="s">
        <v>836</v>
      </c>
      <c r="W900" s="1">
        <v>4781.60363426</v>
      </c>
      <c r="X900" s="1"/>
      <c r="Y900" s="83" t="str">
        <f>VLOOKUP(LossTable[[#This Row],[Department]],$A$15:$B$40,2,FALSE)</f>
        <v>TP</v>
      </c>
    </row>
    <row r="901" spans="4:25" x14ac:dyDescent="0.25">
      <c r="D901" s="78">
        <v>463056</v>
      </c>
      <c r="E901" s="78">
        <v>280014790</v>
      </c>
      <c r="F901" s="83" t="s">
        <v>12</v>
      </c>
      <c r="G901" s="1" t="s">
        <v>612</v>
      </c>
      <c r="H901" s="1" t="s">
        <v>14</v>
      </c>
      <c r="I901" s="1" t="s">
        <v>613</v>
      </c>
      <c r="J901" s="1">
        <v>37355599.248012401</v>
      </c>
      <c r="K901" s="1">
        <v>1105195244.02404</v>
      </c>
      <c r="L901" s="1">
        <v>0</v>
      </c>
      <c r="M901" s="1">
        <v>0</v>
      </c>
      <c r="N901" s="1" t="s">
        <v>154</v>
      </c>
      <c r="O901" s="1">
        <v>0.62324833999999996</v>
      </c>
      <c r="P901" s="1">
        <v>3.3799999999999997E-2</v>
      </c>
      <c r="Q901" s="83">
        <v>19667.10285191</v>
      </c>
      <c r="R901" s="83">
        <v>19667.10285191</v>
      </c>
      <c r="S901" s="1">
        <v>19667.10285191</v>
      </c>
      <c r="T901" s="83">
        <v>0</v>
      </c>
      <c r="U901" s="1" t="s">
        <v>122</v>
      </c>
      <c r="V901" s="1" t="s">
        <v>836</v>
      </c>
      <c r="W901" s="1">
        <v>4781.60363426</v>
      </c>
      <c r="X901" s="1"/>
      <c r="Y901" s="83" t="str">
        <f>VLOOKUP(LossTable[[#This Row],[Department]],$A$15:$B$40,2,FALSE)</f>
        <v>Bermuda</v>
      </c>
    </row>
    <row r="902" spans="4:25" x14ac:dyDescent="0.25">
      <c r="D902" s="78">
        <v>464186</v>
      </c>
      <c r="E902" s="78">
        <v>280014790</v>
      </c>
      <c r="F902" s="83" t="s">
        <v>45</v>
      </c>
      <c r="G902" s="1" t="s">
        <v>606</v>
      </c>
      <c r="H902" s="1" t="s">
        <v>16</v>
      </c>
      <c r="I902" s="1" t="s">
        <v>607</v>
      </c>
      <c r="J902" s="1">
        <v>4000000</v>
      </c>
      <c r="K902" s="1">
        <v>20000000</v>
      </c>
      <c r="L902" s="1">
        <v>0</v>
      </c>
      <c r="M902" s="1">
        <v>0</v>
      </c>
      <c r="N902" s="1" t="s">
        <v>608</v>
      </c>
      <c r="O902" s="1">
        <v>0.21</v>
      </c>
      <c r="P902" s="1">
        <v>0.2</v>
      </c>
      <c r="Q902" s="83">
        <v>33.457999999999998</v>
      </c>
      <c r="R902" s="83">
        <v>33.457999999999998</v>
      </c>
      <c r="S902" s="1">
        <v>33.457999999999998</v>
      </c>
      <c r="T902" s="83">
        <v>0</v>
      </c>
      <c r="U902" s="1" t="s">
        <v>122</v>
      </c>
      <c r="V902" s="1" t="s">
        <v>836</v>
      </c>
      <c r="W902" s="1">
        <v>4781.60363426</v>
      </c>
      <c r="X902" s="1"/>
      <c r="Y902" s="83" t="str">
        <f>VLOOKUP(LossTable[[#This Row],[Department]],$A$15:$B$40,2,FALSE)</f>
        <v>FP</v>
      </c>
    </row>
    <row r="903" spans="4:25" x14ac:dyDescent="0.25">
      <c r="D903" s="78">
        <v>467040</v>
      </c>
      <c r="E903" s="78">
        <v>280014790</v>
      </c>
      <c r="F903" s="83" t="s">
        <v>94</v>
      </c>
      <c r="G903" s="1" t="s">
        <v>565</v>
      </c>
      <c r="H903" s="1" t="s">
        <v>16</v>
      </c>
      <c r="I903" s="1" t="s">
        <v>566</v>
      </c>
      <c r="J903" s="1">
        <v>4000000</v>
      </c>
      <c r="K903" s="1">
        <v>80000000</v>
      </c>
      <c r="L903" s="1">
        <v>0</v>
      </c>
      <c r="M903" s="1">
        <v>0</v>
      </c>
      <c r="N903" s="1" t="s">
        <v>122</v>
      </c>
      <c r="O903" s="1">
        <v>0.20624999999999999</v>
      </c>
      <c r="P903" s="1">
        <v>0.05</v>
      </c>
      <c r="Q903" s="83">
        <v>7.6924999999999999</v>
      </c>
      <c r="R903" s="83">
        <v>7.6924999999999999</v>
      </c>
      <c r="S903" s="1">
        <v>7.6924999999999999</v>
      </c>
      <c r="T903" s="83">
        <v>0</v>
      </c>
      <c r="U903" s="1" t="s">
        <v>122</v>
      </c>
      <c r="V903" s="1" t="s">
        <v>836</v>
      </c>
      <c r="W903" s="1">
        <v>4781.60363426</v>
      </c>
      <c r="X903" s="1"/>
      <c r="Y903" s="83" t="str">
        <f>VLOOKUP(LossTable[[#This Row],[Department]],$A$15:$B$40,2,FALSE)</f>
        <v>TP</v>
      </c>
    </row>
    <row r="904" spans="4:25" x14ac:dyDescent="0.25">
      <c r="D904" s="78">
        <v>470053</v>
      </c>
      <c r="E904" s="78">
        <v>280014790</v>
      </c>
      <c r="F904" s="83" t="s">
        <v>95</v>
      </c>
      <c r="G904" s="1" t="s">
        <v>646</v>
      </c>
      <c r="H904" s="1" t="s">
        <v>14</v>
      </c>
      <c r="I904" s="1" t="s">
        <v>647</v>
      </c>
      <c r="J904" s="1">
        <v>25000000</v>
      </c>
      <c r="K904" s="1">
        <v>250000000</v>
      </c>
      <c r="L904" s="1">
        <v>0</v>
      </c>
      <c r="M904" s="1">
        <v>0</v>
      </c>
      <c r="N904" s="1" t="s">
        <v>122</v>
      </c>
      <c r="O904" s="1">
        <v>0.98461171999999997</v>
      </c>
      <c r="P904" s="1">
        <v>0.1</v>
      </c>
      <c r="Q904" s="83">
        <v>90591.134000000005</v>
      </c>
      <c r="R904" s="83">
        <v>90591.134000000005</v>
      </c>
      <c r="S904" s="1">
        <v>90591.134000000005</v>
      </c>
      <c r="T904" s="83">
        <v>0</v>
      </c>
      <c r="U904" s="1" t="s">
        <v>122</v>
      </c>
      <c r="V904" s="1" t="s">
        <v>836</v>
      </c>
      <c r="W904" s="1">
        <v>4781.60363426</v>
      </c>
      <c r="X904" s="1"/>
      <c r="Y904" s="83" t="str">
        <f>VLOOKUP(LossTable[[#This Row],[Department]],$A$15:$B$40,2,FALSE)</f>
        <v>Dublin</v>
      </c>
    </row>
    <row r="905" spans="4:25" x14ac:dyDescent="0.25">
      <c r="D905" s="78">
        <v>471373</v>
      </c>
      <c r="E905" s="78">
        <v>280014790</v>
      </c>
      <c r="F905" s="83" t="s">
        <v>94</v>
      </c>
      <c r="G905" s="1" t="s">
        <v>655</v>
      </c>
      <c r="H905" s="1" t="s">
        <v>14</v>
      </c>
      <c r="I905" s="1" t="s">
        <v>656</v>
      </c>
      <c r="J905" s="1">
        <v>19175000</v>
      </c>
      <c r="K905" s="1">
        <v>295000000</v>
      </c>
      <c r="L905" s="1">
        <v>0</v>
      </c>
      <c r="M905" s="1">
        <v>0</v>
      </c>
      <c r="N905" s="1" t="s">
        <v>122</v>
      </c>
      <c r="O905" s="1">
        <v>0.89590168999999997</v>
      </c>
      <c r="P905" s="1">
        <v>6.5000000000000002E-2</v>
      </c>
      <c r="Q905" s="83">
        <v>897697.35900000005</v>
      </c>
      <c r="R905" s="83">
        <v>897697.35900000005</v>
      </c>
      <c r="S905" s="1">
        <v>897697.35900000005</v>
      </c>
      <c r="T905" s="83">
        <v>0</v>
      </c>
      <c r="U905" s="1" t="s">
        <v>122</v>
      </c>
      <c r="V905" s="1" t="s">
        <v>836</v>
      </c>
      <c r="W905" s="1">
        <v>4781.60363426</v>
      </c>
      <c r="X905" s="1"/>
      <c r="Y905" s="83" t="str">
        <f>VLOOKUP(LossTable[[#This Row],[Department]],$A$15:$B$40,2,FALSE)</f>
        <v>TP</v>
      </c>
    </row>
    <row r="906" spans="4:25" x14ac:dyDescent="0.25">
      <c r="D906" s="78">
        <v>472732</v>
      </c>
      <c r="E906" s="78">
        <v>280014790</v>
      </c>
      <c r="F906" s="83" t="s">
        <v>94</v>
      </c>
      <c r="G906" s="1" t="s">
        <v>693</v>
      </c>
      <c r="H906" s="1" t="s">
        <v>14</v>
      </c>
      <c r="I906" s="1" t="s">
        <v>694</v>
      </c>
      <c r="J906" s="1">
        <v>15150393.960000001</v>
      </c>
      <c r="K906" s="1">
        <v>126253283</v>
      </c>
      <c r="L906" s="1">
        <v>0</v>
      </c>
      <c r="M906" s="1">
        <v>0</v>
      </c>
      <c r="N906" s="1" t="s">
        <v>122</v>
      </c>
      <c r="O906" s="1">
        <v>0.57142857000000002</v>
      </c>
      <c r="P906" s="1">
        <v>0.12</v>
      </c>
      <c r="Q906" s="83">
        <v>86469.166800000006</v>
      </c>
      <c r="R906" s="83">
        <v>86469.166800000006</v>
      </c>
      <c r="S906" s="1">
        <v>86469.166800000006</v>
      </c>
      <c r="T906" s="83">
        <v>0</v>
      </c>
      <c r="U906" s="1" t="s">
        <v>122</v>
      </c>
      <c r="V906" s="1" t="s">
        <v>836</v>
      </c>
      <c r="W906" s="1">
        <v>4781.60363426</v>
      </c>
      <c r="X906" s="1"/>
      <c r="Y906" s="83" t="str">
        <f>VLOOKUP(LossTable[[#This Row],[Department]],$A$15:$B$40,2,FALSE)</f>
        <v>TP</v>
      </c>
    </row>
    <row r="907" spans="4:25" x14ac:dyDescent="0.25">
      <c r="D907" s="78">
        <v>474078</v>
      </c>
      <c r="E907" s="78">
        <v>280014790</v>
      </c>
      <c r="F907" s="83" t="s">
        <v>94</v>
      </c>
      <c r="G907" s="1" t="s">
        <v>604</v>
      </c>
      <c r="H907" s="1" t="s">
        <v>16</v>
      </c>
      <c r="I907" s="1" t="s">
        <v>605</v>
      </c>
      <c r="J907" s="1">
        <v>87500</v>
      </c>
      <c r="K907" s="1">
        <v>5000000</v>
      </c>
      <c r="L907" s="1">
        <v>0</v>
      </c>
      <c r="M907" s="1">
        <v>0</v>
      </c>
      <c r="N907" s="1" t="s">
        <v>122</v>
      </c>
      <c r="O907" s="1">
        <v>0.28499999999999998</v>
      </c>
      <c r="P907" s="1">
        <v>1.7500000000000002E-2</v>
      </c>
      <c r="Q907" s="83">
        <v>3.4646499999999998</v>
      </c>
      <c r="R907" s="83">
        <v>3.4646499999999998</v>
      </c>
      <c r="S907" s="1">
        <v>3.4646499999999998</v>
      </c>
      <c r="T907" s="83">
        <v>0</v>
      </c>
      <c r="U907" s="1" t="s">
        <v>122</v>
      </c>
      <c r="V907" s="1" t="s">
        <v>836</v>
      </c>
      <c r="W907" s="1">
        <v>4781.60363426</v>
      </c>
      <c r="X907" s="1"/>
      <c r="Y907" s="83" t="str">
        <f>VLOOKUP(LossTable[[#This Row],[Department]],$A$15:$B$40,2,FALSE)</f>
        <v>TP</v>
      </c>
    </row>
    <row r="908" spans="4:25" x14ac:dyDescent="0.25">
      <c r="D908" s="78">
        <v>475911</v>
      </c>
      <c r="E908" s="78">
        <v>280014790</v>
      </c>
      <c r="F908" s="83" t="s">
        <v>94</v>
      </c>
      <c r="G908" s="1" t="s">
        <v>690</v>
      </c>
      <c r="H908" s="1" t="s">
        <v>14</v>
      </c>
      <c r="I908" s="1" t="s">
        <v>691</v>
      </c>
      <c r="J908" s="1">
        <v>73500000</v>
      </c>
      <c r="K908" s="1">
        <v>490000000</v>
      </c>
      <c r="L908" s="1">
        <v>0</v>
      </c>
      <c r="M908" s="1">
        <v>0</v>
      </c>
      <c r="N908" s="1" t="s">
        <v>692</v>
      </c>
      <c r="O908" s="1">
        <v>0.46938775999999999</v>
      </c>
      <c r="P908" s="1">
        <v>0.15</v>
      </c>
      <c r="Q908" s="83">
        <v>1246002.4454999999</v>
      </c>
      <c r="R908" s="83">
        <v>1246002.4454999999</v>
      </c>
      <c r="S908" s="1">
        <v>1246002.4454999999</v>
      </c>
      <c r="T908" s="83">
        <v>0</v>
      </c>
      <c r="U908" s="1" t="s">
        <v>122</v>
      </c>
      <c r="V908" s="1" t="s">
        <v>836</v>
      </c>
      <c r="W908" s="1">
        <v>4781.60363426</v>
      </c>
      <c r="X908" s="1"/>
      <c r="Y908" s="83" t="str">
        <f>VLOOKUP(LossTable[[#This Row],[Department]],$A$15:$B$40,2,FALSE)</f>
        <v>TP</v>
      </c>
    </row>
    <row r="909" spans="4:25" x14ac:dyDescent="0.25">
      <c r="D909" s="78">
        <v>476659</v>
      </c>
      <c r="E909" s="78">
        <v>280014790</v>
      </c>
      <c r="F909" s="83" t="s">
        <v>45</v>
      </c>
      <c r="G909" s="1" t="s">
        <v>669</v>
      </c>
      <c r="H909" s="1" t="s">
        <v>16</v>
      </c>
      <c r="I909" s="1" t="s">
        <v>769</v>
      </c>
      <c r="J909" s="1">
        <v>500000</v>
      </c>
      <c r="K909" s="1">
        <v>5000000</v>
      </c>
      <c r="L909" s="1">
        <v>0</v>
      </c>
      <c r="M909" s="1">
        <v>0</v>
      </c>
      <c r="N909" s="1" t="s">
        <v>475</v>
      </c>
      <c r="O909" s="1">
        <v>0.17499999999999999</v>
      </c>
      <c r="P909" s="1">
        <v>0.1</v>
      </c>
      <c r="Q909" s="83">
        <v>35.832999999999998</v>
      </c>
      <c r="R909" s="83">
        <v>35.832999999999998</v>
      </c>
      <c r="S909" s="1">
        <v>35.832999999999998</v>
      </c>
      <c r="T909" s="83">
        <v>6.2318472900000002</v>
      </c>
      <c r="U909" s="1" t="s">
        <v>122</v>
      </c>
      <c r="V909" s="1" t="s">
        <v>836</v>
      </c>
      <c r="W909" s="1">
        <v>4781.60363426</v>
      </c>
      <c r="X909" s="1"/>
      <c r="Y909" s="83" t="str">
        <f>VLOOKUP(LossTable[[#This Row],[Department]],$A$15:$B$40,2,FALSE)</f>
        <v>FP</v>
      </c>
    </row>
    <row r="910" spans="4:25" x14ac:dyDescent="0.25">
      <c r="D910" s="78">
        <v>480016</v>
      </c>
      <c r="E910" s="78">
        <v>280014790</v>
      </c>
      <c r="F910" s="83" t="s">
        <v>94</v>
      </c>
      <c r="G910" s="1" t="s">
        <v>724</v>
      </c>
      <c r="H910" s="1" t="s">
        <v>16</v>
      </c>
      <c r="I910" s="1" t="s">
        <v>725</v>
      </c>
      <c r="J910" s="1">
        <v>2800000</v>
      </c>
      <c r="K910" s="1">
        <v>70000000</v>
      </c>
      <c r="L910" s="1">
        <v>0</v>
      </c>
      <c r="M910" s="1">
        <v>0</v>
      </c>
      <c r="N910" s="1" t="s">
        <v>122</v>
      </c>
      <c r="O910" s="1">
        <v>0.5427862</v>
      </c>
      <c r="P910" s="1">
        <v>0.04</v>
      </c>
      <c r="Q910" s="83">
        <v>91.167199999999994</v>
      </c>
      <c r="R910" s="83">
        <v>91.167199999999994</v>
      </c>
      <c r="S910" s="1">
        <v>91.167199999999994</v>
      </c>
      <c r="T910" s="83">
        <v>0</v>
      </c>
      <c r="U910" s="1" t="s">
        <v>122</v>
      </c>
      <c r="V910" s="1" t="s">
        <v>836</v>
      </c>
      <c r="W910" s="1">
        <v>4781.60363426</v>
      </c>
      <c r="X910" s="1"/>
      <c r="Y910" s="83" t="str">
        <f>VLOOKUP(LossTable[[#This Row],[Department]],$A$15:$B$40,2,FALSE)</f>
        <v>TP</v>
      </c>
    </row>
    <row r="911" spans="4:25" x14ac:dyDescent="0.25">
      <c r="D911" s="78">
        <v>480232</v>
      </c>
      <c r="E911" s="78">
        <v>280014790</v>
      </c>
      <c r="F911" s="83" t="s">
        <v>94</v>
      </c>
      <c r="G911" s="1" t="s">
        <v>783</v>
      </c>
      <c r="H911" s="1" t="s">
        <v>16</v>
      </c>
      <c r="I911" s="1" t="s">
        <v>784</v>
      </c>
      <c r="J911" s="1">
        <v>473527.0416</v>
      </c>
      <c r="K911" s="1">
        <v>5919088.0199999996</v>
      </c>
      <c r="L911" s="1">
        <v>0</v>
      </c>
      <c r="M911" s="1">
        <v>0</v>
      </c>
      <c r="N911" s="1" t="s">
        <v>122</v>
      </c>
      <c r="O911" s="1">
        <v>0.2475</v>
      </c>
      <c r="P911" s="1">
        <v>0.08</v>
      </c>
      <c r="Q911" s="83">
        <v>855.3664</v>
      </c>
      <c r="R911" s="83">
        <v>855.3664</v>
      </c>
      <c r="S911" s="1">
        <v>855.3664</v>
      </c>
      <c r="T911" s="83">
        <v>0</v>
      </c>
      <c r="U911" s="1" t="s">
        <v>122</v>
      </c>
      <c r="V911" s="1" t="s">
        <v>836</v>
      </c>
      <c r="W911" s="1">
        <v>4781.60363426</v>
      </c>
      <c r="X911" s="1"/>
      <c r="Y911" s="83" t="str">
        <f>VLOOKUP(LossTable[[#This Row],[Department]],$A$15:$B$40,2,FALSE)</f>
        <v>TP</v>
      </c>
    </row>
    <row r="912" spans="4:25" x14ac:dyDescent="0.25">
      <c r="D912" s="78">
        <v>481424</v>
      </c>
      <c r="E912" s="78">
        <v>280014790</v>
      </c>
      <c r="F912" s="83" t="s">
        <v>94</v>
      </c>
      <c r="G912" s="1" t="s">
        <v>778</v>
      </c>
      <c r="H912" s="1" t="s">
        <v>24</v>
      </c>
      <c r="I912" s="1" t="s">
        <v>779</v>
      </c>
      <c r="J912" s="1">
        <v>3200000</v>
      </c>
      <c r="K912" s="1">
        <v>160000000</v>
      </c>
      <c r="L912" s="1">
        <v>0</v>
      </c>
      <c r="M912" s="1">
        <v>0</v>
      </c>
      <c r="N912" s="1" t="s">
        <v>780</v>
      </c>
      <c r="O912" s="1">
        <v>0.25624999999999998</v>
      </c>
      <c r="P912" s="1">
        <v>0.02</v>
      </c>
      <c r="Q912" s="83">
        <v>1255.5558000000001</v>
      </c>
      <c r="R912" s="83">
        <v>1255.5558000000001</v>
      </c>
      <c r="S912" s="1">
        <v>1255.5558000000001</v>
      </c>
      <c r="T912" s="83">
        <v>0</v>
      </c>
      <c r="U912" s="1" t="s">
        <v>122</v>
      </c>
      <c r="V912" s="1" t="s">
        <v>836</v>
      </c>
      <c r="W912" s="1">
        <v>4781.60363426</v>
      </c>
      <c r="X912" s="1"/>
      <c r="Y912" s="83" t="str">
        <f>VLOOKUP(LossTable[[#This Row],[Department]],$A$15:$B$40,2,FALSE)</f>
        <v>TP</v>
      </c>
    </row>
    <row r="913" spans="4:25" x14ac:dyDescent="0.25">
      <c r="D913" s="78">
        <v>483216</v>
      </c>
      <c r="E913" s="78">
        <v>280014790</v>
      </c>
      <c r="F913" s="83" t="s">
        <v>12</v>
      </c>
      <c r="G913" s="1" t="s">
        <v>722</v>
      </c>
      <c r="H913" s="1" t="s">
        <v>14</v>
      </c>
      <c r="I913" s="1" t="s">
        <v>723</v>
      </c>
      <c r="J913" s="1">
        <v>5000000</v>
      </c>
      <c r="K913" s="1">
        <v>100000000</v>
      </c>
      <c r="L913" s="1">
        <v>0</v>
      </c>
      <c r="M913" s="1">
        <v>0</v>
      </c>
      <c r="N913" s="1" t="s">
        <v>122</v>
      </c>
      <c r="O913" s="1">
        <v>0.59799999999999998</v>
      </c>
      <c r="P913" s="1">
        <v>0.05</v>
      </c>
      <c r="Q913" s="83">
        <v>36508.058499999999</v>
      </c>
      <c r="R913" s="83">
        <v>36508.058499999999</v>
      </c>
      <c r="S913" s="1">
        <v>36508.058499999999</v>
      </c>
      <c r="T913" s="83">
        <v>0</v>
      </c>
      <c r="U913" s="1" t="s">
        <v>122</v>
      </c>
      <c r="V913" s="1" t="s">
        <v>836</v>
      </c>
      <c r="W913" s="1">
        <v>4781.60363426</v>
      </c>
      <c r="X913" s="1"/>
      <c r="Y913" s="83" t="str">
        <f>VLOOKUP(LossTable[[#This Row],[Department]],$A$15:$B$40,2,FALSE)</f>
        <v>Bermuda</v>
      </c>
    </row>
    <row r="914" spans="4:25" x14ac:dyDescent="0.25">
      <c r="D914" s="78">
        <v>483235</v>
      </c>
      <c r="E914" s="78">
        <v>280014790</v>
      </c>
      <c r="F914" s="83" t="s">
        <v>94</v>
      </c>
      <c r="G914" s="1" t="s">
        <v>803</v>
      </c>
      <c r="H914" s="1" t="s">
        <v>16</v>
      </c>
      <c r="I914" s="1" t="s">
        <v>804</v>
      </c>
      <c r="J914" s="1">
        <v>200000</v>
      </c>
      <c r="K914" s="1">
        <v>8000000</v>
      </c>
      <c r="L914" s="1">
        <v>0</v>
      </c>
      <c r="M914" s="1">
        <v>0</v>
      </c>
      <c r="N914" s="1" t="s">
        <v>122</v>
      </c>
      <c r="O914" s="1">
        <v>0.77500000000000002</v>
      </c>
      <c r="P914" s="1">
        <v>2.5000000000000001E-2</v>
      </c>
      <c r="Q914" s="83">
        <v>6.6137499999999996</v>
      </c>
      <c r="R914" s="83">
        <v>6.6137499999999996</v>
      </c>
      <c r="S914" s="1">
        <v>6.6137499999999996</v>
      </c>
      <c r="T914" s="83">
        <v>0</v>
      </c>
      <c r="U914" s="1" t="s">
        <v>122</v>
      </c>
      <c r="V914" s="1" t="s">
        <v>836</v>
      </c>
      <c r="W914" s="1">
        <v>4781.60363426</v>
      </c>
      <c r="X914" s="1"/>
      <c r="Y914" s="83" t="str">
        <f>VLOOKUP(LossTable[[#This Row],[Department]],$A$15:$B$40,2,FALSE)</f>
        <v>TP</v>
      </c>
    </row>
    <row r="915" spans="4:25" x14ac:dyDescent="0.25">
      <c r="D915" s="78">
        <v>485405</v>
      </c>
      <c r="E915" s="78">
        <v>280014790</v>
      </c>
      <c r="F915" s="83" t="s">
        <v>94</v>
      </c>
      <c r="G915" s="1" t="s">
        <v>734</v>
      </c>
      <c r="H915" s="1" t="s">
        <v>14</v>
      </c>
      <c r="I915" s="1" t="s">
        <v>735</v>
      </c>
      <c r="J915" s="1">
        <v>8400000</v>
      </c>
      <c r="K915" s="1">
        <v>280000000</v>
      </c>
      <c r="L915" s="1">
        <v>0</v>
      </c>
      <c r="M915" s="1">
        <v>0</v>
      </c>
      <c r="N915" s="1" t="s">
        <v>122</v>
      </c>
      <c r="O915" s="1">
        <v>1.3674022100000001</v>
      </c>
      <c r="P915" s="1">
        <v>0.03</v>
      </c>
      <c r="Q915" s="83">
        <v>132199.34969999999</v>
      </c>
      <c r="R915" s="83">
        <v>132199.34969999999</v>
      </c>
      <c r="S915" s="1">
        <v>132199.34969999999</v>
      </c>
      <c r="T915" s="83">
        <v>0</v>
      </c>
      <c r="U915" s="1" t="s">
        <v>122</v>
      </c>
      <c r="V915" s="1" t="s">
        <v>836</v>
      </c>
      <c r="W915" s="1">
        <v>4781.60363426</v>
      </c>
      <c r="X915" s="1"/>
      <c r="Y915" s="83" t="str">
        <f>VLOOKUP(LossTable[[#This Row],[Department]],$A$15:$B$40,2,FALSE)</f>
        <v>TP</v>
      </c>
    </row>
    <row r="916" spans="4:25" x14ac:dyDescent="0.25">
      <c r="D916" s="78">
        <v>486179</v>
      </c>
      <c r="E916" s="78">
        <v>280014790</v>
      </c>
      <c r="F916" s="83" t="s">
        <v>12</v>
      </c>
      <c r="G916" s="1" t="s">
        <v>752</v>
      </c>
      <c r="H916" s="1" t="s">
        <v>14</v>
      </c>
      <c r="I916" s="1" t="s">
        <v>753</v>
      </c>
      <c r="J916" s="1">
        <v>14700000</v>
      </c>
      <c r="K916" s="1">
        <v>490000000</v>
      </c>
      <c r="L916" s="1">
        <v>0</v>
      </c>
      <c r="M916" s="1">
        <v>0</v>
      </c>
      <c r="N916" s="1" t="s">
        <v>692</v>
      </c>
      <c r="O916" s="1">
        <v>0.46938775999999999</v>
      </c>
      <c r="P916" s="1">
        <v>0.03</v>
      </c>
      <c r="Q916" s="83">
        <v>249204.19500000001</v>
      </c>
      <c r="R916" s="83">
        <v>249204.19500000001</v>
      </c>
      <c r="S916" s="1">
        <v>249204.19500000001</v>
      </c>
      <c r="T916" s="83">
        <v>0</v>
      </c>
      <c r="U916" s="1" t="s">
        <v>122</v>
      </c>
      <c r="V916" s="1" t="s">
        <v>836</v>
      </c>
      <c r="W916" s="1">
        <v>4781.60363426</v>
      </c>
      <c r="X916" s="1"/>
      <c r="Y916" s="83" t="str">
        <f>VLOOKUP(LossTable[[#This Row],[Department]],$A$15:$B$40,2,FALSE)</f>
        <v>Bermuda</v>
      </c>
    </row>
    <row r="917" spans="4:25" x14ac:dyDescent="0.25">
      <c r="D917" s="78">
        <v>103</v>
      </c>
      <c r="E917" s="78">
        <v>280014790</v>
      </c>
      <c r="F917" s="83" t="s">
        <v>86</v>
      </c>
      <c r="G917" s="1" t="s">
        <v>217</v>
      </c>
      <c r="H917" s="1" t="s">
        <v>16</v>
      </c>
      <c r="I917" s="1" t="s">
        <v>217</v>
      </c>
      <c r="J917" s="1">
        <v>266144997.75758201</v>
      </c>
      <c r="K917" s="1">
        <v>0</v>
      </c>
      <c r="L917" s="1">
        <v>0</v>
      </c>
      <c r="M917" s="1">
        <v>0</v>
      </c>
      <c r="N917" s="1" t="s">
        <v>44</v>
      </c>
      <c r="O917" s="1">
        <v>0</v>
      </c>
      <c r="P917" s="1">
        <v>1</v>
      </c>
      <c r="Q917" s="83">
        <v>5255.4737800000003</v>
      </c>
      <c r="R917" s="83">
        <v>5255.4737800000003</v>
      </c>
      <c r="S917" s="1">
        <v>5255.4737800000003</v>
      </c>
      <c r="T917" s="83">
        <v>0</v>
      </c>
      <c r="U917" s="1" t="s">
        <v>122</v>
      </c>
      <c r="V917" s="1" t="s">
        <v>836</v>
      </c>
      <c r="W917" s="1">
        <v>4781.60363426</v>
      </c>
      <c r="X917" s="1"/>
      <c r="Y917" s="83" t="str">
        <f>VLOOKUP(LossTable[[#This Row],[Department]],$A$15:$B$40,2,FALSE)</f>
        <v>FP</v>
      </c>
    </row>
    <row r="918" spans="4:25" x14ac:dyDescent="0.25">
      <c r="D918" s="78">
        <v>122</v>
      </c>
      <c r="E918" s="78">
        <v>280014790</v>
      </c>
      <c r="F918" s="83" t="s">
        <v>92</v>
      </c>
      <c r="G918" s="1" t="s">
        <v>220</v>
      </c>
      <c r="H918" s="1" t="s">
        <v>16</v>
      </c>
      <c r="I918" s="1" t="s">
        <v>220</v>
      </c>
      <c r="J918" s="1">
        <v>63556412.625237398</v>
      </c>
      <c r="K918" s="1">
        <v>0</v>
      </c>
      <c r="L918" s="1">
        <v>0</v>
      </c>
      <c r="M918" s="1">
        <v>0</v>
      </c>
      <c r="N918" s="1" t="s">
        <v>44</v>
      </c>
      <c r="O918" s="1">
        <v>0</v>
      </c>
      <c r="P918" s="1">
        <v>1</v>
      </c>
      <c r="Q918" s="83">
        <v>4561.2846440000003</v>
      </c>
      <c r="R918" s="83">
        <v>4561.2846440000003</v>
      </c>
      <c r="S918" s="1">
        <v>4561.2846440000003</v>
      </c>
      <c r="T918" s="83">
        <v>0</v>
      </c>
      <c r="U918" s="1" t="s">
        <v>122</v>
      </c>
      <c r="V918" s="1" t="s">
        <v>836</v>
      </c>
      <c r="W918" s="1">
        <v>4781.60363426</v>
      </c>
      <c r="X918" s="1"/>
      <c r="Y918" s="83" t="str">
        <f>VLOOKUP(LossTable[[#This Row],[Department]],$A$15:$B$40,2,FALSE)</f>
        <v>FP</v>
      </c>
    </row>
    <row r="919" spans="4:25" x14ac:dyDescent="0.25">
      <c r="D919" s="78">
        <v>129</v>
      </c>
      <c r="E919" s="78">
        <v>280014790</v>
      </c>
      <c r="F919" s="83" t="s">
        <v>92</v>
      </c>
      <c r="G919" s="1" t="s">
        <v>220</v>
      </c>
      <c r="H919" s="1" t="s">
        <v>16</v>
      </c>
      <c r="I919" s="1" t="s">
        <v>220</v>
      </c>
      <c r="J919" s="1">
        <v>62314120.225133099</v>
      </c>
      <c r="K919" s="1">
        <v>0</v>
      </c>
      <c r="L919" s="1">
        <v>0</v>
      </c>
      <c r="M919" s="1">
        <v>0</v>
      </c>
      <c r="N919" s="1" t="s">
        <v>44</v>
      </c>
      <c r="O919" s="1">
        <v>0</v>
      </c>
      <c r="P919" s="1">
        <v>1</v>
      </c>
      <c r="Q919" s="83">
        <v>181.516458</v>
      </c>
      <c r="R919" s="83">
        <v>181.516458</v>
      </c>
      <c r="S919" s="1">
        <v>181.516458</v>
      </c>
      <c r="T919" s="83">
        <v>0</v>
      </c>
      <c r="U919" s="1" t="s">
        <v>122</v>
      </c>
      <c r="V919" s="1" t="s">
        <v>836</v>
      </c>
      <c r="W919" s="1">
        <v>4781.60363426</v>
      </c>
      <c r="X919" s="1"/>
      <c r="Y919" s="83" t="str">
        <f>VLOOKUP(LossTable[[#This Row],[Department]],$A$15:$B$40,2,FALSE)</f>
        <v>FP</v>
      </c>
    </row>
    <row r="920" spans="4:25" x14ac:dyDescent="0.25">
      <c r="D920" s="78">
        <v>141</v>
      </c>
      <c r="E920" s="78">
        <v>280014790</v>
      </c>
      <c r="F920" s="83" t="s">
        <v>45</v>
      </c>
      <c r="G920" s="1" t="s">
        <v>46</v>
      </c>
      <c r="H920" s="1" t="s">
        <v>16</v>
      </c>
      <c r="I920" s="1" t="s">
        <v>46</v>
      </c>
      <c r="J920" s="1">
        <v>58990116</v>
      </c>
      <c r="K920" s="1">
        <v>0</v>
      </c>
      <c r="L920" s="1">
        <v>0</v>
      </c>
      <c r="M920" s="1">
        <v>0</v>
      </c>
      <c r="N920" s="1" t="s">
        <v>44</v>
      </c>
      <c r="O920" s="1">
        <v>0</v>
      </c>
      <c r="P920" s="1">
        <v>1</v>
      </c>
      <c r="Q920" s="83">
        <v>17861.751349999999</v>
      </c>
      <c r="R920" s="83">
        <v>17861.751349999999</v>
      </c>
      <c r="S920" s="1">
        <v>17861.751349999999</v>
      </c>
      <c r="T920" s="83">
        <v>0</v>
      </c>
      <c r="U920" s="1" t="s">
        <v>122</v>
      </c>
      <c r="V920" s="1" t="s">
        <v>836</v>
      </c>
      <c r="W920" s="1">
        <v>4781.60363426</v>
      </c>
      <c r="X920" s="1"/>
      <c r="Y920" s="83" t="str">
        <f>VLOOKUP(LossTable[[#This Row],[Department]],$A$15:$B$40,2,FALSE)</f>
        <v>FP</v>
      </c>
    </row>
    <row r="921" spans="4:25" x14ac:dyDescent="0.25">
      <c r="D921" s="78">
        <v>424514</v>
      </c>
      <c r="E921" s="78">
        <v>280014790</v>
      </c>
      <c r="F921" s="83" t="s">
        <v>127</v>
      </c>
      <c r="G921" s="1" t="s">
        <v>326</v>
      </c>
      <c r="H921" s="1" t="s">
        <v>14</v>
      </c>
      <c r="I921" s="1" t="s">
        <v>327</v>
      </c>
      <c r="J921" s="1">
        <v>21503083.149999999</v>
      </c>
      <c r="K921" s="1">
        <v>21503083.149999999</v>
      </c>
      <c r="L921" s="1">
        <v>0</v>
      </c>
      <c r="M921" s="1">
        <v>0</v>
      </c>
      <c r="N921" s="1" t="s">
        <v>14</v>
      </c>
      <c r="O921" s="1">
        <v>6.9757400000000002E-3</v>
      </c>
      <c r="P921" s="1">
        <v>1</v>
      </c>
      <c r="Q921" s="83">
        <v>90.12</v>
      </c>
      <c r="R921" s="83">
        <v>90.12</v>
      </c>
      <c r="S921" s="1">
        <v>90.12</v>
      </c>
      <c r="T921" s="83">
        <v>0</v>
      </c>
      <c r="U921" s="1" t="s">
        <v>122</v>
      </c>
      <c r="V921" s="1" t="s">
        <v>836</v>
      </c>
      <c r="W921" s="1">
        <v>4781.60363426</v>
      </c>
      <c r="X921" s="1"/>
      <c r="Y921" s="83" t="str">
        <f>VLOOKUP(LossTable[[#This Row],[Department]],$A$15:$B$40,2,FALSE)</f>
        <v>Insurance</v>
      </c>
    </row>
    <row r="922" spans="4:25" x14ac:dyDescent="0.25">
      <c r="D922" s="78">
        <v>426794</v>
      </c>
      <c r="E922" s="78">
        <v>280014790</v>
      </c>
      <c r="F922" s="83" t="s">
        <v>45</v>
      </c>
      <c r="G922" s="1" t="s">
        <v>289</v>
      </c>
      <c r="H922" s="1" t="s">
        <v>16</v>
      </c>
      <c r="I922" s="1" t="s">
        <v>290</v>
      </c>
      <c r="J922" s="1">
        <v>6499999.7999999998</v>
      </c>
      <c r="K922" s="1">
        <v>60000000</v>
      </c>
      <c r="L922" s="1">
        <v>0</v>
      </c>
      <c r="M922" s="1">
        <v>0</v>
      </c>
      <c r="N922" s="1" t="s">
        <v>291</v>
      </c>
      <c r="O922" s="1">
        <v>0.21676117</v>
      </c>
      <c r="P922" s="1">
        <v>0.10833333000000001</v>
      </c>
      <c r="Q922" s="83">
        <v>149.5357454</v>
      </c>
      <c r="R922" s="83">
        <v>149.5357454</v>
      </c>
      <c r="S922" s="1">
        <v>149.5357454</v>
      </c>
      <c r="T922" s="83">
        <v>0</v>
      </c>
      <c r="U922" s="1" t="s">
        <v>122</v>
      </c>
      <c r="V922" s="1" t="s">
        <v>836</v>
      </c>
      <c r="W922" s="1">
        <v>4781.60363426</v>
      </c>
      <c r="X922" s="1"/>
      <c r="Y922" s="83" t="str">
        <f>VLOOKUP(LossTable[[#This Row],[Department]],$A$15:$B$40,2,FALSE)</f>
        <v>FP</v>
      </c>
    </row>
    <row r="923" spans="4:25" x14ac:dyDescent="0.25">
      <c r="D923" s="78">
        <v>427960</v>
      </c>
      <c r="E923" s="78">
        <v>280014790</v>
      </c>
      <c r="F923" s="83" t="s">
        <v>94</v>
      </c>
      <c r="G923" s="1" t="s">
        <v>344</v>
      </c>
      <c r="H923" s="1" t="s">
        <v>16</v>
      </c>
      <c r="I923" s="1" t="s">
        <v>345</v>
      </c>
      <c r="J923" s="1">
        <v>180000</v>
      </c>
      <c r="K923" s="1">
        <v>9000000</v>
      </c>
      <c r="L923" s="1">
        <v>0</v>
      </c>
      <c r="M923" s="1">
        <v>0</v>
      </c>
      <c r="N923" s="1" t="s">
        <v>346</v>
      </c>
      <c r="O923" s="1">
        <v>1.93333321</v>
      </c>
      <c r="P923" s="1">
        <v>0.02</v>
      </c>
      <c r="Q923" s="83">
        <v>5087.3739999999998</v>
      </c>
      <c r="R923" s="83">
        <v>5087.3739999999998</v>
      </c>
      <c r="S923" s="1">
        <v>5087.3739999999998</v>
      </c>
      <c r="T923" s="83">
        <v>0</v>
      </c>
      <c r="U923" s="1" t="s">
        <v>122</v>
      </c>
      <c r="V923" s="1" t="s">
        <v>836</v>
      </c>
      <c r="W923" s="1">
        <v>4781.60363426</v>
      </c>
      <c r="X923" s="1"/>
      <c r="Y923" s="83" t="str">
        <f>VLOOKUP(LossTable[[#This Row],[Department]],$A$15:$B$40,2,FALSE)</f>
        <v>TP</v>
      </c>
    </row>
    <row r="924" spans="4:25" x14ac:dyDescent="0.25">
      <c r="D924" s="78">
        <v>428943</v>
      </c>
      <c r="E924" s="78">
        <v>280014790</v>
      </c>
      <c r="F924" s="83" t="s">
        <v>12</v>
      </c>
      <c r="G924" s="1" t="s">
        <v>262</v>
      </c>
      <c r="H924" s="1" t="s">
        <v>14</v>
      </c>
      <c r="I924" s="1" t="s">
        <v>263</v>
      </c>
      <c r="J924" s="1">
        <v>65700000</v>
      </c>
      <c r="K924" s="1">
        <v>1314000000</v>
      </c>
      <c r="L924" s="1">
        <v>0</v>
      </c>
      <c r="M924" s="1">
        <v>0</v>
      </c>
      <c r="N924" s="1" t="s">
        <v>162</v>
      </c>
      <c r="O924" s="1">
        <v>2.9524310800000002</v>
      </c>
      <c r="P924" s="1">
        <v>0.05</v>
      </c>
      <c r="Q924" s="83">
        <v>829417.86300000001</v>
      </c>
      <c r="R924" s="83">
        <v>829417.86300000001</v>
      </c>
      <c r="S924" s="1">
        <v>829417.86300000001</v>
      </c>
      <c r="T924" s="83">
        <v>0</v>
      </c>
      <c r="U924" s="1" t="s">
        <v>122</v>
      </c>
      <c r="V924" s="1" t="s">
        <v>836</v>
      </c>
      <c r="W924" s="1">
        <v>4781.60363426</v>
      </c>
      <c r="X924" s="1"/>
      <c r="Y924" s="83" t="str">
        <f>VLOOKUP(LossTable[[#This Row],[Department]],$A$15:$B$40,2,FALSE)</f>
        <v>Bermuda</v>
      </c>
    </row>
    <row r="925" spans="4:25" x14ac:dyDescent="0.25">
      <c r="D925" s="78">
        <v>429399</v>
      </c>
      <c r="E925" s="78">
        <v>280014790</v>
      </c>
      <c r="F925" s="83" t="s">
        <v>45</v>
      </c>
      <c r="G925" s="1" t="s">
        <v>296</v>
      </c>
      <c r="H925" s="1" t="s">
        <v>16</v>
      </c>
      <c r="I925" s="1" t="s">
        <v>297</v>
      </c>
      <c r="J925" s="1">
        <v>15000000</v>
      </c>
      <c r="K925" s="1">
        <v>500000000</v>
      </c>
      <c r="L925" s="1">
        <v>0</v>
      </c>
      <c r="M925" s="1">
        <v>0</v>
      </c>
      <c r="N925" s="1" t="s">
        <v>298</v>
      </c>
      <c r="O925" s="1">
        <v>2.1080000000000002E-2</v>
      </c>
      <c r="P925" s="1">
        <v>0.03</v>
      </c>
      <c r="Q925" s="83">
        <v>2263.674</v>
      </c>
      <c r="R925" s="83">
        <v>2263.674</v>
      </c>
      <c r="S925" s="1">
        <v>2263.674</v>
      </c>
      <c r="T925" s="83">
        <v>0</v>
      </c>
      <c r="U925" s="1" t="s">
        <v>122</v>
      </c>
      <c r="V925" s="1" t="s">
        <v>836</v>
      </c>
      <c r="W925" s="1">
        <v>4781.60363426</v>
      </c>
      <c r="X925" s="1"/>
      <c r="Y925" s="83" t="str">
        <f>VLOOKUP(LossTable[[#This Row],[Department]],$A$15:$B$40,2,FALSE)</f>
        <v>FP</v>
      </c>
    </row>
    <row r="926" spans="4:25" x14ac:dyDescent="0.25">
      <c r="D926" s="78">
        <v>431322</v>
      </c>
      <c r="E926" s="78">
        <v>280014790</v>
      </c>
      <c r="F926" s="83" t="s">
        <v>94</v>
      </c>
      <c r="G926" s="1" t="s">
        <v>269</v>
      </c>
      <c r="H926" s="1" t="s">
        <v>16</v>
      </c>
      <c r="I926" s="1" t="s">
        <v>351</v>
      </c>
      <c r="J926" s="1">
        <v>127842</v>
      </c>
      <c r="K926" s="1">
        <v>2556840</v>
      </c>
      <c r="L926" s="1">
        <v>0</v>
      </c>
      <c r="M926" s="1">
        <v>0</v>
      </c>
      <c r="N926" s="1" t="s">
        <v>352</v>
      </c>
      <c r="O926" s="1">
        <v>1.2004377500000001</v>
      </c>
      <c r="P926" s="1">
        <v>0.05</v>
      </c>
      <c r="Q926" s="83">
        <v>2543.2235000000001</v>
      </c>
      <c r="R926" s="83">
        <v>2543.2235000000001</v>
      </c>
      <c r="S926" s="1">
        <v>2543.2235000000001</v>
      </c>
      <c r="T926" s="83">
        <v>0</v>
      </c>
      <c r="U926" s="1" t="s">
        <v>122</v>
      </c>
      <c r="V926" s="1" t="s">
        <v>836</v>
      </c>
      <c r="W926" s="1">
        <v>4781.60363426</v>
      </c>
      <c r="X926" s="1"/>
      <c r="Y926" s="83" t="str">
        <f>VLOOKUP(LossTable[[#This Row],[Department]],$A$15:$B$40,2,FALSE)</f>
        <v>TP</v>
      </c>
    </row>
    <row r="927" spans="4:25" x14ac:dyDescent="0.25">
      <c r="D927" s="78">
        <v>431334</v>
      </c>
      <c r="E927" s="78">
        <v>280014790</v>
      </c>
      <c r="F927" s="83" t="s">
        <v>94</v>
      </c>
      <c r="G927" s="1" t="s">
        <v>255</v>
      </c>
      <c r="H927" s="1" t="s">
        <v>16</v>
      </c>
      <c r="I927" s="1" t="s">
        <v>353</v>
      </c>
      <c r="J927" s="1">
        <v>3000000</v>
      </c>
      <c r="K927" s="1">
        <v>20000000</v>
      </c>
      <c r="L927" s="1">
        <v>0</v>
      </c>
      <c r="M927" s="1">
        <v>0</v>
      </c>
      <c r="N927" s="1" t="s">
        <v>354</v>
      </c>
      <c r="O927" s="1">
        <v>0.4</v>
      </c>
      <c r="P927" s="1">
        <v>0.15</v>
      </c>
      <c r="Q927" s="83">
        <v>2744.3760000000002</v>
      </c>
      <c r="R927" s="83">
        <v>2744.3760000000002</v>
      </c>
      <c r="S927" s="1">
        <v>2744.3760000000002</v>
      </c>
      <c r="T927" s="83">
        <v>0</v>
      </c>
      <c r="U927" s="1" t="s">
        <v>122</v>
      </c>
      <c r="V927" s="1" t="s">
        <v>836</v>
      </c>
      <c r="W927" s="1">
        <v>4781.60363426</v>
      </c>
      <c r="X927" s="1"/>
      <c r="Y927" s="83" t="str">
        <f>VLOOKUP(LossTable[[#This Row],[Department]],$A$15:$B$40,2,FALSE)</f>
        <v>TP</v>
      </c>
    </row>
    <row r="928" spans="4:25" x14ac:dyDescent="0.25">
      <c r="D928" s="78">
        <v>432222</v>
      </c>
      <c r="E928" s="78">
        <v>280014790</v>
      </c>
      <c r="F928" s="83" t="s">
        <v>45</v>
      </c>
      <c r="G928" s="1" t="s">
        <v>363</v>
      </c>
      <c r="H928" s="1" t="s">
        <v>16</v>
      </c>
      <c r="I928" s="1" t="s">
        <v>364</v>
      </c>
      <c r="J928" s="1">
        <v>20000000</v>
      </c>
      <c r="K928" s="1">
        <v>200000000</v>
      </c>
      <c r="L928" s="1">
        <v>0</v>
      </c>
      <c r="M928" s="1">
        <v>0</v>
      </c>
      <c r="N928" s="1" t="s">
        <v>365</v>
      </c>
      <c r="O928" s="1">
        <v>4.6383510000000003E-2</v>
      </c>
      <c r="P928" s="1">
        <v>0.1</v>
      </c>
      <c r="Q928" s="83">
        <v>9124.8379999999997</v>
      </c>
      <c r="R928" s="83">
        <v>9124.8379999999997</v>
      </c>
      <c r="S928" s="1">
        <v>9124.8379999999997</v>
      </c>
      <c r="T928" s="83">
        <v>0</v>
      </c>
      <c r="U928" s="1" t="s">
        <v>122</v>
      </c>
      <c r="V928" s="1" t="s">
        <v>836</v>
      </c>
      <c r="W928" s="1">
        <v>4781.60363426</v>
      </c>
      <c r="X928" s="1"/>
      <c r="Y928" s="83" t="str">
        <f>VLOOKUP(LossTable[[#This Row],[Department]],$A$15:$B$40,2,FALSE)</f>
        <v>FP</v>
      </c>
    </row>
    <row r="929" spans="4:25" x14ac:dyDescent="0.25">
      <c r="D929" s="78">
        <v>432267</v>
      </c>
      <c r="E929" s="78">
        <v>280014790</v>
      </c>
      <c r="F929" s="83" t="s">
        <v>94</v>
      </c>
      <c r="G929" s="1" t="s">
        <v>287</v>
      </c>
      <c r="H929" s="1" t="s">
        <v>16</v>
      </c>
      <c r="I929" s="1" t="s">
        <v>288</v>
      </c>
      <c r="J929" s="1">
        <v>750000</v>
      </c>
      <c r="K929" s="1">
        <v>15000000</v>
      </c>
      <c r="L929" s="1">
        <v>0</v>
      </c>
      <c r="M929" s="1">
        <v>0</v>
      </c>
      <c r="N929" s="1" t="s">
        <v>274</v>
      </c>
      <c r="O929" s="1">
        <v>0.29499999999999998</v>
      </c>
      <c r="P929" s="1">
        <v>0.05</v>
      </c>
      <c r="Q929" s="83">
        <v>17.236000000000001</v>
      </c>
      <c r="R929" s="83">
        <v>17.236000000000001</v>
      </c>
      <c r="S929" s="1">
        <v>17.236000000000001</v>
      </c>
      <c r="T929" s="83">
        <v>0</v>
      </c>
      <c r="U929" s="1" t="s">
        <v>122</v>
      </c>
      <c r="V929" s="1" t="s">
        <v>836</v>
      </c>
      <c r="W929" s="1">
        <v>4781.60363426</v>
      </c>
      <c r="X929" s="1"/>
      <c r="Y929" s="83" t="str">
        <f>VLOOKUP(LossTable[[#This Row],[Department]],$A$15:$B$40,2,FALSE)</f>
        <v>TP</v>
      </c>
    </row>
    <row r="930" spans="4:25" x14ac:dyDescent="0.25">
      <c r="D930" s="78">
        <v>433117</v>
      </c>
      <c r="E930" s="78">
        <v>280014790</v>
      </c>
      <c r="F930" s="83" t="s">
        <v>45</v>
      </c>
      <c r="G930" s="1" t="s">
        <v>304</v>
      </c>
      <c r="H930" s="1" t="s">
        <v>14</v>
      </c>
      <c r="I930" s="1" t="s">
        <v>305</v>
      </c>
      <c r="J930" s="1">
        <v>42089350.185000002</v>
      </c>
      <c r="K930" s="1">
        <v>168357400.74000001</v>
      </c>
      <c r="L930" s="1">
        <v>0</v>
      </c>
      <c r="M930" s="1">
        <v>0</v>
      </c>
      <c r="N930" s="1" t="s">
        <v>14</v>
      </c>
      <c r="O930" s="1">
        <v>0.18977484999999999</v>
      </c>
      <c r="P930" s="1">
        <v>0.25</v>
      </c>
      <c r="Q930" s="83">
        <v>16461.2075</v>
      </c>
      <c r="R930" s="83">
        <v>16461.2075</v>
      </c>
      <c r="S930" s="1">
        <v>16461.2075</v>
      </c>
      <c r="T930" s="83">
        <v>0</v>
      </c>
      <c r="U930" s="1" t="s">
        <v>122</v>
      </c>
      <c r="V930" s="1" t="s">
        <v>836</v>
      </c>
      <c r="W930" s="1">
        <v>4781.60363426</v>
      </c>
      <c r="X930" s="1"/>
      <c r="Y930" s="83" t="str">
        <f>VLOOKUP(LossTable[[#This Row],[Department]],$A$15:$B$40,2,FALSE)</f>
        <v>FP</v>
      </c>
    </row>
    <row r="931" spans="4:25" x14ac:dyDescent="0.25">
      <c r="D931" s="78">
        <v>434259</v>
      </c>
      <c r="E931" s="78">
        <v>280014790</v>
      </c>
      <c r="F931" s="83" t="s">
        <v>94</v>
      </c>
      <c r="G931" s="1" t="s">
        <v>309</v>
      </c>
      <c r="H931" s="1" t="s">
        <v>14</v>
      </c>
      <c r="I931" s="1" t="s">
        <v>310</v>
      </c>
      <c r="J931" s="1">
        <v>875000</v>
      </c>
      <c r="K931" s="1">
        <v>35000000</v>
      </c>
      <c r="L931" s="1">
        <v>0</v>
      </c>
      <c r="M931" s="1">
        <v>0</v>
      </c>
      <c r="N931" s="1" t="s">
        <v>311</v>
      </c>
      <c r="O931" s="1">
        <v>3.97226846</v>
      </c>
      <c r="P931" s="1">
        <v>2.5000000000000001E-2</v>
      </c>
      <c r="Q931" s="83">
        <v>391341.1875</v>
      </c>
      <c r="R931" s="83">
        <v>391341.1875</v>
      </c>
      <c r="S931" s="1">
        <v>391341.1875</v>
      </c>
      <c r="T931" s="83">
        <v>0</v>
      </c>
      <c r="U931" s="1" t="s">
        <v>122</v>
      </c>
      <c r="V931" s="1" t="s">
        <v>836</v>
      </c>
      <c r="W931" s="1">
        <v>4781.60363426</v>
      </c>
      <c r="X931" s="1"/>
      <c r="Y931" s="83" t="str">
        <f>VLOOKUP(LossTable[[#This Row],[Department]],$A$15:$B$40,2,FALSE)</f>
        <v>TP</v>
      </c>
    </row>
    <row r="932" spans="4:25" x14ac:dyDescent="0.25">
      <c r="D932" s="78">
        <v>434658</v>
      </c>
      <c r="E932" s="78">
        <v>280014790</v>
      </c>
      <c r="F932" s="83" t="s">
        <v>94</v>
      </c>
      <c r="G932" s="1" t="s">
        <v>321</v>
      </c>
      <c r="H932" s="1" t="s">
        <v>16</v>
      </c>
      <c r="I932" s="1" t="s">
        <v>322</v>
      </c>
      <c r="J932" s="1">
        <v>450000</v>
      </c>
      <c r="K932" s="1">
        <v>15000000</v>
      </c>
      <c r="L932" s="1">
        <v>0</v>
      </c>
      <c r="M932" s="1">
        <v>0</v>
      </c>
      <c r="N932" s="1" t="s">
        <v>323</v>
      </c>
      <c r="O932" s="1">
        <v>0.88001543999999998</v>
      </c>
      <c r="P932" s="1">
        <v>0.03</v>
      </c>
      <c r="Q932" s="83">
        <v>346.49130000000002</v>
      </c>
      <c r="R932" s="83">
        <v>346.49130000000002</v>
      </c>
      <c r="S932" s="1">
        <v>346.49130000000002</v>
      </c>
      <c r="T932" s="83">
        <v>0</v>
      </c>
      <c r="U932" s="1" t="s">
        <v>122</v>
      </c>
      <c r="V932" s="1" t="s">
        <v>836</v>
      </c>
      <c r="W932" s="1">
        <v>4781.60363426</v>
      </c>
      <c r="X932" s="1"/>
      <c r="Y932" s="83" t="str">
        <f>VLOOKUP(LossTable[[#This Row],[Department]],$A$15:$B$40,2,FALSE)</f>
        <v>TP</v>
      </c>
    </row>
    <row r="933" spans="4:25" x14ac:dyDescent="0.25">
      <c r="D933" s="78">
        <v>434862</v>
      </c>
      <c r="E933" s="78">
        <v>280014790</v>
      </c>
      <c r="F933" s="83" t="s">
        <v>94</v>
      </c>
      <c r="G933" s="1" t="s">
        <v>384</v>
      </c>
      <c r="H933" s="1" t="s">
        <v>14</v>
      </c>
      <c r="I933" s="1" t="s">
        <v>385</v>
      </c>
      <c r="J933" s="1">
        <v>6975000</v>
      </c>
      <c r="K933" s="1">
        <v>465000000</v>
      </c>
      <c r="L933" s="1">
        <v>0</v>
      </c>
      <c r="M933" s="1">
        <v>0</v>
      </c>
      <c r="N933" s="1" t="s">
        <v>386</v>
      </c>
      <c r="O933" s="1">
        <v>0.99832902999999995</v>
      </c>
      <c r="P933" s="1">
        <v>1.4999999999999999E-2</v>
      </c>
      <c r="Q933" s="83">
        <v>622464.44744999998</v>
      </c>
      <c r="R933" s="83">
        <v>622464.44744999998</v>
      </c>
      <c r="S933" s="1">
        <v>622464.44744999998</v>
      </c>
      <c r="T933" s="83">
        <v>0</v>
      </c>
      <c r="U933" s="1" t="s">
        <v>122</v>
      </c>
      <c r="V933" s="1" t="s">
        <v>836</v>
      </c>
      <c r="W933" s="1">
        <v>4781.60363426</v>
      </c>
      <c r="X933" s="1"/>
      <c r="Y933" s="83" t="str">
        <f>VLOOKUP(LossTable[[#This Row],[Department]],$A$15:$B$40,2,FALSE)</f>
        <v>TP</v>
      </c>
    </row>
    <row r="934" spans="4:25" x14ac:dyDescent="0.25">
      <c r="D934" s="78">
        <v>435795</v>
      </c>
      <c r="E934" s="78">
        <v>280014790</v>
      </c>
      <c r="F934" s="83" t="s">
        <v>94</v>
      </c>
      <c r="G934" s="1" t="s">
        <v>167</v>
      </c>
      <c r="H934" s="1" t="s">
        <v>16</v>
      </c>
      <c r="I934" s="1" t="s">
        <v>338</v>
      </c>
      <c r="J934" s="1">
        <v>3812500</v>
      </c>
      <c r="K934" s="1">
        <v>25000000</v>
      </c>
      <c r="L934" s="1">
        <v>0</v>
      </c>
      <c r="M934" s="1">
        <v>0</v>
      </c>
      <c r="N934" s="1" t="s">
        <v>122</v>
      </c>
      <c r="O934" s="1">
        <v>0.12600037</v>
      </c>
      <c r="P934" s="1">
        <v>0.1525</v>
      </c>
      <c r="Q934" s="83">
        <v>1084.9780249999999</v>
      </c>
      <c r="R934" s="83">
        <v>1084.9780249999999</v>
      </c>
      <c r="S934" s="1">
        <v>1084.9780249999999</v>
      </c>
      <c r="T934" s="83">
        <v>0</v>
      </c>
      <c r="U934" s="1" t="s">
        <v>122</v>
      </c>
      <c r="V934" s="1" t="s">
        <v>836</v>
      </c>
      <c r="W934" s="1">
        <v>4781.60363426</v>
      </c>
      <c r="X934" s="1"/>
      <c r="Y934" s="83" t="str">
        <f>VLOOKUP(LossTable[[#This Row],[Department]],$A$15:$B$40,2,FALSE)</f>
        <v>TP</v>
      </c>
    </row>
    <row r="935" spans="4:25" x14ac:dyDescent="0.25">
      <c r="D935" s="78">
        <v>436137</v>
      </c>
      <c r="E935" s="78">
        <v>280014790</v>
      </c>
      <c r="F935" s="83" t="s">
        <v>94</v>
      </c>
      <c r="G935" s="1" t="s">
        <v>436</v>
      </c>
      <c r="H935" s="1" t="s">
        <v>14</v>
      </c>
      <c r="I935" s="1" t="s">
        <v>437</v>
      </c>
      <c r="J935" s="1">
        <v>2100000</v>
      </c>
      <c r="K935" s="1">
        <v>70000000</v>
      </c>
      <c r="L935" s="1">
        <v>0</v>
      </c>
      <c r="M935" s="1">
        <v>0</v>
      </c>
      <c r="N935" s="1" t="s">
        <v>122</v>
      </c>
      <c r="O935" s="1">
        <v>2.3679456700000001</v>
      </c>
      <c r="P935" s="1">
        <v>0.03</v>
      </c>
      <c r="Q935" s="83">
        <v>35770.916100000002</v>
      </c>
      <c r="R935" s="83">
        <v>35770.916100000002</v>
      </c>
      <c r="S935" s="1">
        <v>35770.916100000002</v>
      </c>
      <c r="T935" s="83">
        <v>0</v>
      </c>
      <c r="U935" s="1" t="s">
        <v>122</v>
      </c>
      <c r="V935" s="1" t="s">
        <v>836</v>
      </c>
      <c r="W935" s="1">
        <v>4781.60363426</v>
      </c>
      <c r="X935" s="1"/>
      <c r="Y935" s="83" t="str">
        <f>VLOOKUP(LossTable[[#This Row],[Department]],$A$15:$B$40,2,FALSE)</f>
        <v>TP</v>
      </c>
    </row>
    <row r="936" spans="4:25" x14ac:dyDescent="0.25">
      <c r="D936" s="78">
        <v>436194</v>
      </c>
      <c r="E936" s="78">
        <v>280014790</v>
      </c>
      <c r="F936" s="83" t="s">
        <v>94</v>
      </c>
      <c r="G936" s="1" t="s">
        <v>349</v>
      </c>
      <c r="H936" s="1" t="s">
        <v>16</v>
      </c>
      <c r="I936" s="1" t="s">
        <v>350</v>
      </c>
      <c r="J936" s="1">
        <v>3000000</v>
      </c>
      <c r="K936" s="1">
        <v>20000000</v>
      </c>
      <c r="L936" s="1">
        <v>0</v>
      </c>
      <c r="M936" s="1">
        <v>0</v>
      </c>
      <c r="N936" s="1" t="s">
        <v>122</v>
      </c>
      <c r="O936" s="1">
        <v>1.0509273699999999</v>
      </c>
      <c r="P936" s="1">
        <v>0.15</v>
      </c>
      <c r="Q936" s="83">
        <v>2450.7539999999999</v>
      </c>
      <c r="R936" s="83">
        <v>2450.7539999999999</v>
      </c>
      <c r="S936" s="1">
        <v>2450.7539999999999</v>
      </c>
      <c r="T936" s="83">
        <v>0</v>
      </c>
      <c r="U936" s="1" t="s">
        <v>122</v>
      </c>
      <c r="V936" s="1" t="s">
        <v>836</v>
      </c>
      <c r="W936" s="1">
        <v>4781.60363426</v>
      </c>
      <c r="X936" s="1"/>
      <c r="Y936" s="83" t="str">
        <f>VLOOKUP(LossTable[[#This Row],[Department]],$A$15:$B$40,2,FALSE)</f>
        <v>TP</v>
      </c>
    </row>
    <row r="937" spans="4:25" x14ac:dyDescent="0.25">
      <c r="D937" s="78">
        <v>436536</v>
      </c>
      <c r="E937" s="78">
        <v>280014790</v>
      </c>
      <c r="F937" s="83" t="s">
        <v>94</v>
      </c>
      <c r="G937" s="1" t="s">
        <v>445</v>
      </c>
      <c r="H937" s="1" t="s">
        <v>16</v>
      </c>
      <c r="I937" s="1" t="s">
        <v>446</v>
      </c>
      <c r="J937" s="1">
        <v>5000000</v>
      </c>
      <c r="K937" s="1">
        <v>50000000</v>
      </c>
      <c r="L937" s="1">
        <v>0</v>
      </c>
      <c r="M937" s="1">
        <v>0</v>
      </c>
      <c r="N937" s="1" t="s">
        <v>122</v>
      </c>
      <c r="O937" s="1">
        <v>0.34</v>
      </c>
      <c r="P937" s="1">
        <v>0.1</v>
      </c>
      <c r="Q937" s="83">
        <v>3350.0590000000002</v>
      </c>
      <c r="R937" s="83">
        <v>3350.0590000000002</v>
      </c>
      <c r="S937" s="1">
        <v>3350.0590000000002</v>
      </c>
      <c r="T937" s="83">
        <v>0</v>
      </c>
      <c r="U937" s="1" t="s">
        <v>122</v>
      </c>
      <c r="V937" s="1" t="s">
        <v>836</v>
      </c>
      <c r="W937" s="1">
        <v>4781.60363426</v>
      </c>
      <c r="X937" s="1"/>
      <c r="Y937" s="83" t="str">
        <f>VLOOKUP(LossTable[[#This Row],[Department]],$A$15:$B$40,2,FALSE)</f>
        <v>TP</v>
      </c>
    </row>
    <row r="938" spans="4:25" x14ac:dyDescent="0.25">
      <c r="D938" s="78">
        <v>438656</v>
      </c>
      <c r="E938" s="78">
        <v>280014790</v>
      </c>
      <c r="F938" s="83" t="s">
        <v>94</v>
      </c>
      <c r="G938" s="1" t="s">
        <v>788</v>
      </c>
      <c r="H938" s="1" t="s">
        <v>14</v>
      </c>
      <c r="I938" s="1" t="s">
        <v>789</v>
      </c>
      <c r="J938" s="1">
        <v>2900000</v>
      </c>
      <c r="K938" s="1">
        <v>40000000</v>
      </c>
      <c r="L938" s="1">
        <v>0</v>
      </c>
      <c r="M938" s="1">
        <v>0</v>
      </c>
      <c r="N938" s="1" t="s">
        <v>400</v>
      </c>
      <c r="O938" s="1">
        <v>16.782877500000001</v>
      </c>
      <c r="P938" s="1">
        <v>7.2499999999999995E-2</v>
      </c>
      <c r="Q938" s="83">
        <v>869155.73895000003</v>
      </c>
      <c r="R938" s="83">
        <v>869155.73895000003</v>
      </c>
      <c r="S938" s="1">
        <v>869155.73895000003</v>
      </c>
      <c r="T938" s="83">
        <v>0</v>
      </c>
      <c r="U938" s="1" t="s">
        <v>122</v>
      </c>
      <c r="V938" s="1" t="s">
        <v>836</v>
      </c>
      <c r="W938" s="1">
        <v>4781.60363426</v>
      </c>
      <c r="X938" s="1"/>
      <c r="Y938" s="83" t="str">
        <f>VLOOKUP(LossTable[[#This Row],[Department]],$A$15:$B$40,2,FALSE)</f>
        <v>TP</v>
      </c>
    </row>
    <row r="939" spans="4:25" x14ac:dyDescent="0.25">
      <c r="D939" s="78">
        <v>443387</v>
      </c>
      <c r="E939" s="78">
        <v>280014790</v>
      </c>
      <c r="F939" s="83" t="s">
        <v>12</v>
      </c>
      <c r="G939" s="1" t="s">
        <v>177</v>
      </c>
      <c r="H939" s="1" t="s">
        <v>14</v>
      </c>
      <c r="I939" s="1" t="s">
        <v>178</v>
      </c>
      <c r="J939" s="1">
        <v>3375000</v>
      </c>
      <c r="K939" s="1">
        <v>33750000</v>
      </c>
      <c r="L939" s="1">
        <v>0</v>
      </c>
      <c r="M939" s="1">
        <v>0</v>
      </c>
      <c r="N939" s="1" t="s">
        <v>179</v>
      </c>
      <c r="O939" s="1">
        <v>1</v>
      </c>
      <c r="P939" s="1">
        <v>0.1</v>
      </c>
      <c r="Q939" s="83">
        <v>12556.343000000001</v>
      </c>
      <c r="R939" s="83">
        <v>12556.343000000001</v>
      </c>
      <c r="S939" s="1">
        <v>12556.343000000001</v>
      </c>
      <c r="T939" s="83">
        <v>0</v>
      </c>
      <c r="U939" s="1" t="s">
        <v>122</v>
      </c>
      <c r="V939" s="1" t="s">
        <v>836</v>
      </c>
      <c r="W939" s="1">
        <v>4781.60363426</v>
      </c>
      <c r="X939" s="1"/>
      <c r="Y939" s="83" t="str">
        <f>VLOOKUP(LossTable[[#This Row],[Department]],$A$15:$B$40,2,FALSE)</f>
        <v>Bermuda</v>
      </c>
    </row>
    <row r="940" spans="4:25" x14ac:dyDescent="0.25">
      <c r="D940" s="78">
        <v>444256</v>
      </c>
      <c r="E940" s="78">
        <v>280014790</v>
      </c>
      <c r="F940" s="83" t="s">
        <v>94</v>
      </c>
      <c r="G940" s="1" t="s">
        <v>814</v>
      </c>
      <c r="H940" s="1" t="s">
        <v>13</v>
      </c>
      <c r="I940" s="1" t="s">
        <v>815</v>
      </c>
      <c r="J940" s="1">
        <v>4000000</v>
      </c>
      <c r="K940" s="1">
        <v>50000000</v>
      </c>
      <c r="L940" s="1">
        <v>10000000</v>
      </c>
      <c r="M940" s="1">
        <v>0</v>
      </c>
      <c r="N940" s="1" t="s">
        <v>816</v>
      </c>
      <c r="O940" s="1">
        <v>0.2</v>
      </c>
      <c r="P940" s="1">
        <v>0.08</v>
      </c>
      <c r="Q940" s="83">
        <v>910599.48320000002</v>
      </c>
      <c r="R940" s="83">
        <v>599365.44432952697</v>
      </c>
      <c r="S940" s="1">
        <v>599365.44432952697</v>
      </c>
      <c r="T940" s="83">
        <v>119872.63033067599</v>
      </c>
      <c r="U940" s="1" t="s">
        <v>122</v>
      </c>
      <c r="V940" s="1" t="s">
        <v>836</v>
      </c>
      <c r="W940" s="1">
        <v>4781.60363426</v>
      </c>
      <c r="X940" s="1"/>
      <c r="Y940" s="83" t="str">
        <f>VLOOKUP(LossTable[[#This Row],[Department]],$A$15:$B$40,2,FALSE)</f>
        <v>TP</v>
      </c>
    </row>
    <row r="941" spans="4:25" x14ac:dyDescent="0.25">
      <c r="D941" s="78">
        <v>445341</v>
      </c>
      <c r="E941" s="78">
        <v>280014790</v>
      </c>
      <c r="F941" s="83" t="s">
        <v>94</v>
      </c>
      <c r="G941" s="1" t="s">
        <v>416</v>
      </c>
      <c r="H941" s="1" t="s">
        <v>16</v>
      </c>
      <c r="I941" s="1" t="s">
        <v>423</v>
      </c>
      <c r="J941" s="1">
        <v>11250000</v>
      </c>
      <c r="K941" s="1">
        <v>375000000</v>
      </c>
      <c r="L941" s="1">
        <v>0</v>
      </c>
      <c r="M941" s="1">
        <v>0</v>
      </c>
      <c r="N941" s="1" t="s">
        <v>424</v>
      </c>
      <c r="O941" s="1">
        <v>4.9333330000000002E-2</v>
      </c>
      <c r="P941" s="1">
        <v>0.03</v>
      </c>
      <c r="Q941" s="83">
        <v>129.39269999999999</v>
      </c>
      <c r="R941" s="83">
        <v>129.39269999999999</v>
      </c>
      <c r="S941" s="1">
        <v>129.39269999999999</v>
      </c>
      <c r="T941" s="83">
        <v>0</v>
      </c>
      <c r="U941" s="1" t="s">
        <v>122</v>
      </c>
      <c r="V941" s="1" t="s">
        <v>836</v>
      </c>
      <c r="W941" s="1">
        <v>4781.60363426</v>
      </c>
      <c r="X941" s="1"/>
      <c r="Y941" s="83" t="str">
        <f>VLOOKUP(LossTable[[#This Row],[Department]],$A$15:$B$40,2,FALSE)</f>
        <v>TP</v>
      </c>
    </row>
    <row r="942" spans="4:25" x14ac:dyDescent="0.25">
      <c r="D942" s="78">
        <v>446146</v>
      </c>
      <c r="E942" s="78">
        <v>280014790</v>
      </c>
      <c r="F942" s="83" t="s">
        <v>94</v>
      </c>
      <c r="G942" s="1" t="s">
        <v>527</v>
      </c>
      <c r="H942" s="1" t="s">
        <v>16</v>
      </c>
      <c r="I942" s="1" t="s">
        <v>758</v>
      </c>
      <c r="J942" s="1">
        <v>3750000</v>
      </c>
      <c r="K942" s="1">
        <v>150000000</v>
      </c>
      <c r="L942" s="1">
        <v>0</v>
      </c>
      <c r="M942" s="1">
        <v>0</v>
      </c>
      <c r="N942" s="1" t="s">
        <v>122</v>
      </c>
      <c r="O942" s="1">
        <v>5.2747130000000003E-2</v>
      </c>
      <c r="P942" s="1">
        <v>2.5000000000000001E-2</v>
      </c>
      <c r="Q942" s="83">
        <v>95.133499999999998</v>
      </c>
      <c r="R942" s="83">
        <v>95.133499999999998</v>
      </c>
      <c r="S942" s="1">
        <v>95.133499999999998</v>
      </c>
      <c r="T942" s="83">
        <v>0</v>
      </c>
      <c r="U942" s="1" t="s">
        <v>122</v>
      </c>
      <c r="V942" s="1" t="s">
        <v>836</v>
      </c>
      <c r="W942" s="1">
        <v>4781.60363426</v>
      </c>
      <c r="X942" s="1"/>
      <c r="Y942" s="83" t="str">
        <f>VLOOKUP(LossTable[[#This Row],[Department]],$A$15:$B$40,2,FALSE)</f>
        <v>TP</v>
      </c>
    </row>
    <row r="943" spans="4:25" x14ac:dyDescent="0.25">
      <c r="D943" s="78">
        <v>446934</v>
      </c>
      <c r="E943" s="78">
        <v>280014790</v>
      </c>
      <c r="F943" s="83" t="s">
        <v>12</v>
      </c>
      <c r="G943" s="1" t="s">
        <v>473</v>
      </c>
      <c r="H943" s="1" t="s">
        <v>16</v>
      </c>
      <c r="I943" s="1" t="s">
        <v>474</v>
      </c>
      <c r="J943" s="1">
        <v>375000</v>
      </c>
      <c r="K943" s="1">
        <v>5000000</v>
      </c>
      <c r="L943" s="1">
        <v>0</v>
      </c>
      <c r="M943" s="1">
        <v>0</v>
      </c>
      <c r="N943" s="1" t="s">
        <v>475</v>
      </c>
      <c r="O943" s="1">
        <v>0.56998199999999999</v>
      </c>
      <c r="P943" s="1">
        <v>7.4999999999999997E-2</v>
      </c>
      <c r="Q943" s="83">
        <v>2170.5187500000002</v>
      </c>
      <c r="R943" s="83">
        <v>2170.5187500000002</v>
      </c>
      <c r="S943" s="1">
        <v>2170.5187500000002</v>
      </c>
      <c r="T943" s="83">
        <v>0</v>
      </c>
      <c r="U943" s="1" t="s">
        <v>122</v>
      </c>
      <c r="V943" s="1" t="s">
        <v>836</v>
      </c>
      <c r="W943" s="1">
        <v>4781.60363426</v>
      </c>
      <c r="X943" s="1"/>
      <c r="Y943" s="83" t="str">
        <f>VLOOKUP(LossTable[[#This Row],[Department]],$A$15:$B$40,2,FALSE)</f>
        <v>Bermuda</v>
      </c>
    </row>
    <row r="944" spans="4:25" x14ac:dyDescent="0.25">
      <c r="D944" s="78">
        <v>448494</v>
      </c>
      <c r="E944" s="78">
        <v>280014790</v>
      </c>
      <c r="F944" s="83" t="s">
        <v>94</v>
      </c>
      <c r="G944" s="1" t="s">
        <v>533</v>
      </c>
      <c r="H944" s="1" t="s">
        <v>16</v>
      </c>
      <c r="I944" s="1" t="s">
        <v>549</v>
      </c>
      <c r="J944" s="1">
        <v>35000000</v>
      </c>
      <c r="K944" s="1">
        <v>500000000</v>
      </c>
      <c r="L944" s="1">
        <v>0</v>
      </c>
      <c r="M944" s="1">
        <v>0</v>
      </c>
      <c r="N944" s="1" t="s">
        <v>550</v>
      </c>
      <c r="O944" s="1">
        <v>0.05</v>
      </c>
      <c r="P944" s="1">
        <v>7.0000000000000007E-2</v>
      </c>
      <c r="Q944" s="83">
        <v>29354.962</v>
      </c>
      <c r="R944" s="83">
        <v>29354.962</v>
      </c>
      <c r="S944" s="1">
        <v>29354.962</v>
      </c>
      <c r="T944" s="83">
        <v>0</v>
      </c>
      <c r="U944" s="1" t="s">
        <v>122</v>
      </c>
      <c r="V944" s="1" t="s">
        <v>836</v>
      </c>
      <c r="W944" s="1">
        <v>4781.60363426</v>
      </c>
      <c r="X944" s="1"/>
      <c r="Y944" s="83" t="str">
        <f>VLOOKUP(LossTable[[#This Row],[Department]],$A$15:$B$40,2,FALSE)</f>
        <v>TP</v>
      </c>
    </row>
    <row r="945" spans="4:25" x14ac:dyDescent="0.25">
      <c r="D945" s="78">
        <v>448596</v>
      </c>
      <c r="E945" s="78">
        <v>280014790</v>
      </c>
      <c r="F945" s="83" t="s">
        <v>94</v>
      </c>
      <c r="G945" s="1" t="s">
        <v>183</v>
      </c>
      <c r="H945" s="1" t="s">
        <v>14</v>
      </c>
      <c r="I945" s="1" t="s">
        <v>184</v>
      </c>
      <c r="J945" s="1">
        <v>20904000</v>
      </c>
      <c r="K945" s="1">
        <v>402000000</v>
      </c>
      <c r="L945" s="1">
        <v>0</v>
      </c>
      <c r="M945" s="1">
        <v>0</v>
      </c>
      <c r="N945" s="1" t="s">
        <v>185</v>
      </c>
      <c r="O945" s="1">
        <v>0.90540511999999995</v>
      </c>
      <c r="P945" s="1">
        <v>5.1999999999999998E-2</v>
      </c>
      <c r="Q945" s="83">
        <v>281376.19068</v>
      </c>
      <c r="R945" s="83">
        <v>281376.19068</v>
      </c>
      <c r="S945" s="1">
        <v>281376.19068</v>
      </c>
      <c r="T945" s="83">
        <v>0</v>
      </c>
      <c r="U945" s="1" t="s">
        <v>122</v>
      </c>
      <c r="V945" s="1" t="s">
        <v>836</v>
      </c>
      <c r="W945" s="1">
        <v>4781.60363426</v>
      </c>
      <c r="X945" s="1"/>
      <c r="Y945" s="83" t="str">
        <f>VLOOKUP(LossTable[[#This Row],[Department]],$A$15:$B$40,2,FALSE)</f>
        <v>TP</v>
      </c>
    </row>
    <row r="946" spans="4:25" x14ac:dyDescent="0.25">
      <c r="D946" s="78">
        <v>448798</v>
      </c>
      <c r="E946" s="78">
        <v>280014790</v>
      </c>
      <c r="F946" s="83" t="s">
        <v>92</v>
      </c>
      <c r="G946" s="1" t="s">
        <v>562</v>
      </c>
      <c r="H946" s="1" t="s">
        <v>16</v>
      </c>
      <c r="I946" s="1" t="s">
        <v>563</v>
      </c>
      <c r="J946" s="1">
        <v>7669590.4588918304</v>
      </c>
      <c r="K946" s="1">
        <v>153391809.17783701</v>
      </c>
      <c r="L946" s="1">
        <v>0</v>
      </c>
      <c r="M946" s="1">
        <v>0</v>
      </c>
      <c r="N946" s="1" t="s">
        <v>564</v>
      </c>
      <c r="O946" s="1">
        <v>4.6056670000000001E-2</v>
      </c>
      <c r="P946" s="1">
        <v>0.05</v>
      </c>
      <c r="Q946" s="83">
        <v>233.42422227</v>
      </c>
      <c r="R946" s="83">
        <v>233.42422227</v>
      </c>
      <c r="S946" s="1">
        <v>233.42422227</v>
      </c>
      <c r="T946" s="83">
        <v>0</v>
      </c>
      <c r="U946" s="1" t="s">
        <v>122</v>
      </c>
      <c r="V946" s="1" t="s">
        <v>836</v>
      </c>
      <c r="W946" s="1">
        <v>4781.60363426</v>
      </c>
      <c r="X946" s="1"/>
      <c r="Y946" s="83" t="str">
        <f>VLOOKUP(LossTable[[#This Row],[Department]],$A$15:$B$40,2,FALSE)</f>
        <v>FP</v>
      </c>
    </row>
    <row r="947" spans="4:25" x14ac:dyDescent="0.25">
      <c r="D947" s="78">
        <v>448888</v>
      </c>
      <c r="E947" s="78">
        <v>280014790</v>
      </c>
      <c r="F947" s="83" t="s">
        <v>45</v>
      </c>
      <c r="G947" s="1" t="s">
        <v>551</v>
      </c>
      <c r="H947" s="1" t="s">
        <v>14</v>
      </c>
      <c r="I947" s="1" t="s">
        <v>552</v>
      </c>
      <c r="J947" s="1">
        <v>1500000</v>
      </c>
      <c r="K947" s="1">
        <v>10000000</v>
      </c>
      <c r="L947" s="1">
        <v>0</v>
      </c>
      <c r="M947" s="1">
        <v>0</v>
      </c>
      <c r="N947" s="1" t="s">
        <v>176</v>
      </c>
      <c r="O947" s="1">
        <v>3.1739999999999999</v>
      </c>
      <c r="P947" s="1">
        <v>0.15</v>
      </c>
      <c r="Q947" s="83">
        <v>18528.21</v>
      </c>
      <c r="R947" s="83">
        <v>18528.21</v>
      </c>
      <c r="S947" s="1">
        <v>18528.21</v>
      </c>
      <c r="T947" s="83">
        <v>0</v>
      </c>
      <c r="U947" s="1" t="s">
        <v>122</v>
      </c>
      <c r="V947" s="1" t="s">
        <v>836</v>
      </c>
      <c r="W947" s="1">
        <v>4781.60363426</v>
      </c>
      <c r="X947" s="1"/>
      <c r="Y947" s="83" t="str">
        <f>VLOOKUP(LossTable[[#This Row],[Department]],$A$15:$B$40,2,FALSE)</f>
        <v>FP</v>
      </c>
    </row>
    <row r="948" spans="4:25" x14ac:dyDescent="0.25">
      <c r="D948" s="78">
        <v>449439</v>
      </c>
      <c r="E948" s="78">
        <v>280014790</v>
      </c>
      <c r="F948" s="83" t="s">
        <v>21</v>
      </c>
      <c r="G948" s="1" t="s">
        <v>567</v>
      </c>
      <c r="H948" s="1" t="s">
        <v>14</v>
      </c>
      <c r="I948" s="1" t="s">
        <v>568</v>
      </c>
      <c r="J948" s="1">
        <v>3032192.2302246098</v>
      </c>
      <c r="K948" s="1">
        <v>134764099.12109399</v>
      </c>
      <c r="L948" s="1">
        <v>0</v>
      </c>
      <c r="M948" s="1">
        <v>0</v>
      </c>
      <c r="N948" s="1" t="s">
        <v>335</v>
      </c>
      <c r="O948" s="1">
        <v>0.628</v>
      </c>
      <c r="P948" s="1">
        <v>2.2499999999999999E-2</v>
      </c>
      <c r="Q948" s="83">
        <v>363.98435532000002</v>
      </c>
      <c r="R948" s="83">
        <v>363.98435532000002</v>
      </c>
      <c r="S948" s="1">
        <v>363.98435532000002</v>
      </c>
      <c r="T948" s="83">
        <v>0</v>
      </c>
      <c r="U948" s="1" t="s">
        <v>122</v>
      </c>
      <c r="V948" s="1" t="s">
        <v>836</v>
      </c>
      <c r="W948" s="1">
        <v>4781.60363426</v>
      </c>
      <c r="X948" s="1"/>
      <c r="Y948" s="83" t="str">
        <f>VLOOKUP(LossTable[[#This Row],[Department]],$A$15:$B$40,2,FALSE)</f>
        <v>London</v>
      </c>
    </row>
    <row r="949" spans="4:25" x14ac:dyDescent="0.25">
      <c r="D949" s="78">
        <v>449981</v>
      </c>
      <c r="E949" s="78">
        <v>280014790</v>
      </c>
      <c r="F949" s="83" t="s">
        <v>94</v>
      </c>
      <c r="G949" s="1" t="s">
        <v>584</v>
      </c>
      <c r="H949" s="1" t="s">
        <v>16</v>
      </c>
      <c r="I949" s="1" t="s">
        <v>585</v>
      </c>
      <c r="J949" s="1">
        <v>900000</v>
      </c>
      <c r="K949" s="1">
        <v>15000000</v>
      </c>
      <c r="L949" s="1">
        <v>0</v>
      </c>
      <c r="M949" s="1">
        <v>0</v>
      </c>
      <c r="N949" s="1" t="s">
        <v>271</v>
      </c>
      <c r="O949" s="1">
        <v>0.22500000000000001</v>
      </c>
      <c r="P949" s="1">
        <v>0.06</v>
      </c>
      <c r="Q949" s="83">
        <v>11.2782</v>
      </c>
      <c r="R949" s="83">
        <v>11.2782</v>
      </c>
      <c r="S949" s="1">
        <v>11.2782</v>
      </c>
      <c r="T949" s="83">
        <v>0</v>
      </c>
      <c r="U949" s="1" t="s">
        <v>122</v>
      </c>
      <c r="V949" s="1" t="s">
        <v>836</v>
      </c>
      <c r="W949" s="1">
        <v>4781.60363426</v>
      </c>
      <c r="X949" s="1"/>
      <c r="Y949" s="83" t="str">
        <f>VLOOKUP(LossTable[[#This Row],[Department]],$A$15:$B$40,2,FALSE)</f>
        <v>TP</v>
      </c>
    </row>
    <row r="950" spans="4:25" x14ac:dyDescent="0.25">
      <c r="D950" s="78">
        <v>467753</v>
      </c>
      <c r="E950" s="78">
        <v>280014790</v>
      </c>
      <c r="F950" s="83" t="s">
        <v>94</v>
      </c>
      <c r="G950" s="1" t="s">
        <v>850</v>
      </c>
      <c r="H950" s="1" t="s">
        <v>13</v>
      </c>
      <c r="I950" s="1" t="s">
        <v>851</v>
      </c>
      <c r="J950" s="1">
        <v>300000</v>
      </c>
      <c r="K950" s="1">
        <v>10000000</v>
      </c>
      <c r="L950" s="1">
        <v>15000000</v>
      </c>
      <c r="M950" s="1">
        <v>0</v>
      </c>
      <c r="N950" s="1" t="s">
        <v>821</v>
      </c>
      <c r="O950" s="1">
        <v>0.2175</v>
      </c>
      <c r="P950" s="1">
        <v>0.03</v>
      </c>
      <c r="Q950" s="83">
        <v>66454.628700000001</v>
      </c>
      <c r="R950" s="83">
        <v>40809.099288241203</v>
      </c>
      <c r="S950" s="1">
        <v>40809.099288241203</v>
      </c>
      <c r="T950" s="83">
        <v>8875.9452570414996</v>
      </c>
      <c r="U950" s="1" t="s">
        <v>122</v>
      </c>
      <c r="V950" s="1" t="s">
        <v>836</v>
      </c>
      <c r="W950" s="1">
        <v>4781.60363426</v>
      </c>
      <c r="X950" s="1"/>
      <c r="Y950" s="83" t="str">
        <f>VLOOKUP(LossTable[[#This Row],[Department]],$A$15:$B$40,2,FALSE)</f>
        <v>TP</v>
      </c>
    </row>
    <row r="951" spans="4:25" x14ac:dyDescent="0.25">
      <c r="D951" s="78">
        <v>468489</v>
      </c>
      <c r="E951" s="78">
        <v>280014790</v>
      </c>
      <c r="F951" s="83" t="s">
        <v>21</v>
      </c>
      <c r="G951" s="1" t="s">
        <v>594</v>
      </c>
      <c r="H951" s="1" t="s">
        <v>14</v>
      </c>
      <c r="I951" s="1" t="s">
        <v>595</v>
      </c>
      <c r="J951" s="1">
        <v>23494439.125061002</v>
      </c>
      <c r="K951" s="1">
        <v>469888782.501221</v>
      </c>
      <c r="L951" s="1">
        <v>0</v>
      </c>
      <c r="M951" s="1">
        <v>0</v>
      </c>
      <c r="N951" s="1" t="s">
        <v>157</v>
      </c>
      <c r="O951" s="1">
        <v>1.3674999999999999</v>
      </c>
      <c r="P951" s="1">
        <v>0.05</v>
      </c>
      <c r="Q951" s="83">
        <v>26911.418663650002</v>
      </c>
      <c r="R951" s="83">
        <v>26911.418663650002</v>
      </c>
      <c r="S951" s="1">
        <v>26911.418663650002</v>
      </c>
      <c r="T951" s="83">
        <v>0</v>
      </c>
      <c r="U951" s="1" t="s">
        <v>122</v>
      </c>
      <c r="V951" s="1" t="s">
        <v>836</v>
      </c>
      <c r="W951" s="1">
        <v>4781.60363426</v>
      </c>
      <c r="X951" s="1"/>
      <c r="Y951" s="83" t="str">
        <f>VLOOKUP(LossTable[[#This Row],[Department]],$A$15:$B$40,2,FALSE)</f>
        <v>London</v>
      </c>
    </row>
    <row r="952" spans="4:25" x14ac:dyDescent="0.25">
      <c r="D952" s="78">
        <v>468532</v>
      </c>
      <c r="E952" s="78">
        <v>280014790</v>
      </c>
      <c r="F952" s="83" t="s">
        <v>95</v>
      </c>
      <c r="G952" s="1" t="s">
        <v>638</v>
      </c>
      <c r="H952" s="1" t="s">
        <v>14</v>
      </c>
      <c r="I952" s="1" t="s">
        <v>639</v>
      </c>
      <c r="J952" s="1">
        <v>39658812.313482799</v>
      </c>
      <c r="K952" s="1">
        <v>721069314.79059601</v>
      </c>
      <c r="L952" s="1">
        <v>0</v>
      </c>
      <c r="M952" s="1">
        <v>0</v>
      </c>
      <c r="N952" s="1" t="s">
        <v>122</v>
      </c>
      <c r="O952" s="1">
        <v>0.65165550000000005</v>
      </c>
      <c r="P952" s="1">
        <v>5.5E-2</v>
      </c>
      <c r="Q952" s="83">
        <v>21822.113523619999</v>
      </c>
      <c r="R952" s="83">
        <v>21822.113523619999</v>
      </c>
      <c r="S952" s="1">
        <v>21822.113523619999</v>
      </c>
      <c r="T952" s="83">
        <v>0</v>
      </c>
      <c r="U952" s="1" t="s">
        <v>122</v>
      </c>
      <c r="V952" s="1" t="s">
        <v>836</v>
      </c>
      <c r="W952" s="1">
        <v>4781.60363426</v>
      </c>
      <c r="X952" s="1"/>
      <c r="Y952" s="83" t="str">
        <f>VLOOKUP(LossTable[[#This Row],[Department]],$A$15:$B$40,2,FALSE)</f>
        <v>Dublin</v>
      </c>
    </row>
    <row r="953" spans="4:25" x14ac:dyDescent="0.25">
      <c r="D953" s="78">
        <v>468838</v>
      </c>
      <c r="E953" s="78">
        <v>280014790</v>
      </c>
      <c r="F953" s="83" t="s">
        <v>94</v>
      </c>
      <c r="G953" s="1" t="s">
        <v>582</v>
      </c>
      <c r="H953" s="1" t="s">
        <v>16</v>
      </c>
      <c r="I953" s="1" t="s">
        <v>805</v>
      </c>
      <c r="J953" s="1">
        <v>750000</v>
      </c>
      <c r="K953" s="1">
        <v>15000000</v>
      </c>
      <c r="L953" s="1">
        <v>0</v>
      </c>
      <c r="M953" s="1">
        <v>0</v>
      </c>
      <c r="N953" s="1" t="s">
        <v>122</v>
      </c>
      <c r="O953" s="1">
        <v>0.34921667000000001</v>
      </c>
      <c r="P953" s="1">
        <v>0.05</v>
      </c>
      <c r="Q953" s="83">
        <v>25.945</v>
      </c>
      <c r="R953" s="83">
        <v>25.945</v>
      </c>
      <c r="S953" s="1">
        <v>25.945</v>
      </c>
      <c r="T953" s="83">
        <v>0</v>
      </c>
      <c r="U953" s="1" t="s">
        <v>122</v>
      </c>
      <c r="V953" s="1" t="s">
        <v>836</v>
      </c>
      <c r="W953" s="1">
        <v>4781.60363426</v>
      </c>
      <c r="X953" s="1"/>
      <c r="Y953" s="83" t="str">
        <f>VLOOKUP(LossTable[[#This Row],[Department]],$A$15:$B$40,2,FALSE)</f>
        <v>TP</v>
      </c>
    </row>
    <row r="954" spans="4:25" x14ac:dyDescent="0.25">
      <c r="D954" s="78">
        <v>468971</v>
      </c>
      <c r="E954" s="78">
        <v>280014790</v>
      </c>
      <c r="F954" s="83" t="s">
        <v>94</v>
      </c>
      <c r="G954" s="1" t="s">
        <v>832</v>
      </c>
      <c r="H954" s="1" t="s">
        <v>16</v>
      </c>
      <c r="I954" s="1" t="s">
        <v>833</v>
      </c>
      <c r="J954" s="1">
        <v>4092128.8162500001</v>
      </c>
      <c r="K954" s="1">
        <v>32737030.530000001</v>
      </c>
      <c r="L954" s="1">
        <v>0</v>
      </c>
      <c r="M954" s="1">
        <v>0</v>
      </c>
      <c r="N954" s="1" t="s">
        <v>122</v>
      </c>
      <c r="O954" s="1">
        <v>0.26500000000000001</v>
      </c>
      <c r="P954" s="1">
        <v>0.125</v>
      </c>
      <c r="Q954" s="83">
        <v>27.03125</v>
      </c>
      <c r="R954" s="83">
        <v>27.03125</v>
      </c>
      <c r="S954" s="1">
        <v>27.03125</v>
      </c>
      <c r="T954" s="83">
        <v>0</v>
      </c>
      <c r="U954" s="1" t="s">
        <v>122</v>
      </c>
      <c r="V954" s="1" t="s">
        <v>836</v>
      </c>
      <c r="W954" s="1">
        <v>4781.60363426</v>
      </c>
      <c r="X954" s="1"/>
      <c r="Y954" s="83" t="str">
        <f>VLOOKUP(LossTable[[#This Row],[Department]],$A$15:$B$40,2,FALSE)</f>
        <v>TP</v>
      </c>
    </row>
    <row r="955" spans="4:25" x14ac:dyDescent="0.25">
      <c r="D955" s="78">
        <v>471730</v>
      </c>
      <c r="E955" s="78">
        <v>280014790</v>
      </c>
      <c r="F955" s="83" t="s">
        <v>94</v>
      </c>
      <c r="G955" s="1" t="s">
        <v>663</v>
      </c>
      <c r="H955" s="1" t="s">
        <v>16</v>
      </c>
      <c r="I955" s="1" t="s">
        <v>796</v>
      </c>
      <c r="J955" s="1">
        <v>500000</v>
      </c>
      <c r="K955" s="1">
        <v>25000000</v>
      </c>
      <c r="L955" s="1">
        <v>0</v>
      </c>
      <c r="M955" s="1">
        <v>0</v>
      </c>
      <c r="N955" s="1" t="s">
        <v>122</v>
      </c>
      <c r="O955" s="1">
        <v>0.11499081</v>
      </c>
      <c r="P955" s="1">
        <v>0.02</v>
      </c>
      <c r="Q955" s="83">
        <v>1.7996000000000001</v>
      </c>
      <c r="R955" s="83">
        <v>1.7996000000000001</v>
      </c>
      <c r="S955" s="1">
        <v>1.7996000000000001</v>
      </c>
      <c r="T955" s="83">
        <v>0</v>
      </c>
      <c r="U955" s="1" t="s">
        <v>122</v>
      </c>
      <c r="V955" s="1" t="s">
        <v>836</v>
      </c>
      <c r="W955" s="1">
        <v>4781.60363426</v>
      </c>
      <c r="X955" s="1"/>
      <c r="Y955" s="83" t="str">
        <f>VLOOKUP(LossTable[[#This Row],[Department]],$A$15:$B$40,2,FALSE)</f>
        <v>TP</v>
      </c>
    </row>
    <row r="956" spans="4:25" x14ac:dyDescent="0.25">
      <c r="D956" s="78">
        <v>474032</v>
      </c>
      <c r="E956" s="78">
        <v>280014790</v>
      </c>
      <c r="F956" s="83" t="s">
        <v>21</v>
      </c>
      <c r="G956" s="1" t="s">
        <v>688</v>
      </c>
      <c r="H956" s="1" t="s">
        <v>14</v>
      </c>
      <c r="I956" s="1" t="s">
        <v>689</v>
      </c>
      <c r="J956" s="1">
        <v>42500000</v>
      </c>
      <c r="K956" s="1">
        <v>500000000</v>
      </c>
      <c r="L956" s="1">
        <v>0</v>
      </c>
      <c r="M956" s="1">
        <v>0</v>
      </c>
      <c r="N956" s="1" t="s">
        <v>156</v>
      </c>
      <c r="O956" s="1">
        <v>0.47139999999999999</v>
      </c>
      <c r="P956" s="1">
        <v>8.5000000000000006E-2</v>
      </c>
      <c r="Q956" s="83">
        <v>60377.405700000003</v>
      </c>
      <c r="R956" s="83">
        <v>60377.405700000003</v>
      </c>
      <c r="S956" s="1">
        <v>60377.405700000003</v>
      </c>
      <c r="T956" s="83">
        <v>0</v>
      </c>
      <c r="U956" s="1" t="s">
        <v>122</v>
      </c>
      <c r="V956" s="1" t="s">
        <v>836</v>
      </c>
      <c r="W956" s="1">
        <v>4781.60363426</v>
      </c>
      <c r="X956" s="1"/>
      <c r="Y956" s="83" t="str">
        <f>VLOOKUP(LossTable[[#This Row],[Department]],$A$15:$B$40,2,FALSE)</f>
        <v>London</v>
      </c>
    </row>
    <row r="957" spans="4:25" x14ac:dyDescent="0.25">
      <c r="D957" s="78">
        <v>475611</v>
      </c>
      <c r="E957" s="78">
        <v>280014790</v>
      </c>
      <c r="F957" s="83" t="s">
        <v>21</v>
      </c>
      <c r="G957" s="1" t="s">
        <v>673</v>
      </c>
      <c r="H957" s="1" t="s">
        <v>14</v>
      </c>
      <c r="I957" s="1" t="s">
        <v>674</v>
      </c>
      <c r="J957" s="1">
        <v>14875000</v>
      </c>
      <c r="K957" s="1">
        <v>350000000</v>
      </c>
      <c r="L957" s="1">
        <v>0</v>
      </c>
      <c r="M957" s="1">
        <v>0</v>
      </c>
      <c r="N957" s="1" t="s">
        <v>160</v>
      </c>
      <c r="O957" s="1">
        <v>3.34565891</v>
      </c>
      <c r="P957" s="1">
        <v>4.2500000000000003E-2</v>
      </c>
      <c r="Q957" s="83">
        <v>202533.9472</v>
      </c>
      <c r="R957" s="83">
        <v>202533.9472</v>
      </c>
      <c r="S957" s="1">
        <v>202533.9472</v>
      </c>
      <c r="T957" s="83">
        <v>0</v>
      </c>
      <c r="U957" s="1" t="s">
        <v>122</v>
      </c>
      <c r="V957" s="1" t="s">
        <v>836</v>
      </c>
      <c r="W957" s="1">
        <v>4781.60363426</v>
      </c>
      <c r="X957" s="1"/>
      <c r="Y957" s="83" t="str">
        <f>VLOOKUP(LossTable[[#This Row],[Department]],$A$15:$B$40,2,FALSE)</f>
        <v>London</v>
      </c>
    </row>
    <row r="958" spans="4:25" x14ac:dyDescent="0.25">
      <c r="D958" s="78">
        <v>478529</v>
      </c>
      <c r="E958" s="78">
        <v>280014790</v>
      </c>
      <c r="F958" s="83" t="s">
        <v>94</v>
      </c>
      <c r="G958" s="1" t="s">
        <v>794</v>
      </c>
      <c r="H958" s="1" t="s">
        <v>16</v>
      </c>
      <c r="I958" s="1" t="s">
        <v>840</v>
      </c>
      <c r="J958" s="1">
        <v>4674193.0109999999</v>
      </c>
      <c r="K958" s="1">
        <v>31161286.739999998</v>
      </c>
      <c r="L958" s="1">
        <v>0</v>
      </c>
      <c r="M958" s="1">
        <v>0</v>
      </c>
      <c r="N958" s="1" t="s">
        <v>122</v>
      </c>
      <c r="O958" s="1">
        <v>4.7500000000000001E-2</v>
      </c>
      <c r="P958" s="1">
        <v>0.15</v>
      </c>
      <c r="Q958" s="83">
        <v>3.8805000000000001</v>
      </c>
      <c r="R958" s="83">
        <v>3.8805000000000001</v>
      </c>
      <c r="S958" s="1">
        <v>3.8805000000000001</v>
      </c>
      <c r="T958" s="83">
        <v>0</v>
      </c>
      <c r="U958" s="1" t="s">
        <v>122</v>
      </c>
      <c r="V958" s="1" t="s">
        <v>836</v>
      </c>
      <c r="W958" s="1">
        <v>4781.60363426</v>
      </c>
      <c r="X958" s="1"/>
      <c r="Y958" s="83" t="str">
        <f>VLOOKUP(LossTable[[#This Row],[Department]],$A$15:$B$40,2,FALSE)</f>
        <v>TP</v>
      </c>
    </row>
    <row r="959" spans="4:25" x14ac:dyDescent="0.25">
      <c r="D959" s="78">
        <v>481461</v>
      </c>
      <c r="E959" s="78">
        <v>280014790</v>
      </c>
      <c r="F959" s="83" t="s">
        <v>45</v>
      </c>
      <c r="G959" s="1" t="s">
        <v>806</v>
      </c>
      <c r="H959" s="1" t="s">
        <v>16</v>
      </c>
      <c r="I959" s="1" t="s">
        <v>807</v>
      </c>
      <c r="J959" s="1">
        <v>1800000</v>
      </c>
      <c r="K959" s="1">
        <v>15000000</v>
      </c>
      <c r="L959" s="1">
        <v>0</v>
      </c>
      <c r="M959" s="1">
        <v>0</v>
      </c>
      <c r="N959" s="1" t="s">
        <v>308</v>
      </c>
      <c r="O959" s="1">
        <v>0.12486667</v>
      </c>
      <c r="P959" s="1">
        <v>0.12</v>
      </c>
      <c r="Q959" s="83">
        <v>2.6520000000000001</v>
      </c>
      <c r="R959" s="83">
        <v>2.6520000000000001</v>
      </c>
      <c r="S959" s="1">
        <v>2.6520000000000001</v>
      </c>
      <c r="T959" s="83">
        <v>0.22475999999999999</v>
      </c>
      <c r="U959" s="1" t="s">
        <v>122</v>
      </c>
      <c r="V959" s="1" t="s">
        <v>836</v>
      </c>
      <c r="W959" s="1">
        <v>4781.60363426</v>
      </c>
      <c r="X959" s="1"/>
      <c r="Y959" s="83" t="str">
        <f>VLOOKUP(LossTable[[#This Row],[Department]],$A$15:$B$40,2,FALSE)</f>
        <v>FP</v>
      </c>
    </row>
    <row r="960" spans="4:25" x14ac:dyDescent="0.25">
      <c r="D960" s="78">
        <v>484261</v>
      </c>
      <c r="E960" s="78">
        <v>280014790</v>
      </c>
      <c r="F960" s="83" t="s">
        <v>94</v>
      </c>
      <c r="G960" s="1" t="s">
        <v>686</v>
      </c>
      <c r="H960" s="1" t="s">
        <v>16</v>
      </c>
      <c r="I960" s="1" t="s">
        <v>687</v>
      </c>
      <c r="J960" s="1">
        <v>8000000</v>
      </c>
      <c r="K960" s="1">
        <v>200000000</v>
      </c>
      <c r="L960" s="1">
        <v>0</v>
      </c>
      <c r="M960" s="1">
        <v>0</v>
      </c>
      <c r="N960" s="1" t="s">
        <v>122</v>
      </c>
      <c r="O960" s="1">
        <v>0.18</v>
      </c>
      <c r="P960" s="1">
        <v>0.04</v>
      </c>
      <c r="Q960" s="83">
        <v>20196.985199999999</v>
      </c>
      <c r="R960" s="83">
        <v>20196.985199999999</v>
      </c>
      <c r="S960" s="1">
        <v>20196.985199999999</v>
      </c>
      <c r="T960" s="83">
        <v>0</v>
      </c>
      <c r="U960" s="1" t="s">
        <v>122</v>
      </c>
      <c r="V960" s="1" t="s">
        <v>836</v>
      </c>
      <c r="W960" s="1">
        <v>4781.60363426</v>
      </c>
      <c r="X960" s="1"/>
      <c r="Y960" s="83" t="str">
        <f>VLOOKUP(LossTable[[#This Row],[Department]],$A$15:$B$40,2,FALSE)</f>
        <v>TP</v>
      </c>
    </row>
    <row r="961" spans="4:25" x14ac:dyDescent="0.25">
      <c r="D961" s="78">
        <v>484541</v>
      </c>
      <c r="E961" s="78">
        <v>280014790</v>
      </c>
      <c r="F961" s="83" t="s">
        <v>94</v>
      </c>
      <c r="G961" s="1" t="s">
        <v>596</v>
      </c>
      <c r="H961" s="1" t="s">
        <v>14</v>
      </c>
      <c r="I961" s="1" t="s">
        <v>742</v>
      </c>
      <c r="J961" s="1">
        <v>1500000</v>
      </c>
      <c r="K961" s="1">
        <v>20000000</v>
      </c>
      <c r="L961" s="1">
        <v>0</v>
      </c>
      <c r="M961" s="1">
        <v>0</v>
      </c>
      <c r="N961" s="1" t="s">
        <v>122</v>
      </c>
      <c r="O961" s="1">
        <v>0.95</v>
      </c>
      <c r="P961" s="1">
        <v>7.4999999999999997E-2</v>
      </c>
      <c r="Q961" s="83">
        <v>2615.2860000000001</v>
      </c>
      <c r="R961" s="83">
        <v>2615.2860000000001</v>
      </c>
      <c r="S961" s="1">
        <v>2615.2860000000001</v>
      </c>
      <c r="T961" s="83">
        <v>0</v>
      </c>
      <c r="U961" s="1" t="s">
        <v>122</v>
      </c>
      <c r="V961" s="1" t="s">
        <v>836</v>
      </c>
      <c r="W961" s="1">
        <v>4781.60363426</v>
      </c>
      <c r="X961" s="1"/>
      <c r="Y961" s="83" t="str">
        <f>VLOOKUP(LossTable[[#This Row],[Department]],$A$15:$B$40,2,FALSE)</f>
        <v>TP</v>
      </c>
    </row>
    <row r="962" spans="4:25" x14ac:dyDescent="0.25">
      <c r="D962" s="78">
        <v>484776</v>
      </c>
      <c r="E962" s="78">
        <v>280014790</v>
      </c>
      <c r="F962" s="83" t="s">
        <v>12</v>
      </c>
      <c r="G962" s="1" t="s">
        <v>744</v>
      </c>
      <c r="H962" s="1" t="s">
        <v>14</v>
      </c>
      <c r="I962" s="1" t="s">
        <v>745</v>
      </c>
      <c r="J962" s="1">
        <v>12114900</v>
      </c>
      <c r="K962" s="1">
        <v>210000000</v>
      </c>
      <c r="L962" s="1">
        <v>0</v>
      </c>
      <c r="M962" s="1">
        <v>0</v>
      </c>
      <c r="N962" s="1" t="s">
        <v>122</v>
      </c>
      <c r="O962" s="1">
        <v>1.73333333</v>
      </c>
      <c r="P962" s="1">
        <v>5.7689999999999998E-2</v>
      </c>
      <c r="Q962" s="83">
        <v>443540.18691360002</v>
      </c>
      <c r="R962" s="83">
        <v>443540.18691360002</v>
      </c>
      <c r="S962" s="1">
        <v>443540.18691360002</v>
      </c>
      <c r="T962" s="83">
        <v>0</v>
      </c>
      <c r="U962" s="1" t="s">
        <v>122</v>
      </c>
      <c r="V962" s="1" t="s">
        <v>836</v>
      </c>
      <c r="W962" s="1">
        <v>4781.60363426</v>
      </c>
      <c r="X962" s="1"/>
      <c r="Y962" s="83" t="str">
        <f>VLOOKUP(LossTable[[#This Row],[Department]],$A$15:$B$40,2,FALSE)</f>
        <v>Bermuda</v>
      </c>
    </row>
    <row r="963" spans="4:25" x14ac:dyDescent="0.25">
      <c r="D963" s="78">
        <v>485125</v>
      </c>
      <c r="E963" s="78">
        <v>280014790</v>
      </c>
      <c r="F963" s="83" t="s">
        <v>94</v>
      </c>
      <c r="G963" s="1" t="s">
        <v>808</v>
      </c>
      <c r="H963" s="1" t="s">
        <v>16</v>
      </c>
      <c r="I963" s="1" t="s">
        <v>809</v>
      </c>
      <c r="J963" s="1">
        <v>3403678.8454999998</v>
      </c>
      <c r="K963" s="1">
        <v>68073576.909999996</v>
      </c>
      <c r="L963" s="1">
        <v>0</v>
      </c>
      <c r="M963" s="1">
        <v>0</v>
      </c>
      <c r="N963" s="1" t="s">
        <v>122</v>
      </c>
      <c r="O963" s="1">
        <v>5.5E-2</v>
      </c>
      <c r="P963" s="1">
        <v>0.05</v>
      </c>
      <c r="Q963" s="83">
        <v>12.589</v>
      </c>
      <c r="R963" s="83">
        <v>12.589</v>
      </c>
      <c r="S963" s="1">
        <v>12.589</v>
      </c>
      <c r="T963" s="83">
        <v>0</v>
      </c>
      <c r="U963" s="1" t="s">
        <v>122</v>
      </c>
      <c r="V963" s="1" t="s">
        <v>836</v>
      </c>
      <c r="W963" s="1">
        <v>4781.60363426</v>
      </c>
      <c r="X963" s="1"/>
      <c r="Y963" s="83" t="str">
        <f>VLOOKUP(LossTable[[#This Row],[Department]],$A$15:$B$40,2,FALSE)</f>
        <v>TP</v>
      </c>
    </row>
    <row r="964" spans="4:25" x14ac:dyDescent="0.25">
      <c r="D964" s="78">
        <v>105</v>
      </c>
      <c r="E964" s="78">
        <v>280037801</v>
      </c>
      <c r="F964" s="83" t="s">
        <v>86</v>
      </c>
      <c r="G964" s="1" t="s">
        <v>217</v>
      </c>
      <c r="H964" s="1" t="s">
        <v>16</v>
      </c>
      <c r="I964" s="1" t="s">
        <v>217</v>
      </c>
      <c r="J964" s="1">
        <v>212006444.00703099</v>
      </c>
      <c r="K964" s="1">
        <v>0</v>
      </c>
      <c r="L964" s="1">
        <v>0</v>
      </c>
      <c r="M964" s="1">
        <v>0</v>
      </c>
      <c r="N964" s="1" t="s">
        <v>44</v>
      </c>
      <c r="O964" s="1">
        <v>0</v>
      </c>
      <c r="P964" s="1">
        <v>1</v>
      </c>
      <c r="Q964" s="83">
        <v>1251.0961689999999</v>
      </c>
      <c r="R964" s="83">
        <v>1251.0961689999999</v>
      </c>
      <c r="S964" s="1">
        <v>1251.0961689999999</v>
      </c>
      <c r="T964" s="83">
        <v>0</v>
      </c>
      <c r="U964" s="1" t="s">
        <v>122</v>
      </c>
      <c r="V964" s="1" t="s">
        <v>852</v>
      </c>
      <c r="W964" s="1">
        <v>3949.1976460300002</v>
      </c>
      <c r="X964" s="1"/>
      <c r="Y964" s="83" t="str">
        <f>VLOOKUP(LossTable[[#This Row],[Department]],$A$15:$B$40,2,FALSE)</f>
        <v>FP</v>
      </c>
    </row>
    <row r="965" spans="4:25" x14ac:dyDescent="0.25">
      <c r="D965" s="78">
        <v>117</v>
      </c>
      <c r="E965" s="78">
        <v>280037801</v>
      </c>
      <c r="F965" s="83" t="s">
        <v>42</v>
      </c>
      <c r="G965" s="1" t="s">
        <v>43</v>
      </c>
      <c r="H965" s="1" t="s">
        <v>16</v>
      </c>
      <c r="I965" s="1" t="s">
        <v>43</v>
      </c>
      <c r="J965" s="1">
        <v>166785782.88660601</v>
      </c>
      <c r="K965" s="1">
        <v>0</v>
      </c>
      <c r="L965" s="1">
        <v>0</v>
      </c>
      <c r="M965" s="1">
        <v>0</v>
      </c>
      <c r="N965" s="1" t="s">
        <v>44</v>
      </c>
      <c r="O965" s="1">
        <v>0</v>
      </c>
      <c r="P965" s="1">
        <v>1</v>
      </c>
      <c r="Q965" s="83">
        <v>1095.0186289999999</v>
      </c>
      <c r="R965" s="83">
        <v>1095.0186289999999</v>
      </c>
      <c r="S965" s="1">
        <v>1095.0186289999999</v>
      </c>
      <c r="T965" s="83">
        <v>0</v>
      </c>
      <c r="U965" s="1" t="s">
        <v>122</v>
      </c>
      <c r="V965" s="1" t="s">
        <v>852</v>
      </c>
      <c r="W965" s="1">
        <v>3949.1976460300002</v>
      </c>
      <c r="X965" s="1"/>
      <c r="Y965" s="83" t="str">
        <f>VLOOKUP(LossTable[[#This Row],[Department]],$A$15:$B$40,2,FALSE)</f>
        <v>FP</v>
      </c>
    </row>
    <row r="966" spans="4:25" x14ac:dyDescent="0.25">
      <c r="D966" s="78">
        <v>124</v>
      </c>
      <c r="E966" s="78">
        <v>280037801</v>
      </c>
      <c r="F966" s="83" t="s">
        <v>92</v>
      </c>
      <c r="G966" s="1" t="s">
        <v>220</v>
      </c>
      <c r="H966" s="1" t="s">
        <v>16</v>
      </c>
      <c r="I966" s="1" t="s">
        <v>220</v>
      </c>
      <c r="J966" s="1">
        <v>83656552.490421593</v>
      </c>
      <c r="K966" s="1">
        <v>0</v>
      </c>
      <c r="L966" s="1">
        <v>0</v>
      </c>
      <c r="M966" s="1">
        <v>0</v>
      </c>
      <c r="N966" s="1" t="s">
        <v>44</v>
      </c>
      <c r="O966" s="1">
        <v>0</v>
      </c>
      <c r="P966" s="1">
        <v>1</v>
      </c>
      <c r="Q966" s="83">
        <v>1146.8658720000001</v>
      </c>
      <c r="R966" s="83">
        <v>1146.8658720000001</v>
      </c>
      <c r="S966" s="1">
        <v>1146.8658720000001</v>
      </c>
      <c r="T966" s="83">
        <v>0</v>
      </c>
      <c r="U966" s="1" t="s">
        <v>122</v>
      </c>
      <c r="V966" s="1" t="s">
        <v>852</v>
      </c>
      <c r="W966" s="1">
        <v>3949.1976460300002</v>
      </c>
      <c r="X966" s="1"/>
      <c r="Y966" s="83" t="str">
        <f>VLOOKUP(LossTable[[#This Row],[Department]],$A$15:$B$40,2,FALSE)</f>
        <v>FP</v>
      </c>
    </row>
    <row r="967" spans="4:25" x14ac:dyDescent="0.25">
      <c r="D967" s="78">
        <v>129</v>
      </c>
      <c r="E967" s="78">
        <v>280037801</v>
      </c>
      <c r="F967" s="83" t="s">
        <v>92</v>
      </c>
      <c r="G967" s="1" t="s">
        <v>220</v>
      </c>
      <c r="H967" s="1" t="s">
        <v>16</v>
      </c>
      <c r="I967" s="1" t="s">
        <v>220</v>
      </c>
      <c r="J967" s="1">
        <v>62314120.225133099</v>
      </c>
      <c r="K967" s="1">
        <v>0</v>
      </c>
      <c r="L967" s="1">
        <v>0</v>
      </c>
      <c r="M967" s="1">
        <v>0</v>
      </c>
      <c r="N967" s="1" t="s">
        <v>44</v>
      </c>
      <c r="O967" s="1">
        <v>0</v>
      </c>
      <c r="P967" s="1">
        <v>1</v>
      </c>
      <c r="Q967" s="83">
        <v>76.675561000000002</v>
      </c>
      <c r="R967" s="83">
        <v>76.675561000000002</v>
      </c>
      <c r="S967" s="1">
        <v>76.675561000000002</v>
      </c>
      <c r="T967" s="83">
        <v>0</v>
      </c>
      <c r="U967" s="1" t="s">
        <v>122</v>
      </c>
      <c r="V967" s="1" t="s">
        <v>852</v>
      </c>
      <c r="W967" s="1">
        <v>3949.1976460300002</v>
      </c>
      <c r="X967" s="1"/>
      <c r="Y967" s="83" t="str">
        <f>VLOOKUP(LossTable[[#This Row],[Department]],$A$15:$B$40,2,FALSE)</f>
        <v>FP</v>
      </c>
    </row>
    <row r="968" spans="4:25" x14ac:dyDescent="0.25">
      <c r="D968" s="78">
        <v>143</v>
      </c>
      <c r="E968" s="78">
        <v>280037801</v>
      </c>
      <c r="F968" s="83" t="s">
        <v>45</v>
      </c>
      <c r="G968" s="1" t="s">
        <v>46</v>
      </c>
      <c r="H968" s="1" t="s">
        <v>16</v>
      </c>
      <c r="I968" s="1" t="s">
        <v>46</v>
      </c>
      <c r="J968" s="1">
        <v>89508914</v>
      </c>
      <c r="K968" s="1">
        <v>0</v>
      </c>
      <c r="L968" s="1">
        <v>0</v>
      </c>
      <c r="M968" s="1">
        <v>0</v>
      </c>
      <c r="N968" s="1" t="s">
        <v>44</v>
      </c>
      <c r="O968" s="1">
        <v>0</v>
      </c>
      <c r="P968" s="1">
        <v>1</v>
      </c>
      <c r="Q968" s="83">
        <v>993.83358799999996</v>
      </c>
      <c r="R968" s="83">
        <v>993.83358799999996</v>
      </c>
      <c r="S968" s="1">
        <v>993.83358799999996</v>
      </c>
      <c r="T968" s="83">
        <v>0</v>
      </c>
      <c r="U968" s="1" t="s">
        <v>122</v>
      </c>
      <c r="V968" s="1" t="s">
        <v>852</v>
      </c>
      <c r="W968" s="1">
        <v>3949.1976460300002</v>
      </c>
      <c r="X968" s="1"/>
      <c r="Y968" s="83" t="str">
        <f>VLOOKUP(LossTable[[#This Row],[Department]],$A$15:$B$40,2,FALSE)</f>
        <v>FP</v>
      </c>
    </row>
    <row r="969" spans="4:25" x14ac:dyDescent="0.25">
      <c r="D969" s="78">
        <v>40373</v>
      </c>
      <c r="E969" s="78">
        <v>280037801</v>
      </c>
      <c r="F969" s="83" t="s">
        <v>133</v>
      </c>
      <c r="G969" s="1" t="s">
        <v>134</v>
      </c>
      <c r="H969" s="1" t="s">
        <v>14</v>
      </c>
      <c r="I969" s="1" t="s">
        <v>135</v>
      </c>
      <c r="J969" s="1">
        <v>1133398288.04</v>
      </c>
      <c r="K969" s="1">
        <v>1133398288.04</v>
      </c>
      <c r="L969" s="1">
        <v>0</v>
      </c>
      <c r="M969" s="1">
        <v>0</v>
      </c>
      <c r="N969" s="1" t="s">
        <v>14</v>
      </c>
      <c r="O969" s="1">
        <v>4.3817799999999997E-2</v>
      </c>
      <c r="P969" s="1">
        <v>1</v>
      </c>
      <c r="Q969" s="83">
        <v>3370.91</v>
      </c>
      <c r="R969" s="83">
        <v>3370.91</v>
      </c>
      <c r="S969" s="1">
        <v>3370.91</v>
      </c>
      <c r="T969" s="83">
        <v>0</v>
      </c>
      <c r="U969" s="1" t="s">
        <v>122</v>
      </c>
      <c r="V969" s="1" t="s">
        <v>852</v>
      </c>
      <c r="W969" s="1">
        <v>3949.1976460300002</v>
      </c>
      <c r="X969" s="1"/>
      <c r="Y969" s="83" t="str">
        <f>VLOOKUP(LossTable[[#This Row],[Department]],$A$15:$B$40,2,FALSE)</f>
        <v>Insurance</v>
      </c>
    </row>
    <row r="970" spans="4:25" x14ac:dyDescent="0.25">
      <c r="D970" s="78">
        <v>197195</v>
      </c>
      <c r="E970" s="78">
        <v>280037801</v>
      </c>
      <c r="F970" s="83" t="s">
        <v>87</v>
      </c>
      <c r="G970" s="1" t="s">
        <v>232</v>
      </c>
      <c r="H970" s="1" t="s">
        <v>14</v>
      </c>
      <c r="I970" s="1" t="s">
        <v>233</v>
      </c>
      <c r="J970" s="1">
        <v>188117955.44999999</v>
      </c>
      <c r="K970" s="1">
        <v>188117955.44999999</v>
      </c>
      <c r="L970" s="1">
        <v>0</v>
      </c>
      <c r="M970" s="1">
        <v>0</v>
      </c>
      <c r="N970" s="1" t="s">
        <v>14</v>
      </c>
      <c r="O970" s="1">
        <v>0.45928629999999998</v>
      </c>
      <c r="P970" s="1">
        <v>1</v>
      </c>
      <c r="Q970" s="83">
        <v>164517.15</v>
      </c>
      <c r="R970" s="83">
        <v>164517.15</v>
      </c>
      <c r="S970" s="1">
        <v>164517.15</v>
      </c>
      <c r="T970" s="83">
        <v>0</v>
      </c>
      <c r="U970" s="1" t="s">
        <v>122</v>
      </c>
      <c r="V970" s="1" t="s">
        <v>852</v>
      </c>
      <c r="W970" s="1">
        <v>3949.1976460300002</v>
      </c>
      <c r="X970" s="1"/>
      <c r="Y970" s="83" t="str">
        <f>VLOOKUP(LossTable[[#This Row],[Department]],$A$15:$B$40,2,FALSE)</f>
        <v>Insurance</v>
      </c>
    </row>
    <row r="971" spans="4:25" x14ac:dyDescent="0.25">
      <c r="D971" s="78">
        <v>358575</v>
      </c>
      <c r="E971" s="78">
        <v>280037801</v>
      </c>
      <c r="F971" s="83" t="s">
        <v>130</v>
      </c>
      <c r="G971" s="1" t="s">
        <v>143</v>
      </c>
      <c r="H971" s="1" t="s">
        <v>14</v>
      </c>
      <c r="I971" s="1" t="s">
        <v>144</v>
      </c>
      <c r="J971" s="1">
        <v>95285572.239999995</v>
      </c>
      <c r="K971" s="1">
        <v>95285572.239999995</v>
      </c>
      <c r="L971" s="1">
        <v>0</v>
      </c>
      <c r="M971" s="1">
        <v>0</v>
      </c>
      <c r="N971" s="1" t="s">
        <v>14</v>
      </c>
      <c r="O971" s="1">
        <v>4.19791E-3</v>
      </c>
      <c r="P971" s="1">
        <v>1</v>
      </c>
      <c r="Q971" s="83">
        <v>66673.440000000002</v>
      </c>
      <c r="R971" s="83">
        <v>66673.440000000002</v>
      </c>
      <c r="S971" s="1">
        <v>66673.440000000002</v>
      </c>
      <c r="T971" s="83">
        <v>0</v>
      </c>
      <c r="U971" s="1" t="s">
        <v>122</v>
      </c>
      <c r="V971" s="1" t="s">
        <v>852</v>
      </c>
      <c r="W971" s="1">
        <v>3949.1976460300002</v>
      </c>
      <c r="X971" s="1"/>
      <c r="Y971" s="83" t="str">
        <f>VLOOKUP(LossTable[[#This Row],[Department]],$A$15:$B$40,2,FALSE)</f>
        <v>Insurance</v>
      </c>
    </row>
    <row r="972" spans="4:25" x14ac:dyDescent="0.25">
      <c r="D972" s="78">
        <v>388306</v>
      </c>
      <c r="E972" s="78">
        <v>280037801</v>
      </c>
      <c r="F972" s="83" t="s">
        <v>100</v>
      </c>
      <c r="G972" s="1" t="s">
        <v>267</v>
      </c>
      <c r="H972" s="1" t="s">
        <v>16</v>
      </c>
      <c r="I972" s="1" t="s">
        <v>268</v>
      </c>
      <c r="J972" s="1">
        <v>-206418014.86000001</v>
      </c>
      <c r="K972" s="1">
        <v>-206418014.86000001</v>
      </c>
      <c r="L972" s="1">
        <v>0</v>
      </c>
      <c r="M972" s="1">
        <v>0</v>
      </c>
      <c r="N972" s="1" t="s">
        <v>254</v>
      </c>
      <c r="O972" s="1">
        <v>0</v>
      </c>
      <c r="P972" s="1">
        <v>1</v>
      </c>
      <c r="Q972" s="83">
        <v>0</v>
      </c>
      <c r="R972" s="83">
        <v>0</v>
      </c>
      <c r="S972" s="1">
        <v>-2189.62</v>
      </c>
      <c r="T972" s="83">
        <v>0</v>
      </c>
      <c r="U972" s="1" t="s">
        <v>122</v>
      </c>
      <c r="V972" s="1" t="s">
        <v>852</v>
      </c>
      <c r="W972" s="1">
        <v>3949.1976460300002</v>
      </c>
      <c r="X972" s="1"/>
      <c r="Y972" s="83" t="str">
        <f>VLOOKUP(LossTable[[#This Row],[Department]],$A$15:$B$40,2,FALSE)</f>
        <v>EI Recovery^</v>
      </c>
    </row>
    <row r="973" spans="4:25" x14ac:dyDescent="0.25">
      <c r="D973" s="78">
        <v>422403</v>
      </c>
      <c r="E973" s="78">
        <v>280037801</v>
      </c>
      <c r="F973" s="83" t="s">
        <v>45</v>
      </c>
      <c r="G973" s="1" t="s">
        <v>316</v>
      </c>
      <c r="H973" s="1" t="s">
        <v>14</v>
      </c>
      <c r="I973" s="1" t="s">
        <v>317</v>
      </c>
      <c r="J973" s="1">
        <v>4500000</v>
      </c>
      <c r="K973" s="1">
        <v>30000000</v>
      </c>
      <c r="L973" s="1">
        <v>0</v>
      </c>
      <c r="M973" s="1">
        <v>0</v>
      </c>
      <c r="N973" s="1" t="s">
        <v>14</v>
      </c>
      <c r="O973" s="1">
        <v>0.15728167000000001</v>
      </c>
      <c r="P973" s="1">
        <v>0.15</v>
      </c>
      <c r="Q973" s="83">
        <v>712.74900000000002</v>
      </c>
      <c r="R973" s="83">
        <v>712.74900000000002</v>
      </c>
      <c r="S973" s="1">
        <v>712.74900000000002</v>
      </c>
      <c r="T973" s="83">
        <v>0</v>
      </c>
      <c r="U973" s="1" t="s">
        <v>122</v>
      </c>
      <c r="V973" s="1" t="s">
        <v>852</v>
      </c>
      <c r="W973" s="1">
        <v>3949.1976460300002</v>
      </c>
      <c r="X973" s="1"/>
      <c r="Y973" s="83" t="str">
        <f>VLOOKUP(LossTable[[#This Row],[Department]],$A$15:$B$40,2,FALSE)</f>
        <v>FP</v>
      </c>
    </row>
    <row r="974" spans="4:25" x14ac:dyDescent="0.25">
      <c r="D974" s="78">
        <v>424585</v>
      </c>
      <c r="E974" s="78">
        <v>280037801</v>
      </c>
      <c r="F974" s="83" t="s">
        <v>94</v>
      </c>
      <c r="G974" s="1" t="s">
        <v>282</v>
      </c>
      <c r="H974" s="1" t="s">
        <v>16</v>
      </c>
      <c r="I974" s="1" t="s">
        <v>283</v>
      </c>
      <c r="J974" s="1">
        <v>1800000</v>
      </c>
      <c r="K974" s="1">
        <v>20000000</v>
      </c>
      <c r="L974" s="1">
        <v>0</v>
      </c>
      <c r="M974" s="1">
        <v>0</v>
      </c>
      <c r="N974" s="1" t="s">
        <v>284</v>
      </c>
      <c r="O974" s="1">
        <v>0.14499999999999999</v>
      </c>
      <c r="P974" s="1">
        <v>0.09</v>
      </c>
      <c r="Q974" s="83">
        <v>1222.5879</v>
      </c>
      <c r="R974" s="83">
        <v>1222.5879</v>
      </c>
      <c r="S974" s="1">
        <v>1222.5879</v>
      </c>
      <c r="T974" s="83">
        <v>0</v>
      </c>
      <c r="U974" s="1" t="s">
        <v>122</v>
      </c>
      <c r="V974" s="1" t="s">
        <v>852</v>
      </c>
      <c r="W974" s="1">
        <v>3949.1976460300002</v>
      </c>
      <c r="X974" s="1"/>
      <c r="Y974" s="83" t="str">
        <f>VLOOKUP(LossTable[[#This Row],[Department]],$A$15:$B$40,2,FALSE)</f>
        <v>TP</v>
      </c>
    </row>
    <row r="975" spans="4:25" x14ac:dyDescent="0.25">
      <c r="D975" s="78">
        <v>426794</v>
      </c>
      <c r="E975" s="78">
        <v>280037801</v>
      </c>
      <c r="F975" s="83" t="s">
        <v>45</v>
      </c>
      <c r="G975" s="1" t="s">
        <v>289</v>
      </c>
      <c r="H975" s="1" t="s">
        <v>16</v>
      </c>
      <c r="I975" s="1" t="s">
        <v>290</v>
      </c>
      <c r="J975" s="1">
        <v>6499999.7999999998</v>
      </c>
      <c r="K975" s="1">
        <v>60000000</v>
      </c>
      <c r="L975" s="1">
        <v>0</v>
      </c>
      <c r="M975" s="1">
        <v>0</v>
      </c>
      <c r="N975" s="1" t="s">
        <v>291</v>
      </c>
      <c r="O975" s="1">
        <v>0.21676117</v>
      </c>
      <c r="P975" s="1">
        <v>0.10833333000000001</v>
      </c>
      <c r="Q975" s="83">
        <v>600.24464820000003</v>
      </c>
      <c r="R975" s="83">
        <v>600.24464820000003</v>
      </c>
      <c r="S975" s="1">
        <v>600.24464820000003</v>
      </c>
      <c r="T975" s="83">
        <v>0</v>
      </c>
      <c r="U975" s="1" t="s">
        <v>122</v>
      </c>
      <c r="V975" s="1" t="s">
        <v>852</v>
      </c>
      <c r="W975" s="1">
        <v>3949.1976460300002</v>
      </c>
      <c r="X975" s="1"/>
      <c r="Y975" s="83" t="str">
        <f>VLOOKUP(LossTable[[#This Row],[Department]],$A$15:$B$40,2,FALSE)</f>
        <v>FP</v>
      </c>
    </row>
    <row r="976" spans="4:25" x14ac:dyDescent="0.25">
      <c r="D976" s="78">
        <v>428943</v>
      </c>
      <c r="E976" s="78">
        <v>280037801</v>
      </c>
      <c r="F976" s="83" t="s">
        <v>12</v>
      </c>
      <c r="G976" s="1" t="s">
        <v>262</v>
      </c>
      <c r="H976" s="1" t="s">
        <v>14</v>
      </c>
      <c r="I976" s="1" t="s">
        <v>263</v>
      </c>
      <c r="J976" s="1">
        <v>65700000</v>
      </c>
      <c r="K976" s="1">
        <v>1314000000</v>
      </c>
      <c r="L976" s="1">
        <v>0</v>
      </c>
      <c r="M976" s="1">
        <v>0</v>
      </c>
      <c r="N976" s="1" t="s">
        <v>162</v>
      </c>
      <c r="O976" s="1">
        <v>2.9524310800000002</v>
      </c>
      <c r="P976" s="1">
        <v>0.05</v>
      </c>
      <c r="Q976" s="83">
        <v>652430.17649999994</v>
      </c>
      <c r="R976" s="83">
        <v>652430.17649999994</v>
      </c>
      <c r="S976" s="1">
        <v>652430.17649999994</v>
      </c>
      <c r="T976" s="83">
        <v>0</v>
      </c>
      <c r="U976" s="1" t="s">
        <v>122</v>
      </c>
      <c r="V976" s="1" t="s">
        <v>852</v>
      </c>
      <c r="W976" s="1">
        <v>3949.1976460300002</v>
      </c>
      <c r="X976" s="1"/>
      <c r="Y976" s="83" t="str">
        <f>VLOOKUP(LossTable[[#This Row],[Department]],$A$15:$B$40,2,FALSE)</f>
        <v>Bermuda</v>
      </c>
    </row>
    <row r="977" spans="4:25" x14ac:dyDescent="0.25">
      <c r="D977" s="78">
        <v>430384</v>
      </c>
      <c r="E977" s="78">
        <v>280037801</v>
      </c>
      <c r="F977" s="83" t="s">
        <v>94</v>
      </c>
      <c r="G977" s="1" t="s">
        <v>313</v>
      </c>
      <c r="H977" s="1" t="s">
        <v>16</v>
      </c>
      <c r="I977" s="1" t="s">
        <v>314</v>
      </c>
      <c r="J977" s="1">
        <v>525000</v>
      </c>
      <c r="K977" s="1">
        <v>10000000</v>
      </c>
      <c r="L977" s="1">
        <v>0</v>
      </c>
      <c r="M977" s="1">
        <v>0</v>
      </c>
      <c r="N977" s="1" t="s">
        <v>315</v>
      </c>
      <c r="O977" s="1">
        <v>0.65</v>
      </c>
      <c r="P977" s="1">
        <v>5.2499999999999998E-2</v>
      </c>
      <c r="Q977" s="83">
        <v>73348.708125000005</v>
      </c>
      <c r="R977" s="83">
        <v>73348.708125000005</v>
      </c>
      <c r="S977" s="1">
        <v>73348.708125000005</v>
      </c>
      <c r="T977" s="83">
        <v>0</v>
      </c>
      <c r="U977" s="1" t="s">
        <v>122</v>
      </c>
      <c r="V977" s="1" t="s">
        <v>852</v>
      </c>
      <c r="W977" s="1">
        <v>3949.1976460300002</v>
      </c>
      <c r="X977" s="1"/>
      <c r="Y977" s="83" t="str">
        <f>VLOOKUP(LossTable[[#This Row],[Department]],$A$15:$B$40,2,FALSE)</f>
        <v>TP</v>
      </c>
    </row>
    <row r="978" spans="4:25" x14ac:dyDescent="0.25">
      <c r="D978" s="78">
        <v>430854</v>
      </c>
      <c r="E978" s="78">
        <v>280037801</v>
      </c>
      <c r="F978" s="83" t="s">
        <v>93</v>
      </c>
      <c r="G978" s="1" t="s">
        <v>333</v>
      </c>
      <c r="H978" s="1" t="s">
        <v>14</v>
      </c>
      <c r="I978" s="1" t="s">
        <v>334</v>
      </c>
      <c r="J978" s="1">
        <v>10000000</v>
      </c>
      <c r="K978" s="1">
        <v>100000000</v>
      </c>
      <c r="L978" s="1">
        <v>0</v>
      </c>
      <c r="M978" s="1">
        <v>0</v>
      </c>
      <c r="N978" s="1" t="s">
        <v>335</v>
      </c>
      <c r="O978" s="1">
        <v>0.49</v>
      </c>
      <c r="P978" s="1">
        <v>0.1</v>
      </c>
      <c r="Q978" s="83">
        <v>2226.3409999999999</v>
      </c>
      <c r="R978" s="83">
        <v>2226.3409999999999</v>
      </c>
      <c r="S978" s="1">
        <v>2226.3409999999999</v>
      </c>
      <c r="T978" s="83">
        <v>0</v>
      </c>
      <c r="U978" s="1" t="s">
        <v>122</v>
      </c>
      <c r="V978" s="1" t="s">
        <v>852</v>
      </c>
      <c r="W978" s="1">
        <v>3949.1976460300002</v>
      </c>
      <c r="X978" s="1"/>
      <c r="Y978" s="83" t="str">
        <f>VLOOKUP(LossTable[[#This Row],[Department]],$A$15:$B$40,2,FALSE)</f>
        <v>MEA</v>
      </c>
    </row>
    <row r="979" spans="4:25" x14ac:dyDescent="0.25">
      <c r="D979" s="78">
        <v>431322</v>
      </c>
      <c r="E979" s="78">
        <v>280037801</v>
      </c>
      <c r="F979" s="83" t="s">
        <v>94</v>
      </c>
      <c r="G979" s="1" t="s">
        <v>269</v>
      </c>
      <c r="H979" s="1" t="s">
        <v>16</v>
      </c>
      <c r="I979" s="1" t="s">
        <v>351</v>
      </c>
      <c r="J979" s="1">
        <v>127842</v>
      </c>
      <c r="K979" s="1">
        <v>2556840</v>
      </c>
      <c r="L979" s="1">
        <v>0</v>
      </c>
      <c r="M979" s="1">
        <v>0</v>
      </c>
      <c r="N979" s="1" t="s">
        <v>352</v>
      </c>
      <c r="O979" s="1">
        <v>1.2004377500000001</v>
      </c>
      <c r="P979" s="1">
        <v>0.05</v>
      </c>
      <c r="Q979" s="83">
        <v>1520.7929999999999</v>
      </c>
      <c r="R979" s="83">
        <v>1520.7929999999999</v>
      </c>
      <c r="S979" s="1">
        <v>1520.7929999999999</v>
      </c>
      <c r="T979" s="83">
        <v>0</v>
      </c>
      <c r="U979" s="1" t="s">
        <v>122</v>
      </c>
      <c r="V979" s="1" t="s">
        <v>852</v>
      </c>
      <c r="W979" s="1">
        <v>3949.1976460300002</v>
      </c>
      <c r="X979" s="1"/>
      <c r="Y979" s="83" t="str">
        <f>VLOOKUP(LossTable[[#This Row],[Department]],$A$15:$B$40,2,FALSE)</f>
        <v>TP</v>
      </c>
    </row>
    <row r="980" spans="4:25" x14ac:dyDescent="0.25">
      <c r="D980" s="78">
        <v>431666</v>
      </c>
      <c r="E980" s="78">
        <v>280037801</v>
      </c>
      <c r="F980" s="83" t="s">
        <v>45</v>
      </c>
      <c r="G980" s="1" t="s">
        <v>264</v>
      </c>
      <c r="H980" s="1" t="s">
        <v>16</v>
      </c>
      <c r="I980" s="1" t="s">
        <v>265</v>
      </c>
      <c r="J980" s="1">
        <v>5913368.0010000002</v>
      </c>
      <c r="K980" s="1">
        <v>32852044.449999999</v>
      </c>
      <c r="L980" s="1">
        <v>0</v>
      </c>
      <c r="M980" s="1">
        <v>0</v>
      </c>
      <c r="N980" s="1" t="s">
        <v>266</v>
      </c>
      <c r="O980" s="1">
        <v>8.7431700000000001E-2</v>
      </c>
      <c r="P980" s="1">
        <v>0.18</v>
      </c>
      <c r="Q980" s="83">
        <v>22972.620599999998</v>
      </c>
      <c r="R980" s="83">
        <v>22972.620599999998</v>
      </c>
      <c r="S980" s="1">
        <v>22972.620599999998</v>
      </c>
      <c r="T980" s="83">
        <v>0</v>
      </c>
      <c r="U980" s="1" t="s">
        <v>122</v>
      </c>
      <c r="V980" s="1" t="s">
        <v>852</v>
      </c>
      <c r="W980" s="1">
        <v>3949.1976460300002</v>
      </c>
      <c r="X980" s="1"/>
      <c r="Y980" s="83" t="str">
        <f>VLOOKUP(LossTable[[#This Row],[Department]],$A$15:$B$40,2,FALSE)</f>
        <v>FP</v>
      </c>
    </row>
    <row r="981" spans="4:25" x14ac:dyDescent="0.25">
      <c r="D981" s="78">
        <v>432034</v>
      </c>
      <c r="E981" s="78">
        <v>280037801</v>
      </c>
      <c r="F981" s="83" t="s">
        <v>94</v>
      </c>
      <c r="G981" s="1" t="s">
        <v>279</v>
      </c>
      <c r="H981" s="1" t="s">
        <v>14</v>
      </c>
      <c r="I981" s="1" t="s">
        <v>280</v>
      </c>
      <c r="J981" s="1">
        <v>16877119</v>
      </c>
      <c r="K981" s="1">
        <v>241101700</v>
      </c>
      <c r="L981" s="1">
        <v>0</v>
      </c>
      <c r="M981" s="1">
        <v>0</v>
      </c>
      <c r="N981" s="1" t="s">
        <v>281</v>
      </c>
      <c r="O981" s="1">
        <v>1.5384615399999999</v>
      </c>
      <c r="P981" s="1">
        <v>7.0000000000000007E-2</v>
      </c>
      <c r="Q981" s="83">
        <v>550247.49569999997</v>
      </c>
      <c r="R981" s="83">
        <v>550247.49569999997</v>
      </c>
      <c r="S981" s="1">
        <v>550247.49569999997</v>
      </c>
      <c r="T981" s="83">
        <v>0</v>
      </c>
      <c r="U981" s="1" t="s">
        <v>122</v>
      </c>
      <c r="V981" s="1" t="s">
        <v>852</v>
      </c>
      <c r="W981" s="1">
        <v>3949.1976460300002</v>
      </c>
      <c r="X981" s="1"/>
      <c r="Y981" s="83" t="str">
        <f>VLOOKUP(LossTable[[#This Row],[Department]],$A$15:$B$40,2,FALSE)</f>
        <v>TP</v>
      </c>
    </row>
    <row r="982" spans="4:25" x14ac:dyDescent="0.25">
      <c r="D982" s="78">
        <v>434724</v>
      </c>
      <c r="E982" s="78">
        <v>280037801</v>
      </c>
      <c r="F982" s="83" t="s">
        <v>94</v>
      </c>
      <c r="G982" s="1" t="s">
        <v>330</v>
      </c>
      <c r="H982" s="1" t="s">
        <v>14</v>
      </c>
      <c r="I982" s="1" t="s">
        <v>331</v>
      </c>
      <c r="J982" s="1">
        <v>3813046.875</v>
      </c>
      <c r="K982" s="1">
        <v>46218750</v>
      </c>
      <c r="L982" s="1">
        <v>0</v>
      </c>
      <c r="M982" s="1">
        <v>0</v>
      </c>
      <c r="N982" s="1" t="s">
        <v>332</v>
      </c>
      <c r="O982" s="1">
        <v>0.8</v>
      </c>
      <c r="P982" s="1">
        <v>8.2500000000000004E-2</v>
      </c>
      <c r="Q982" s="83">
        <v>4399.4222250000003</v>
      </c>
      <c r="R982" s="83">
        <v>4399.4222250000003</v>
      </c>
      <c r="S982" s="1">
        <v>4399.4222250000003</v>
      </c>
      <c r="T982" s="83">
        <v>0</v>
      </c>
      <c r="U982" s="1" t="s">
        <v>122</v>
      </c>
      <c r="V982" s="1" t="s">
        <v>852</v>
      </c>
      <c r="W982" s="1">
        <v>3949.1976460300002</v>
      </c>
      <c r="X982" s="1"/>
      <c r="Y982" s="83" t="str">
        <f>VLOOKUP(LossTable[[#This Row],[Department]],$A$15:$B$40,2,FALSE)</f>
        <v>TP</v>
      </c>
    </row>
    <row r="983" spans="4:25" x14ac:dyDescent="0.25">
      <c r="D983" s="78">
        <v>435275</v>
      </c>
      <c r="E983" s="78">
        <v>280037801</v>
      </c>
      <c r="F983" s="83" t="s">
        <v>94</v>
      </c>
      <c r="G983" s="1" t="s">
        <v>756</v>
      </c>
      <c r="H983" s="1" t="s">
        <v>16</v>
      </c>
      <c r="I983" s="1" t="s">
        <v>757</v>
      </c>
      <c r="J983" s="1">
        <v>2500000</v>
      </c>
      <c r="K983" s="1">
        <v>25000000</v>
      </c>
      <c r="L983" s="1">
        <v>0</v>
      </c>
      <c r="M983" s="1">
        <v>0</v>
      </c>
      <c r="N983" s="1" t="s">
        <v>407</v>
      </c>
      <c r="O983" s="1">
        <v>0.23199997</v>
      </c>
      <c r="P983" s="1">
        <v>0.1</v>
      </c>
      <c r="Q983" s="83">
        <v>66.069999999999993</v>
      </c>
      <c r="R983" s="83">
        <v>66.069999999999993</v>
      </c>
      <c r="S983" s="1">
        <v>66.069999999999993</v>
      </c>
      <c r="T983" s="83">
        <v>0</v>
      </c>
      <c r="U983" s="1" t="s">
        <v>122</v>
      </c>
      <c r="V983" s="1" t="s">
        <v>852</v>
      </c>
      <c r="W983" s="1">
        <v>3949.1976460300002</v>
      </c>
      <c r="X983" s="1"/>
      <c r="Y983" s="83" t="str">
        <f>VLOOKUP(LossTable[[#This Row],[Department]],$A$15:$B$40,2,FALSE)</f>
        <v>TP</v>
      </c>
    </row>
    <row r="984" spans="4:25" x14ac:dyDescent="0.25">
      <c r="D984" s="78">
        <v>435795</v>
      </c>
      <c r="E984" s="78">
        <v>280037801</v>
      </c>
      <c r="F984" s="83" t="s">
        <v>94</v>
      </c>
      <c r="G984" s="1" t="s">
        <v>167</v>
      </c>
      <c r="H984" s="1" t="s">
        <v>16</v>
      </c>
      <c r="I984" s="1" t="s">
        <v>338</v>
      </c>
      <c r="J984" s="1">
        <v>3812500</v>
      </c>
      <c r="K984" s="1">
        <v>25000000</v>
      </c>
      <c r="L984" s="1">
        <v>0</v>
      </c>
      <c r="M984" s="1">
        <v>0</v>
      </c>
      <c r="N984" s="1" t="s">
        <v>122</v>
      </c>
      <c r="O984" s="1">
        <v>0.12600037</v>
      </c>
      <c r="P984" s="1">
        <v>0.1525</v>
      </c>
      <c r="Q984" s="83">
        <v>696.93872499999998</v>
      </c>
      <c r="R984" s="83">
        <v>696.93872499999998</v>
      </c>
      <c r="S984" s="1">
        <v>696.93872499999998</v>
      </c>
      <c r="T984" s="83">
        <v>0</v>
      </c>
      <c r="U984" s="1" t="s">
        <v>122</v>
      </c>
      <c r="V984" s="1" t="s">
        <v>852</v>
      </c>
      <c r="W984" s="1">
        <v>3949.1976460300002</v>
      </c>
      <c r="X984" s="1"/>
      <c r="Y984" s="83" t="str">
        <f>VLOOKUP(LossTable[[#This Row],[Department]],$A$15:$B$40,2,FALSE)</f>
        <v>TP</v>
      </c>
    </row>
    <row r="985" spans="4:25" x14ac:dyDescent="0.25">
      <c r="D985" s="78">
        <v>438656</v>
      </c>
      <c r="E985" s="78">
        <v>280037801</v>
      </c>
      <c r="F985" s="83" t="s">
        <v>94</v>
      </c>
      <c r="G985" s="1" t="s">
        <v>788</v>
      </c>
      <c r="H985" s="1" t="s">
        <v>14</v>
      </c>
      <c r="I985" s="1" t="s">
        <v>789</v>
      </c>
      <c r="J985" s="1">
        <v>2900000</v>
      </c>
      <c r="K985" s="1">
        <v>40000000</v>
      </c>
      <c r="L985" s="1">
        <v>0</v>
      </c>
      <c r="M985" s="1">
        <v>0</v>
      </c>
      <c r="N985" s="1" t="s">
        <v>400</v>
      </c>
      <c r="O985" s="1">
        <v>16.782877500000001</v>
      </c>
      <c r="P985" s="1">
        <v>7.2499999999999995E-2</v>
      </c>
      <c r="Q985" s="83">
        <v>629035.67949999997</v>
      </c>
      <c r="R985" s="83">
        <v>629035.67949999997</v>
      </c>
      <c r="S985" s="1">
        <v>629035.67949999997</v>
      </c>
      <c r="T985" s="83">
        <v>0</v>
      </c>
      <c r="U985" s="1" t="s">
        <v>122</v>
      </c>
      <c r="V985" s="1" t="s">
        <v>852</v>
      </c>
      <c r="W985" s="1">
        <v>3949.1976460300002</v>
      </c>
      <c r="X985" s="1"/>
      <c r="Y985" s="83" t="str">
        <f>VLOOKUP(LossTable[[#This Row],[Department]],$A$15:$B$40,2,FALSE)</f>
        <v>TP</v>
      </c>
    </row>
    <row r="986" spans="4:25" x14ac:dyDescent="0.25">
      <c r="D986" s="78">
        <v>441789</v>
      </c>
      <c r="E986" s="78">
        <v>280037801</v>
      </c>
      <c r="F986" s="83" t="s">
        <v>94</v>
      </c>
      <c r="G986" s="1" t="s">
        <v>380</v>
      </c>
      <c r="H986" s="1" t="s">
        <v>16</v>
      </c>
      <c r="I986" s="1" t="s">
        <v>447</v>
      </c>
      <c r="J986" s="1">
        <v>375000</v>
      </c>
      <c r="K986" s="1">
        <v>30000000</v>
      </c>
      <c r="L986" s="1">
        <v>0</v>
      </c>
      <c r="M986" s="1">
        <v>0</v>
      </c>
      <c r="N986" s="1" t="s">
        <v>122</v>
      </c>
      <c r="O986" s="1">
        <v>0.33333332999999998</v>
      </c>
      <c r="P986" s="1">
        <v>1.2500000000000001E-2</v>
      </c>
      <c r="Q986" s="83">
        <v>299.89812499999999</v>
      </c>
      <c r="R986" s="83">
        <v>299.89812499999999</v>
      </c>
      <c r="S986" s="1">
        <v>299.89812499999999</v>
      </c>
      <c r="T986" s="83">
        <v>0</v>
      </c>
      <c r="U986" s="1" t="s">
        <v>122</v>
      </c>
      <c r="V986" s="1" t="s">
        <v>852</v>
      </c>
      <c r="W986" s="1">
        <v>3949.1976460300002</v>
      </c>
      <c r="X986" s="1"/>
      <c r="Y986" s="83" t="str">
        <f>VLOOKUP(LossTable[[#This Row],[Department]],$A$15:$B$40,2,FALSE)</f>
        <v>TP</v>
      </c>
    </row>
    <row r="987" spans="4:25" x14ac:dyDescent="0.25">
      <c r="D987" s="78">
        <v>445970</v>
      </c>
      <c r="E987" s="78">
        <v>280037801</v>
      </c>
      <c r="F987" s="83" t="s">
        <v>94</v>
      </c>
      <c r="G987" s="1" t="s">
        <v>470</v>
      </c>
      <c r="H987" s="1" t="s">
        <v>16</v>
      </c>
      <c r="I987" s="1" t="s">
        <v>476</v>
      </c>
      <c r="J987" s="1">
        <v>1000000</v>
      </c>
      <c r="K987" s="1">
        <v>20000000</v>
      </c>
      <c r="L987" s="1">
        <v>0</v>
      </c>
      <c r="M987" s="1">
        <v>0</v>
      </c>
      <c r="N987" s="1" t="s">
        <v>477</v>
      </c>
      <c r="O987" s="1">
        <v>7.9989749999999998E-2</v>
      </c>
      <c r="P987" s="1">
        <v>0.05</v>
      </c>
      <c r="Q987" s="83">
        <v>817.06200000000001</v>
      </c>
      <c r="R987" s="83">
        <v>817.06200000000001</v>
      </c>
      <c r="S987" s="1">
        <v>817.06200000000001</v>
      </c>
      <c r="T987" s="83">
        <v>0</v>
      </c>
      <c r="U987" s="1" t="s">
        <v>122</v>
      </c>
      <c r="V987" s="1" t="s">
        <v>852</v>
      </c>
      <c r="W987" s="1">
        <v>3949.1976460300002</v>
      </c>
      <c r="X987" s="1"/>
      <c r="Y987" s="83" t="str">
        <f>VLOOKUP(LossTable[[#This Row],[Department]],$A$15:$B$40,2,FALSE)</f>
        <v>TP</v>
      </c>
    </row>
    <row r="988" spans="4:25" x14ac:dyDescent="0.25">
      <c r="D988" s="78">
        <v>446934</v>
      </c>
      <c r="E988" s="78">
        <v>280037801</v>
      </c>
      <c r="F988" s="83" t="s">
        <v>12</v>
      </c>
      <c r="G988" s="1" t="s">
        <v>473</v>
      </c>
      <c r="H988" s="1" t="s">
        <v>16</v>
      </c>
      <c r="I988" s="1" t="s">
        <v>474</v>
      </c>
      <c r="J988" s="1">
        <v>375000</v>
      </c>
      <c r="K988" s="1">
        <v>5000000</v>
      </c>
      <c r="L988" s="1">
        <v>0</v>
      </c>
      <c r="M988" s="1">
        <v>0</v>
      </c>
      <c r="N988" s="1" t="s">
        <v>475</v>
      </c>
      <c r="O988" s="1">
        <v>0.56998199999999999</v>
      </c>
      <c r="P988" s="1">
        <v>7.4999999999999997E-2</v>
      </c>
      <c r="Q988" s="83">
        <v>1443.7995000000001</v>
      </c>
      <c r="R988" s="83">
        <v>1443.7995000000001</v>
      </c>
      <c r="S988" s="1">
        <v>1443.7995000000001</v>
      </c>
      <c r="T988" s="83">
        <v>0</v>
      </c>
      <c r="U988" s="1" t="s">
        <v>122</v>
      </c>
      <c r="V988" s="1" t="s">
        <v>852</v>
      </c>
      <c r="W988" s="1">
        <v>3949.1976460300002</v>
      </c>
      <c r="X988" s="1"/>
      <c r="Y988" s="83" t="str">
        <f>VLOOKUP(LossTable[[#This Row],[Department]],$A$15:$B$40,2,FALSE)</f>
        <v>Bermuda</v>
      </c>
    </row>
    <row r="989" spans="4:25" x14ac:dyDescent="0.25">
      <c r="D989" s="78">
        <v>448038</v>
      </c>
      <c r="E989" s="78">
        <v>280037801</v>
      </c>
      <c r="F989" s="83" t="s">
        <v>12</v>
      </c>
      <c r="G989" s="1" t="s">
        <v>508</v>
      </c>
      <c r="H989" s="1" t="s">
        <v>16</v>
      </c>
      <c r="I989" s="1" t="s">
        <v>509</v>
      </c>
      <c r="J989" s="1">
        <v>7500000</v>
      </c>
      <c r="K989" s="1">
        <v>150000000</v>
      </c>
      <c r="L989" s="1">
        <v>0</v>
      </c>
      <c r="M989" s="1">
        <v>0</v>
      </c>
      <c r="N989" s="1" t="s">
        <v>510</v>
      </c>
      <c r="O989" s="1">
        <v>0.09</v>
      </c>
      <c r="P989" s="1">
        <v>0.05</v>
      </c>
      <c r="Q989" s="83">
        <v>5960.1094999999996</v>
      </c>
      <c r="R989" s="83">
        <v>5960.1094999999996</v>
      </c>
      <c r="S989" s="1">
        <v>5960.1094999999996</v>
      </c>
      <c r="T989" s="83">
        <v>0</v>
      </c>
      <c r="U989" s="1" t="s">
        <v>122</v>
      </c>
      <c r="V989" s="1" t="s">
        <v>852</v>
      </c>
      <c r="W989" s="1">
        <v>3949.1976460300002</v>
      </c>
      <c r="X989" s="1"/>
      <c r="Y989" s="83" t="str">
        <f>VLOOKUP(LossTable[[#This Row],[Department]],$A$15:$B$40,2,FALSE)</f>
        <v>Bermuda</v>
      </c>
    </row>
    <row r="990" spans="4:25" x14ac:dyDescent="0.25">
      <c r="D990" s="78">
        <v>448596</v>
      </c>
      <c r="E990" s="78">
        <v>280037801</v>
      </c>
      <c r="F990" s="83" t="s">
        <v>94</v>
      </c>
      <c r="G990" s="1" t="s">
        <v>183</v>
      </c>
      <c r="H990" s="1" t="s">
        <v>14</v>
      </c>
      <c r="I990" s="1" t="s">
        <v>184</v>
      </c>
      <c r="J990" s="1">
        <v>20904000</v>
      </c>
      <c r="K990" s="1">
        <v>402000000</v>
      </c>
      <c r="L990" s="1">
        <v>0</v>
      </c>
      <c r="M990" s="1">
        <v>0</v>
      </c>
      <c r="N990" s="1" t="s">
        <v>185</v>
      </c>
      <c r="O990" s="1">
        <v>0.90540511999999995</v>
      </c>
      <c r="P990" s="1">
        <v>5.1999999999999998E-2</v>
      </c>
      <c r="Q990" s="83">
        <v>193663.66084</v>
      </c>
      <c r="R990" s="83">
        <v>193663.66084</v>
      </c>
      <c r="S990" s="1">
        <v>193663.66084</v>
      </c>
      <c r="T990" s="83">
        <v>0</v>
      </c>
      <c r="U990" s="1" t="s">
        <v>122</v>
      </c>
      <c r="V990" s="1" t="s">
        <v>852</v>
      </c>
      <c r="W990" s="1">
        <v>3949.1976460300002</v>
      </c>
      <c r="X990" s="1"/>
      <c r="Y990" s="83" t="str">
        <f>VLOOKUP(LossTable[[#This Row],[Department]],$A$15:$B$40,2,FALSE)</f>
        <v>TP</v>
      </c>
    </row>
    <row r="991" spans="4:25" x14ac:dyDescent="0.25">
      <c r="D991" s="78">
        <v>448888</v>
      </c>
      <c r="E991" s="78">
        <v>280037801</v>
      </c>
      <c r="F991" s="83" t="s">
        <v>45</v>
      </c>
      <c r="G991" s="1" t="s">
        <v>551</v>
      </c>
      <c r="H991" s="1" t="s">
        <v>14</v>
      </c>
      <c r="I991" s="1" t="s">
        <v>552</v>
      </c>
      <c r="J991" s="1">
        <v>1500000</v>
      </c>
      <c r="K991" s="1">
        <v>10000000</v>
      </c>
      <c r="L991" s="1">
        <v>0</v>
      </c>
      <c r="M991" s="1">
        <v>0</v>
      </c>
      <c r="N991" s="1" t="s">
        <v>176</v>
      </c>
      <c r="O991" s="1">
        <v>3.1739999999999999</v>
      </c>
      <c r="P991" s="1">
        <v>0.15</v>
      </c>
      <c r="Q991" s="83">
        <v>13350.263999999999</v>
      </c>
      <c r="R991" s="83">
        <v>13350.263999999999</v>
      </c>
      <c r="S991" s="1">
        <v>13350.263999999999</v>
      </c>
      <c r="T991" s="83">
        <v>0</v>
      </c>
      <c r="U991" s="1" t="s">
        <v>122</v>
      </c>
      <c r="V991" s="1" t="s">
        <v>852</v>
      </c>
      <c r="W991" s="1">
        <v>3949.1976460300002</v>
      </c>
      <c r="X991" s="1"/>
      <c r="Y991" s="83" t="str">
        <f>VLOOKUP(LossTable[[#This Row],[Department]],$A$15:$B$40,2,FALSE)</f>
        <v>FP</v>
      </c>
    </row>
    <row r="992" spans="4:25" x14ac:dyDescent="0.25">
      <c r="D992" s="78">
        <v>449403</v>
      </c>
      <c r="E992" s="78">
        <v>280037801</v>
      </c>
      <c r="F992" s="83" t="s">
        <v>45</v>
      </c>
      <c r="G992" s="1" t="s">
        <v>559</v>
      </c>
      <c r="H992" s="1" t="s">
        <v>16</v>
      </c>
      <c r="I992" s="1" t="s">
        <v>560</v>
      </c>
      <c r="J992" s="1">
        <v>5625000</v>
      </c>
      <c r="K992" s="1">
        <v>37500000</v>
      </c>
      <c r="L992" s="1">
        <v>0</v>
      </c>
      <c r="M992" s="1">
        <v>0</v>
      </c>
      <c r="N992" s="1" t="s">
        <v>561</v>
      </c>
      <c r="O992" s="1">
        <v>0.10044488</v>
      </c>
      <c r="P992" s="1">
        <v>0.15</v>
      </c>
      <c r="Q992" s="83">
        <v>49215.39</v>
      </c>
      <c r="R992" s="83">
        <v>49215.39</v>
      </c>
      <c r="S992" s="1">
        <v>49215.39</v>
      </c>
      <c r="T992" s="83">
        <v>0</v>
      </c>
      <c r="U992" s="1" t="s">
        <v>122</v>
      </c>
      <c r="V992" s="1" t="s">
        <v>852</v>
      </c>
      <c r="W992" s="1">
        <v>3949.1976460300002</v>
      </c>
      <c r="X992" s="1"/>
      <c r="Y992" s="83" t="str">
        <f>VLOOKUP(LossTable[[#This Row],[Department]],$A$15:$B$40,2,FALSE)</f>
        <v>FP</v>
      </c>
    </row>
    <row r="993" spans="4:25" x14ac:dyDescent="0.25">
      <c r="D993" s="78">
        <v>463040</v>
      </c>
      <c r="E993" s="78">
        <v>280037801</v>
      </c>
      <c r="F993" s="83" t="s">
        <v>94</v>
      </c>
      <c r="G993" s="1" t="s">
        <v>602</v>
      </c>
      <c r="H993" s="1" t="s">
        <v>14</v>
      </c>
      <c r="I993" s="1" t="s">
        <v>603</v>
      </c>
      <c r="J993" s="1">
        <v>8250000</v>
      </c>
      <c r="K993" s="1">
        <v>110000000</v>
      </c>
      <c r="L993" s="1">
        <v>0</v>
      </c>
      <c r="M993" s="1">
        <v>0</v>
      </c>
      <c r="N993" s="1" t="s">
        <v>182</v>
      </c>
      <c r="O993" s="1">
        <v>0.49090908999999999</v>
      </c>
      <c r="P993" s="1">
        <v>7.4999999999999997E-2</v>
      </c>
      <c r="Q993" s="83">
        <v>49700.690999999999</v>
      </c>
      <c r="R993" s="83">
        <v>49700.690999999999</v>
      </c>
      <c r="S993" s="1">
        <v>49700.690999999999</v>
      </c>
      <c r="T993" s="83">
        <v>0</v>
      </c>
      <c r="U993" s="1" t="s">
        <v>122</v>
      </c>
      <c r="V993" s="1" t="s">
        <v>852</v>
      </c>
      <c r="W993" s="1">
        <v>3949.1976460300002</v>
      </c>
      <c r="X993" s="1"/>
      <c r="Y993" s="83" t="str">
        <f>VLOOKUP(LossTable[[#This Row],[Department]],$A$15:$B$40,2,FALSE)</f>
        <v>TP</v>
      </c>
    </row>
    <row r="994" spans="4:25" x14ac:dyDescent="0.25">
      <c r="D994" s="78">
        <v>468489</v>
      </c>
      <c r="E994" s="78">
        <v>280037801</v>
      </c>
      <c r="F994" s="83" t="s">
        <v>21</v>
      </c>
      <c r="G994" s="1" t="s">
        <v>594</v>
      </c>
      <c r="H994" s="1" t="s">
        <v>14</v>
      </c>
      <c r="I994" s="1" t="s">
        <v>595</v>
      </c>
      <c r="J994" s="1">
        <v>23494439.125061002</v>
      </c>
      <c r="K994" s="1">
        <v>469888782.501221</v>
      </c>
      <c r="L994" s="1">
        <v>0</v>
      </c>
      <c r="M994" s="1">
        <v>0</v>
      </c>
      <c r="N994" s="1" t="s">
        <v>157</v>
      </c>
      <c r="O994" s="1">
        <v>1.3674999999999999</v>
      </c>
      <c r="P994" s="1">
        <v>0.05</v>
      </c>
      <c r="Q994" s="83">
        <v>17879.548345359999</v>
      </c>
      <c r="R994" s="83">
        <v>17879.548345359999</v>
      </c>
      <c r="S994" s="1">
        <v>17879.548345359999</v>
      </c>
      <c r="T994" s="83">
        <v>0</v>
      </c>
      <c r="U994" s="1" t="s">
        <v>122</v>
      </c>
      <c r="V994" s="1" t="s">
        <v>852</v>
      </c>
      <c r="W994" s="1">
        <v>3949.1976460300002</v>
      </c>
      <c r="X994" s="1"/>
      <c r="Y994" s="83" t="str">
        <f>VLOOKUP(LossTable[[#This Row],[Department]],$A$15:$B$40,2,FALSE)</f>
        <v>London</v>
      </c>
    </row>
    <row r="995" spans="4:25" x14ac:dyDescent="0.25">
      <c r="D995" s="78">
        <v>468496</v>
      </c>
      <c r="E995" s="78">
        <v>280037801</v>
      </c>
      <c r="F995" s="83" t="s">
        <v>21</v>
      </c>
      <c r="G995" s="1" t="s">
        <v>572</v>
      </c>
      <c r="H995" s="1" t="s">
        <v>14</v>
      </c>
      <c r="I995" s="1" t="s">
        <v>573</v>
      </c>
      <c r="J995" s="1">
        <v>7200000</v>
      </c>
      <c r="K995" s="1">
        <v>72000000</v>
      </c>
      <c r="L995" s="1">
        <v>0</v>
      </c>
      <c r="M995" s="1">
        <v>0</v>
      </c>
      <c r="N995" s="1" t="s">
        <v>574</v>
      </c>
      <c r="O995" s="1">
        <v>0.48611111000000001</v>
      </c>
      <c r="P995" s="1">
        <v>0.1</v>
      </c>
      <c r="Q995" s="83">
        <v>5378.7830000000004</v>
      </c>
      <c r="R995" s="83">
        <v>5378.7830000000004</v>
      </c>
      <c r="S995" s="1">
        <v>5378.7830000000004</v>
      </c>
      <c r="T995" s="83">
        <v>0</v>
      </c>
      <c r="U995" s="1" t="s">
        <v>122</v>
      </c>
      <c r="V995" s="1" t="s">
        <v>852</v>
      </c>
      <c r="W995" s="1">
        <v>3949.1976460300002</v>
      </c>
      <c r="X995" s="1"/>
      <c r="Y995" s="83" t="str">
        <f>VLOOKUP(LossTable[[#This Row],[Department]],$A$15:$B$40,2,FALSE)</f>
        <v>London</v>
      </c>
    </row>
    <row r="996" spans="4:25" x14ac:dyDescent="0.25">
      <c r="D996" s="78">
        <v>468838</v>
      </c>
      <c r="E996" s="78">
        <v>280037801</v>
      </c>
      <c r="F996" s="83" t="s">
        <v>94</v>
      </c>
      <c r="G996" s="1" t="s">
        <v>582</v>
      </c>
      <c r="H996" s="1" t="s">
        <v>16</v>
      </c>
      <c r="I996" s="1" t="s">
        <v>805</v>
      </c>
      <c r="J996" s="1">
        <v>750000</v>
      </c>
      <c r="K996" s="1">
        <v>15000000</v>
      </c>
      <c r="L996" s="1">
        <v>0</v>
      </c>
      <c r="M996" s="1">
        <v>0</v>
      </c>
      <c r="N996" s="1" t="s">
        <v>122</v>
      </c>
      <c r="O996" s="1">
        <v>0.34921667000000001</v>
      </c>
      <c r="P996" s="1">
        <v>0.05</v>
      </c>
      <c r="Q996" s="83">
        <v>12.724500000000001</v>
      </c>
      <c r="R996" s="83">
        <v>12.724500000000001</v>
      </c>
      <c r="S996" s="1">
        <v>12.724500000000001</v>
      </c>
      <c r="T996" s="83">
        <v>0</v>
      </c>
      <c r="U996" s="1" t="s">
        <v>122</v>
      </c>
      <c r="V996" s="1" t="s">
        <v>852</v>
      </c>
      <c r="W996" s="1">
        <v>3949.1976460300002</v>
      </c>
      <c r="X996" s="1"/>
      <c r="Y996" s="83" t="str">
        <f>VLOOKUP(LossTable[[#This Row],[Department]],$A$15:$B$40,2,FALSE)</f>
        <v>TP</v>
      </c>
    </row>
    <row r="997" spans="4:25" x14ac:dyDescent="0.25">
      <c r="D997" s="78">
        <v>468971</v>
      </c>
      <c r="E997" s="78">
        <v>280037801</v>
      </c>
      <c r="F997" s="83" t="s">
        <v>94</v>
      </c>
      <c r="G997" s="1" t="s">
        <v>832</v>
      </c>
      <c r="H997" s="1" t="s">
        <v>16</v>
      </c>
      <c r="I997" s="1" t="s">
        <v>833</v>
      </c>
      <c r="J997" s="1">
        <v>4092128.8162500001</v>
      </c>
      <c r="K997" s="1">
        <v>32737030.530000001</v>
      </c>
      <c r="L997" s="1">
        <v>0</v>
      </c>
      <c r="M997" s="1">
        <v>0</v>
      </c>
      <c r="N997" s="1" t="s">
        <v>122</v>
      </c>
      <c r="O997" s="1">
        <v>0.26500000000000001</v>
      </c>
      <c r="P997" s="1">
        <v>0.125</v>
      </c>
      <c r="Q997" s="83">
        <v>20.73</v>
      </c>
      <c r="R997" s="83">
        <v>20.73</v>
      </c>
      <c r="S997" s="1">
        <v>20.73</v>
      </c>
      <c r="T997" s="83">
        <v>0</v>
      </c>
      <c r="U997" s="1" t="s">
        <v>122</v>
      </c>
      <c r="V997" s="1" t="s">
        <v>852</v>
      </c>
      <c r="W997" s="1">
        <v>3949.1976460300002</v>
      </c>
      <c r="X997" s="1"/>
      <c r="Y997" s="83" t="str">
        <f>VLOOKUP(LossTable[[#This Row],[Department]],$A$15:$B$40,2,FALSE)</f>
        <v>TP</v>
      </c>
    </row>
    <row r="998" spans="4:25" x14ac:dyDescent="0.25">
      <c r="D998" s="78">
        <v>471433</v>
      </c>
      <c r="E998" s="78">
        <v>280037801</v>
      </c>
      <c r="F998" s="83" t="s">
        <v>45</v>
      </c>
      <c r="G998" s="1" t="s">
        <v>618</v>
      </c>
      <c r="H998" s="1" t="s">
        <v>14</v>
      </c>
      <c r="I998" s="1" t="s">
        <v>619</v>
      </c>
      <c r="J998" s="1">
        <v>9000000</v>
      </c>
      <c r="K998" s="1">
        <v>60000000</v>
      </c>
      <c r="L998" s="1">
        <v>0</v>
      </c>
      <c r="M998" s="1">
        <v>0</v>
      </c>
      <c r="N998" s="1" t="s">
        <v>620</v>
      </c>
      <c r="O998" s="1">
        <v>0.91666667000000002</v>
      </c>
      <c r="P998" s="1">
        <v>0.15</v>
      </c>
      <c r="Q998" s="83">
        <v>105.8445</v>
      </c>
      <c r="R998" s="83">
        <v>105.8445</v>
      </c>
      <c r="S998" s="1">
        <v>105.8445</v>
      </c>
      <c r="T998" s="83">
        <v>0</v>
      </c>
      <c r="U998" s="1" t="s">
        <v>122</v>
      </c>
      <c r="V998" s="1" t="s">
        <v>852</v>
      </c>
      <c r="W998" s="1">
        <v>3949.1976460300002</v>
      </c>
      <c r="X998" s="1"/>
      <c r="Y998" s="83" t="str">
        <f>VLOOKUP(LossTable[[#This Row],[Department]],$A$15:$B$40,2,FALSE)</f>
        <v>FP</v>
      </c>
    </row>
    <row r="999" spans="4:25" x14ac:dyDescent="0.25">
      <c r="D999" s="78">
        <v>471725</v>
      </c>
      <c r="E999" s="78">
        <v>280037801</v>
      </c>
      <c r="F999" s="83" t="s">
        <v>94</v>
      </c>
      <c r="G999" s="1" t="s">
        <v>663</v>
      </c>
      <c r="H999" s="1" t="s">
        <v>16</v>
      </c>
      <c r="I999" s="1" t="s">
        <v>664</v>
      </c>
      <c r="J999" s="1">
        <v>1000000</v>
      </c>
      <c r="K999" s="1">
        <v>50000000</v>
      </c>
      <c r="L999" s="1">
        <v>0</v>
      </c>
      <c r="M999" s="1">
        <v>0</v>
      </c>
      <c r="N999" s="1" t="s">
        <v>122</v>
      </c>
      <c r="O999" s="1">
        <v>0.22163552</v>
      </c>
      <c r="P999" s="1">
        <v>0.02</v>
      </c>
      <c r="Q999" s="83">
        <v>13.214</v>
      </c>
      <c r="R999" s="83">
        <v>13.214</v>
      </c>
      <c r="S999" s="1">
        <v>13.214</v>
      </c>
      <c r="T999" s="83">
        <v>0</v>
      </c>
      <c r="U999" s="1" t="s">
        <v>122</v>
      </c>
      <c r="V999" s="1" t="s">
        <v>852</v>
      </c>
      <c r="W999" s="1">
        <v>3949.1976460300002</v>
      </c>
      <c r="X999" s="1"/>
      <c r="Y999" s="83" t="str">
        <f>VLOOKUP(LossTable[[#This Row],[Department]],$A$15:$B$40,2,FALSE)</f>
        <v>TP</v>
      </c>
    </row>
    <row r="1000" spans="4:25" x14ac:dyDescent="0.25">
      <c r="D1000" s="78">
        <v>473018</v>
      </c>
      <c r="E1000" s="78">
        <v>280037801</v>
      </c>
      <c r="F1000" s="83" t="s">
        <v>94</v>
      </c>
      <c r="G1000" s="1" t="s">
        <v>604</v>
      </c>
      <c r="H1000" s="1" t="s">
        <v>16</v>
      </c>
      <c r="I1000" s="1" t="s">
        <v>640</v>
      </c>
      <c r="J1000" s="1">
        <v>210000</v>
      </c>
      <c r="K1000" s="1">
        <v>12000000</v>
      </c>
      <c r="L1000" s="1">
        <v>0</v>
      </c>
      <c r="M1000" s="1">
        <v>0</v>
      </c>
      <c r="N1000" s="1" t="s">
        <v>122</v>
      </c>
      <c r="O1000" s="1">
        <v>1.1531666700000001</v>
      </c>
      <c r="P1000" s="1">
        <v>1.7500000000000002E-2</v>
      </c>
      <c r="Q1000" s="83">
        <v>50.654975</v>
      </c>
      <c r="R1000" s="83">
        <v>50.654975</v>
      </c>
      <c r="S1000" s="1">
        <v>50.654975</v>
      </c>
      <c r="T1000" s="83">
        <v>0</v>
      </c>
      <c r="U1000" s="1" t="s">
        <v>122</v>
      </c>
      <c r="V1000" s="1" t="s">
        <v>852</v>
      </c>
      <c r="W1000" s="1">
        <v>3949.1976460300002</v>
      </c>
      <c r="X1000" s="1"/>
      <c r="Y1000" s="83" t="str">
        <f>VLOOKUP(LossTable[[#This Row],[Department]],$A$15:$B$40,2,FALSE)</f>
        <v>TP</v>
      </c>
    </row>
    <row r="1001" spans="4:25" x14ac:dyDescent="0.25">
      <c r="D1001" s="78">
        <v>474032</v>
      </c>
      <c r="E1001" s="78">
        <v>280037801</v>
      </c>
      <c r="F1001" s="83" t="s">
        <v>21</v>
      </c>
      <c r="G1001" s="1" t="s">
        <v>688</v>
      </c>
      <c r="H1001" s="1" t="s">
        <v>14</v>
      </c>
      <c r="I1001" s="1" t="s">
        <v>689</v>
      </c>
      <c r="J1001" s="1">
        <v>42500000</v>
      </c>
      <c r="K1001" s="1">
        <v>500000000</v>
      </c>
      <c r="L1001" s="1">
        <v>0</v>
      </c>
      <c r="M1001" s="1">
        <v>0</v>
      </c>
      <c r="N1001" s="1" t="s">
        <v>156</v>
      </c>
      <c r="O1001" s="1">
        <v>0.47139999999999999</v>
      </c>
      <c r="P1001" s="1">
        <v>8.5000000000000006E-2</v>
      </c>
      <c r="Q1001" s="83">
        <v>43453.847049999997</v>
      </c>
      <c r="R1001" s="83">
        <v>43453.847049999997</v>
      </c>
      <c r="S1001" s="1">
        <v>43453.847049999997</v>
      </c>
      <c r="T1001" s="83">
        <v>0</v>
      </c>
      <c r="U1001" s="1" t="s">
        <v>122</v>
      </c>
      <c r="V1001" s="1" t="s">
        <v>852</v>
      </c>
      <c r="W1001" s="1">
        <v>3949.1976460300002</v>
      </c>
      <c r="X1001" s="1"/>
      <c r="Y1001" s="83" t="str">
        <f>VLOOKUP(LossTable[[#This Row],[Department]],$A$15:$B$40,2,FALSE)</f>
        <v>London</v>
      </c>
    </row>
    <row r="1002" spans="4:25" x14ac:dyDescent="0.25">
      <c r="D1002" s="78">
        <v>475727</v>
      </c>
      <c r="E1002" s="78">
        <v>280037801</v>
      </c>
      <c r="F1002" s="83" t="s">
        <v>12</v>
      </c>
      <c r="G1002" s="1" t="s">
        <v>681</v>
      </c>
      <c r="H1002" s="1" t="s">
        <v>14</v>
      </c>
      <c r="I1002" s="1" t="s">
        <v>682</v>
      </c>
      <c r="J1002" s="1">
        <v>31500000</v>
      </c>
      <c r="K1002" s="1">
        <v>900000000</v>
      </c>
      <c r="L1002" s="1">
        <v>0</v>
      </c>
      <c r="M1002" s="1">
        <v>0</v>
      </c>
      <c r="N1002" s="1" t="s">
        <v>122</v>
      </c>
      <c r="O1002" s="1">
        <v>0.65800000000000003</v>
      </c>
      <c r="P1002" s="1">
        <v>3.5000000000000003E-2</v>
      </c>
      <c r="Q1002" s="83">
        <v>393097.22934999998</v>
      </c>
      <c r="R1002" s="83">
        <v>393097.22934999998</v>
      </c>
      <c r="S1002" s="1">
        <v>393097.22934999998</v>
      </c>
      <c r="T1002" s="83">
        <v>0</v>
      </c>
      <c r="U1002" s="1" t="s">
        <v>122</v>
      </c>
      <c r="V1002" s="1" t="s">
        <v>852</v>
      </c>
      <c r="W1002" s="1">
        <v>3949.1976460300002</v>
      </c>
      <c r="X1002" s="1"/>
      <c r="Y1002" s="83" t="str">
        <f>VLOOKUP(LossTable[[#This Row],[Department]],$A$15:$B$40,2,FALSE)</f>
        <v>Bermuda</v>
      </c>
    </row>
    <row r="1003" spans="4:25" x14ac:dyDescent="0.25">
      <c r="D1003" s="78">
        <v>476710</v>
      </c>
      <c r="E1003" s="78">
        <v>280037801</v>
      </c>
      <c r="F1003" s="83" t="s">
        <v>94</v>
      </c>
      <c r="G1003" s="1" t="s">
        <v>824</v>
      </c>
      <c r="H1003" s="1" t="s">
        <v>13</v>
      </c>
      <c r="I1003" s="1" t="s">
        <v>825</v>
      </c>
      <c r="J1003" s="1">
        <v>1050000</v>
      </c>
      <c r="K1003" s="1">
        <v>30000000</v>
      </c>
      <c r="L1003" s="1">
        <v>30000000</v>
      </c>
      <c r="M1003" s="1">
        <v>0</v>
      </c>
      <c r="N1003" s="1" t="s">
        <v>823</v>
      </c>
      <c r="O1003" s="1">
        <v>0.24</v>
      </c>
      <c r="P1003" s="1">
        <v>3.5000000000000003E-2</v>
      </c>
      <c r="Q1003" s="83">
        <v>266564.55209999997</v>
      </c>
      <c r="R1003" s="83">
        <v>163694.53093301901</v>
      </c>
      <c r="S1003" s="1">
        <v>163694.53093301901</v>
      </c>
      <c r="T1003" s="83">
        <v>39286.687114423403</v>
      </c>
      <c r="U1003" s="1" t="s">
        <v>122</v>
      </c>
      <c r="V1003" s="1" t="s">
        <v>852</v>
      </c>
      <c r="W1003" s="1">
        <v>3949.1976460300002</v>
      </c>
      <c r="X1003" s="1"/>
      <c r="Y1003" s="83" t="str">
        <f>VLOOKUP(LossTable[[#This Row],[Department]],$A$15:$B$40,2,FALSE)</f>
        <v>TP</v>
      </c>
    </row>
    <row r="1004" spans="4:25" x14ac:dyDescent="0.25">
      <c r="D1004" s="78">
        <v>480314</v>
      </c>
      <c r="E1004" s="78">
        <v>280037801</v>
      </c>
      <c r="F1004" s="83" t="s">
        <v>94</v>
      </c>
      <c r="G1004" s="1" t="s">
        <v>713</v>
      </c>
      <c r="H1004" s="1" t="s">
        <v>14</v>
      </c>
      <c r="I1004" s="1" t="s">
        <v>714</v>
      </c>
      <c r="J1004" s="1">
        <v>9800000</v>
      </c>
      <c r="K1004" s="1">
        <v>700000000</v>
      </c>
      <c r="L1004" s="1">
        <v>0</v>
      </c>
      <c r="M1004" s="1">
        <v>0</v>
      </c>
      <c r="N1004" s="1" t="s">
        <v>122</v>
      </c>
      <c r="O1004" s="1">
        <v>0.8</v>
      </c>
      <c r="P1004" s="1">
        <v>1.4E-2</v>
      </c>
      <c r="Q1004" s="83">
        <v>142388.00813999999</v>
      </c>
      <c r="R1004" s="83">
        <v>142388.00813999999</v>
      </c>
      <c r="S1004" s="1">
        <v>142388.00813999999</v>
      </c>
      <c r="T1004" s="83">
        <v>0</v>
      </c>
      <c r="U1004" s="1" t="s">
        <v>122</v>
      </c>
      <c r="V1004" s="1" t="s">
        <v>852</v>
      </c>
      <c r="W1004" s="1">
        <v>3949.1976460300002</v>
      </c>
      <c r="X1004" s="1"/>
      <c r="Y1004" s="83" t="str">
        <f>VLOOKUP(LossTable[[#This Row],[Department]],$A$15:$B$40,2,FALSE)</f>
        <v>TP</v>
      </c>
    </row>
    <row r="1005" spans="4:25" x14ac:dyDescent="0.25">
      <c r="D1005" s="78">
        <v>483216</v>
      </c>
      <c r="E1005" s="78">
        <v>280037801</v>
      </c>
      <c r="F1005" s="83" t="s">
        <v>12</v>
      </c>
      <c r="G1005" s="1" t="s">
        <v>722</v>
      </c>
      <c r="H1005" s="1" t="s">
        <v>14</v>
      </c>
      <c r="I1005" s="1" t="s">
        <v>723</v>
      </c>
      <c r="J1005" s="1">
        <v>5000000</v>
      </c>
      <c r="K1005" s="1">
        <v>100000000</v>
      </c>
      <c r="L1005" s="1">
        <v>0</v>
      </c>
      <c r="M1005" s="1">
        <v>0</v>
      </c>
      <c r="N1005" s="1" t="s">
        <v>122</v>
      </c>
      <c r="O1005" s="1">
        <v>0.59799999999999998</v>
      </c>
      <c r="P1005" s="1">
        <v>0.05</v>
      </c>
      <c r="Q1005" s="83">
        <v>22049.049500000001</v>
      </c>
      <c r="R1005" s="83">
        <v>22049.049500000001</v>
      </c>
      <c r="S1005" s="1">
        <v>22049.049500000001</v>
      </c>
      <c r="T1005" s="83">
        <v>0</v>
      </c>
      <c r="U1005" s="1" t="s">
        <v>122</v>
      </c>
      <c r="V1005" s="1" t="s">
        <v>852</v>
      </c>
      <c r="W1005" s="1">
        <v>3949.1976460300002</v>
      </c>
      <c r="X1005" s="1"/>
      <c r="Y1005" s="83" t="str">
        <f>VLOOKUP(LossTable[[#This Row],[Department]],$A$15:$B$40,2,FALSE)</f>
        <v>Bermuda</v>
      </c>
    </row>
    <row r="1006" spans="4:25" x14ac:dyDescent="0.25">
      <c r="D1006" s="78">
        <v>484776</v>
      </c>
      <c r="E1006" s="78">
        <v>280037801</v>
      </c>
      <c r="F1006" s="83" t="s">
        <v>12</v>
      </c>
      <c r="G1006" s="1" t="s">
        <v>744</v>
      </c>
      <c r="H1006" s="1" t="s">
        <v>14</v>
      </c>
      <c r="I1006" s="1" t="s">
        <v>745</v>
      </c>
      <c r="J1006" s="1">
        <v>12114900</v>
      </c>
      <c r="K1006" s="1">
        <v>210000000</v>
      </c>
      <c r="L1006" s="1">
        <v>0</v>
      </c>
      <c r="M1006" s="1">
        <v>0</v>
      </c>
      <c r="N1006" s="1" t="s">
        <v>122</v>
      </c>
      <c r="O1006" s="1">
        <v>1.73333333</v>
      </c>
      <c r="P1006" s="1">
        <v>5.7689999999999998E-2</v>
      </c>
      <c r="Q1006" s="83">
        <v>349171.39720080001</v>
      </c>
      <c r="R1006" s="83">
        <v>349171.39720080001</v>
      </c>
      <c r="S1006" s="1">
        <v>349171.39720080001</v>
      </c>
      <c r="T1006" s="83">
        <v>0</v>
      </c>
      <c r="U1006" s="1" t="s">
        <v>122</v>
      </c>
      <c r="V1006" s="1" t="s">
        <v>852</v>
      </c>
      <c r="W1006" s="1">
        <v>3949.1976460300002</v>
      </c>
      <c r="X1006" s="1"/>
      <c r="Y1006" s="83" t="str">
        <f>VLOOKUP(LossTable[[#This Row],[Department]],$A$15:$B$40,2,FALSE)</f>
        <v>Bermuda</v>
      </c>
    </row>
    <row r="1007" spans="4:25" x14ac:dyDescent="0.25">
      <c r="D1007" s="78">
        <v>485125</v>
      </c>
      <c r="E1007" s="78">
        <v>280037801</v>
      </c>
      <c r="F1007" s="83" t="s">
        <v>94</v>
      </c>
      <c r="G1007" s="1" t="s">
        <v>808</v>
      </c>
      <c r="H1007" s="1" t="s">
        <v>16</v>
      </c>
      <c r="I1007" s="1" t="s">
        <v>809</v>
      </c>
      <c r="J1007" s="1">
        <v>3403678.8454999998</v>
      </c>
      <c r="K1007" s="1">
        <v>68073576.909999996</v>
      </c>
      <c r="L1007" s="1">
        <v>0</v>
      </c>
      <c r="M1007" s="1">
        <v>0</v>
      </c>
      <c r="N1007" s="1" t="s">
        <v>122</v>
      </c>
      <c r="O1007" s="1">
        <v>5.5E-2</v>
      </c>
      <c r="P1007" s="1">
        <v>0.05</v>
      </c>
      <c r="Q1007" s="83">
        <v>9.4354999999999993</v>
      </c>
      <c r="R1007" s="83">
        <v>9.4354999999999993</v>
      </c>
      <c r="S1007" s="1">
        <v>9.4354999999999993</v>
      </c>
      <c r="T1007" s="83">
        <v>0</v>
      </c>
      <c r="U1007" s="1" t="s">
        <v>122</v>
      </c>
      <c r="V1007" s="1" t="s">
        <v>852</v>
      </c>
      <c r="W1007" s="1">
        <v>3949.1976460300002</v>
      </c>
      <c r="X1007" s="1"/>
      <c r="Y1007" s="83" t="str">
        <f>VLOOKUP(LossTable[[#This Row],[Department]],$A$15:$B$40,2,FALSE)</f>
        <v>TP</v>
      </c>
    </row>
    <row r="1008" spans="4:25" x14ac:dyDescent="0.25">
      <c r="D1008" s="78">
        <v>485132</v>
      </c>
      <c r="E1008" s="78">
        <v>280037801</v>
      </c>
      <c r="F1008" s="83" t="s">
        <v>94</v>
      </c>
      <c r="G1008" s="1" t="s">
        <v>857</v>
      </c>
      <c r="H1008" s="1" t="s">
        <v>24</v>
      </c>
      <c r="I1008" s="1" t="s">
        <v>858</v>
      </c>
      <c r="J1008" s="1">
        <v>12500000</v>
      </c>
      <c r="K1008" s="1">
        <v>500000000</v>
      </c>
      <c r="L1008" s="1">
        <v>0</v>
      </c>
      <c r="M1008" s="1">
        <v>0</v>
      </c>
      <c r="N1008" s="1" t="s">
        <v>859</v>
      </c>
      <c r="O1008" s="1">
        <v>0.34</v>
      </c>
      <c r="P1008" s="1">
        <v>2.5000000000000001E-2</v>
      </c>
      <c r="Q1008" s="83">
        <v>1187286.6187499999</v>
      </c>
      <c r="R1008" s="83">
        <v>729100.41717182705</v>
      </c>
      <c r="S1008" s="1">
        <v>729100.41717182705</v>
      </c>
      <c r="T1008" s="83">
        <v>0</v>
      </c>
      <c r="U1008" s="1" t="s">
        <v>122</v>
      </c>
      <c r="V1008" s="1" t="s">
        <v>852</v>
      </c>
      <c r="W1008" s="1">
        <v>3949.1976460300002</v>
      </c>
      <c r="X1008" s="1"/>
      <c r="Y1008" s="83" t="str">
        <f>VLOOKUP(LossTable[[#This Row],[Department]],$A$15:$B$40,2,FALSE)</f>
        <v>TP</v>
      </c>
    </row>
    <row r="1009" spans="4:25" x14ac:dyDescent="0.25">
      <c r="D1009" s="78">
        <v>485405</v>
      </c>
      <c r="E1009" s="78">
        <v>280037801</v>
      </c>
      <c r="F1009" s="83" t="s">
        <v>94</v>
      </c>
      <c r="G1009" s="1" t="s">
        <v>734</v>
      </c>
      <c r="H1009" s="1" t="s">
        <v>14</v>
      </c>
      <c r="I1009" s="1" t="s">
        <v>735</v>
      </c>
      <c r="J1009" s="1">
        <v>8400000</v>
      </c>
      <c r="K1009" s="1">
        <v>280000000</v>
      </c>
      <c r="L1009" s="1">
        <v>0</v>
      </c>
      <c r="M1009" s="1">
        <v>0</v>
      </c>
      <c r="N1009" s="1" t="s">
        <v>122</v>
      </c>
      <c r="O1009" s="1">
        <v>1.3674022100000001</v>
      </c>
      <c r="P1009" s="1">
        <v>0.03</v>
      </c>
      <c r="Q1009" s="83">
        <v>81936.390299999999</v>
      </c>
      <c r="R1009" s="83">
        <v>81936.390299999999</v>
      </c>
      <c r="S1009" s="1">
        <v>81936.390299999999</v>
      </c>
      <c r="T1009" s="83">
        <v>0</v>
      </c>
      <c r="U1009" s="1" t="s">
        <v>122</v>
      </c>
      <c r="V1009" s="1" t="s">
        <v>852</v>
      </c>
      <c r="W1009" s="1">
        <v>3949.1976460300002</v>
      </c>
      <c r="X1009" s="1"/>
      <c r="Y1009" s="83" t="str">
        <f>VLOOKUP(LossTable[[#This Row],[Department]],$A$15:$B$40,2,FALSE)</f>
        <v>TP</v>
      </c>
    </row>
    <row r="1010" spans="4:25" x14ac:dyDescent="0.25">
      <c r="D1010" s="78">
        <v>486179</v>
      </c>
      <c r="E1010" s="78">
        <v>280037801</v>
      </c>
      <c r="F1010" s="83" t="s">
        <v>12</v>
      </c>
      <c r="G1010" s="1" t="s">
        <v>752</v>
      </c>
      <c r="H1010" s="1" t="s">
        <v>14</v>
      </c>
      <c r="I1010" s="1" t="s">
        <v>753</v>
      </c>
      <c r="J1010" s="1">
        <v>14700000</v>
      </c>
      <c r="K1010" s="1">
        <v>490000000</v>
      </c>
      <c r="L1010" s="1">
        <v>0</v>
      </c>
      <c r="M1010" s="1">
        <v>0</v>
      </c>
      <c r="N1010" s="1" t="s">
        <v>692</v>
      </c>
      <c r="O1010" s="1">
        <v>0.46938775999999999</v>
      </c>
      <c r="P1010" s="1">
        <v>0.03</v>
      </c>
      <c r="Q1010" s="83">
        <v>223774.9566</v>
      </c>
      <c r="R1010" s="83">
        <v>223774.9566</v>
      </c>
      <c r="S1010" s="1">
        <v>223774.9566</v>
      </c>
      <c r="T1010" s="83">
        <v>0</v>
      </c>
      <c r="U1010" s="1" t="s">
        <v>122</v>
      </c>
      <c r="V1010" s="1" t="s">
        <v>852</v>
      </c>
      <c r="W1010" s="1">
        <v>3949.1976460300002</v>
      </c>
      <c r="X1010" s="1"/>
      <c r="Y1010" s="83" t="str">
        <f>VLOOKUP(LossTable[[#This Row],[Department]],$A$15:$B$40,2,FALSE)</f>
        <v>Bermuda</v>
      </c>
    </row>
  </sheetData>
  <mergeCells count="3">
    <mergeCell ref="A1:Y1"/>
    <mergeCell ref="A6:B6"/>
    <mergeCell ref="A11:B11"/>
  </mergeCells>
  <dataValidations count="1">
    <dataValidation type="list" allowBlank="1" showInputMessage="1" showErrorMessage="1" sqref="B8:B9" xr:uid="{651C145F-2652-4FB9-A0FC-42D91ADE6636}">
      <formula1>$E$3:$E$1010</formula1>
    </dataValidation>
  </dataValidations>
  <pageMargins left="0.7" right="0.7" top="0.75" bottom="0.75" header="0.3" footer="0.3"/>
  <pageSetup orientation="portrait" horizontalDpi="90" verticalDpi="9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FC89-972D-478E-B00E-E7675653EA71}">
  <sheetPr codeName="Sheet9"/>
  <dimension ref="A1"/>
  <sheetViews>
    <sheetView workbookViewId="0">
      <selection activeCell="Y82" sqref="Y8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B4245-8BC9-4533-BA3A-143E46325F3C}">
  <dimension ref="A1:O529"/>
  <sheetViews>
    <sheetView workbookViewId="0">
      <pane ySplit="6" topLeftCell="A67" activePane="bottomLeft" state="frozen"/>
      <selection pane="bottomLeft" activeCell="G2" sqref="G2:G4"/>
    </sheetView>
  </sheetViews>
  <sheetFormatPr defaultRowHeight="15" x14ac:dyDescent="0.25"/>
  <cols>
    <col min="1" max="1" width="10.28515625" bestFit="1" customWidth="1"/>
    <col min="6" max="6" width="11" bestFit="1" customWidth="1"/>
    <col min="9" max="9" width="11" bestFit="1" customWidth="1"/>
    <col min="12" max="12" width="10.28515625" bestFit="1" customWidth="1"/>
    <col min="13" max="13" width="12" bestFit="1" customWidth="1"/>
    <col min="14" max="14" width="10.28515625" bestFit="1" customWidth="1"/>
    <col min="15" max="15" width="11" bestFit="1" customWidth="1"/>
  </cols>
  <sheetData>
    <row r="1" spans="1:15" x14ac:dyDescent="0.25">
      <c r="A1" t="s">
        <v>863</v>
      </c>
      <c r="B1" t="s">
        <v>862</v>
      </c>
      <c r="C1" t="s">
        <v>861</v>
      </c>
      <c r="D1" t="s">
        <v>860</v>
      </c>
      <c r="G1" t="s">
        <v>862</v>
      </c>
      <c r="H1" t="s">
        <v>861</v>
      </c>
      <c r="I1" t="s">
        <v>860</v>
      </c>
      <c r="M1" t="s">
        <v>862</v>
      </c>
      <c r="N1" t="s">
        <v>861</v>
      </c>
      <c r="O1" t="s">
        <v>860</v>
      </c>
    </row>
    <row r="2" spans="1:15" x14ac:dyDescent="0.25">
      <c r="A2">
        <v>280007418</v>
      </c>
      <c r="B2">
        <v>90.809185071091505</v>
      </c>
      <c r="C2">
        <v>5432.2067371200001</v>
      </c>
      <c r="D2">
        <v>1.671681316003E-2</v>
      </c>
      <c r="F2">
        <v>280066590</v>
      </c>
      <c r="G2">
        <f>_xlfn.XLOOKUP($F2,$A:$A,B:B)</f>
        <v>18.391370078309201</v>
      </c>
      <c r="H2">
        <f>_xlfn.XLOOKUP($F2,$A:$A,C:C)</f>
        <v>3280.0940773799998</v>
      </c>
      <c r="I2">
        <f>_xlfn.XLOOKUP($F2,$A:$A,D:D)</f>
        <v>5.6069642042094704E-3</v>
      </c>
      <c r="L2">
        <v>280033758</v>
      </c>
      <c r="M2">
        <f>_xlfn.XLOOKUP($L2,$A:$A,B:B)</f>
        <v>27.213369381828201</v>
      </c>
      <c r="N2">
        <f t="shared" ref="N2:N4" si="0">_xlfn.XLOOKUP($L2,$A:$A,C:C)</f>
        <v>3313.02250663</v>
      </c>
      <c r="O2">
        <f t="shared" ref="O2:O4" si="1">_xlfn.XLOOKUP($L2,$A:$A,D:D)</f>
        <v>8.2140611261677203E-3</v>
      </c>
    </row>
    <row r="3" spans="1:15" x14ac:dyDescent="0.25">
      <c r="A3">
        <v>280028317</v>
      </c>
      <c r="B3">
        <v>54.633618994108097</v>
      </c>
      <c r="C3">
        <v>5429.5921017600003</v>
      </c>
      <c r="D3">
        <v>1.00621958280068E-2</v>
      </c>
      <c r="F3">
        <v>280037801</v>
      </c>
      <c r="G3">
        <f>_xlfn.XLOOKUP($F3,$A:$A,B:B)</f>
        <v>25.500812802338402</v>
      </c>
      <c r="H3">
        <f>_xlfn.XLOOKUP($F3,$A:$A,C:C)</f>
        <v>3949.1976460300002</v>
      </c>
      <c r="I3">
        <f>_xlfn.XLOOKUP($F3,$A:$A,D:D)</f>
        <v>6.4572136134978097E-3</v>
      </c>
      <c r="L3">
        <v>280015359</v>
      </c>
      <c r="M3">
        <f t="shared" ref="M3:M4" si="2">_xlfn.XLOOKUP($L3,$A:$A,B:B)</f>
        <v>32.056329771247903</v>
      </c>
      <c r="N3">
        <f t="shared" si="0"/>
        <v>4005.8889957800002</v>
      </c>
      <c r="O3">
        <f t="shared" si="1"/>
        <v>8.0023010635136404E-3</v>
      </c>
    </row>
    <row r="4" spans="1:15" x14ac:dyDescent="0.25">
      <c r="A4">
        <v>280000142</v>
      </c>
      <c r="B4">
        <v>86.790602479308603</v>
      </c>
      <c r="C4">
        <v>5414.0252088999996</v>
      </c>
      <c r="D4">
        <v>1.6030697887522798E-2</v>
      </c>
      <c r="F4">
        <v>280014790</v>
      </c>
      <c r="G4">
        <f>_xlfn.XLOOKUP($F4,$A:$A,B:B)</f>
        <v>33.600852768369997</v>
      </c>
      <c r="H4">
        <f>_xlfn.XLOOKUP($F4,$A:$A,C:C)</f>
        <v>4781.60363426</v>
      </c>
      <c r="I4">
        <f>_xlfn.XLOOKUP($F4,$A:$A,D:D)</f>
        <v>7.0271095930288397E-3</v>
      </c>
      <c r="L4">
        <v>280043996</v>
      </c>
      <c r="M4">
        <f t="shared" si="2"/>
        <v>49.635455677241602</v>
      </c>
      <c r="N4">
        <f t="shared" si="0"/>
        <v>4721.5840048199998</v>
      </c>
      <c r="O4">
        <f t="shared" si="1"/>
        <v>1.0512458451776299E-2</v>
      </c>
    </row>
    <row r="5" spans="1:15" x14ac:dyDescent="0.25">
      <c r="A5">
        <v>280004599</v>
      </c>
      <c r="B5">
        <v>71.193350669859797</v>
      </c>
      <c r="C5">
        <v>5406.4676719400004</v>
      </c>
      <c r="D5">
        <v>1.31681820718838E-2</v>
      </c>
    </row>
    <row r="6" spans="1:15" x14ac:dyDescent="0.25">
      <c r="A6">
        <v>280032514</v>
      </c>
      <c r="B6">
        <v>68.209656883776304</v>
      </c>
      <c r="C6">
        <v>5398.21193107</v>
      </c>
      <c r="D6">
        <v>1.26356018909128E-2</v>
      </c>
    </row>
    <row r="7" spans="1:15" x14ac:dyDescent="0.25">
      <c r="A7">
        <v>280051046</v>
      </c>
      <c r="B7">
        <v>18.9209845747651</v>
      </c>
      <c r="C7">
        <v>5392.8430891199996</v>
      </c>
      <c r="D7">
        <v>3.5085360842294802E-3</v>
      </c>
    </row>
    <row r="8" spans="1:15" x14ac:dyDescent="0.25">
      <c r="A8">
        <v>280038093</v>
      </c>
      <c r="B8">
        <v>17.400769931068101</v>
      </c>
      <c r="C8">
        <v>5387.5337214000001</v>
      </c>
      <c r="D8">
        <v>3.2298210704370901E-3</v>
      </c>
    </row>
    <row r="9" spans="1:15" x14ac:dyDescent="0.25">
      <c r="A9">
        <v>280029720</v>
      </c>
      <c r="B9">
        <v>74.942059797863294</v>
      </c>
      <c r="C9">
        <v>5381.5625819799998</v>
      </c>
      <c r="D9">
        <v>1.39257062714098E-2</v>
      </c>
    </row>
    <row r="10" spans="1:15" x14ac:dyDescent="0.25">
      <c r="A10">
        <v>280003336</v>
      </c>
      <c r="B10">
        <v>27.812180223753199</v>
      </c>
      <c r="C10">
        <v>5377.9676791399997</v>
      </c>
      <c r="D10">
        <v>5.1715037878771204E-3</v>
      </c>
    </row>
    <row r="11" spans="1:15" x14ac:dyDescent="0.25">
      <c r="A11">
        <v>280042290</v>
      </c>
      <c r="B11">
        <v>73.358754774131697</v>
      </c>
      <c r="C11">
        <v>5376.7278083299998</v>
      </c>
      <c r="D11">
        <v>1.36437546011683E-2</v>
      </c>
    </row>
    <row r="12" spans="1:15" x14ac:dyDescent="0.25">
      <c r="A12">
        <v>280026219</v>
      </c>
      <c r="B12">
        <v>28.0816406105033</v>
      </c>
      <c r="C12">
        <v>5340.6745657800002</v>
      </c>
      <c r="D12">
        <v>5.25806998060403E-3</v>
      </c>
    </row>
    <row r="13" spans="1:15" x14ac:dyDescent="0.25">
      <c r="A13">
        <v>280050146</v>
      </c>
      <c r="B13">
        <v>76.819924773310206</v>
      </c>
      <c r="C13">
        <v>5339.8541239100005</v>
      </c>
      <c r="D13">
        <v>1.43861466981537E-2</v>
      </c>
    </row>
    <row r="14" spans="1:15" x14ac:dyDescent="0.25">
      <c r="A14">
        <v>280021516</v>
      </c>
      <c r="B14">
        <v>32.029875084659402</v>
      </c>
      <c r="C14">
        <v>5327.4378954699996</v>
      </c>
      <c r="D14">
        <v>6.0122474842728502E-3</v>
      </c>
    </row>
    <row r="15" spans="1:15" x14ac:dyDescent="0.25">
      <c r="A15">
        <v>280038985</v>
      </c>
      <c r="B15">
        <v>86.549999709830004</v>
      </c>
      <c r="C15">
        <v>5299.3347659900001</v>
      </c>
      <c r="D15">
        <v>1.63322385793193E-2</v>
      </c>
    </row>
    <row r="16" spans="1:15" x14ac:dyDescent="0.25">
      <c r="A16">
        <v>280033609</v>
      </c>
      <c r="B16">
        <v>50.205315508210397</v>
      </c>
      <c r="C16">
        <v>5298.9849275200004</v>
      </c>
      <c r="D16">
        <v>9.4745156279784307E-3</v>
      </c>
    </row>
    <row r="17" spans="1:4" x14ac:dyDescent="0.25">
      <c r="A17">
        <v>280025532</v>
      </c>
      <c r="B17">
        <v>24.2327842704543</v>
      </c>
      <c r="C17">
        <v>5295.9509497999998</v>
      </c>
      <c r="D17">
        <v>4.5757191673705799E-3</v>
      </c>
    </row>
    <row r="18" spans="1:4" x14ac:dyDescent="0.25">
      <c r="A18">
        <v>280017429</v>
      </c>
      <c r="B18">
        <v>26.188404468280901</v>
      </c>
      <c r="C18">
        <v>5288.9841278200001</v>
      </c>
      <c r="D18">
        <v>4.9514999166910302E-3</v>
      </c>
    </row>
    <row r="19" spans="1:4" x14ac:dyDescent="0.25">
      <c r="A19">
        <v>280007530</v>
      </c>
      <c r="B19">
        <v>34.947600585825299</v>
      </c>
      <c r="C19">
        <v>5278.3701564200001</v>
      </c>
      <c r="D19">
        <v>6.6209075055714099E-3</v>
      </c>
    </row>
    <row r="20" spans="1:4" x14ac:dyDescent="0.25">
      <c r="A20">
        <v>280055292</v>
      </c>
      <c r="B20">
        <v>42.174597881074597</v>
      </c>
      <c r="C20">
        <v>5267.5351335300002</v>
      </c>
      <c r="D20">
        <v>8.0065147762596097E-3</v>
      </c>
    </row>
    <row r="21" spans="1:4" x14ac:dyDescent="0.25">
      <c r="A21">
        <v>280019875</v>
      </c>
      <c r="B21">
        <v>21.1020319169792</v>
      </c>
      <c r="C21">
        <v>5266.2141972299996</v>
      </c>
      <c r="D21">
        <v>4.0070591750861204E-3</v>
      </c>
    </row>
    <row r="22" spans="1:4" x14ac:dyDescent="0.25">
      <c r="A22">
        <v>280021156</v>
      </c>
      <c r="B22">
        <v>50.974380430884104</v>
      </c>
      <c r="C22">
        <v>5264.6019776499998</v>
      </c>
      <c r="D22">
        <v>9.6824756453170405E-3</v>
      </c>
    </row>
    <row r="23" spans="1:4" x14ac:dyDescent="0.25">
      <c r="A23">
        <v>280053788</v>
      </c>
      <c r="B23">
        <v>24.953458831528501</v>
      </c>
      <c r="C23">
        <v>5245.5991703</v>
      </c>
      <c r="D23">
        <v>4.7570273712128396E-3</v>
      </c>
    </row>
    <row r="24" spans="1:4" x14ac:dyDescent="0.25">
      <c r="A24">
        <v>280048053</v>
      </c>
      <c r="B24">
        <v>33.308438901604603</v>
      </c>
      <c r="C24">
        <v>5242.9057945699997</v>
      </c>
      <c r="D24">
        <v>6.3530492834911701E-3</v>
      </c>
    </row>
    <row r="25" spans="1:4" x14ac:dyDescent="0.25">
      <c r="A25">
        <v>280059576</v>
      </c>
      <c r="B25">
        <v>27.902761021720501</v>
      </c>
      <c r="C25">
        <v>5241.73593282</v>
      </c>
      <c r="D25">
        <v>5.3231909007497597E-3</v>
      </c>
    </row>
    <row r="26" spans="1:4" x14ac:dyDescent="0.25">
      <c r="A26">
        <v>280043895</v>
      </c>
      <c r="B26">
        <v>61.308087647235197</v>
      </c>
      <c r="C26">
        <v>5231.1111929199997</v>
      </c>
      <c r="D26">
        <v>1.17198976252334E-2</v>
      </c>
    </row>
    <row r="27" spans="1:4" x14ac:dyDescent="0.25">
      <c r="A27">
        <v>280059593</v>
      </c>
      <c r="B27">
        <v>85.905054328005207</v>
      </c>
      <c r="C27">
        <v>5229.7448533500001</v>
      </c>
      <c r="D27">
        <v>1.6426241955757599E-2</v>
      </c>
    </row>
    <row r="28" spans="1:4" x14ac:dyDescent="0.25">
      <c r="A28">
        <v>280003292</v>
      </c>
      <c r="B28">
        <v>41.927534706057699</v>
      </c>
      <c r="C28">
        <v>5226.8890187400002</v>
      </c>
      <c r="D28">
        <v>8.0215085026168892E-3</v>
      </c>
    </row>
    <row r="29" spans="1:4" x14ac:dyDescent="0.25">
      <c r="A29">
        <v>280002656</v>
      </c>
      <c r="B29">
        <v>87.105158371202506</v>
      </c>
      <c r="C29">
        <v>5215.1242665399996</v>
      </c>
      <c r="D29">
        <v>1.6702412813068598E-2</v>
      </c>
    </row>
    <row r="30" spans="1:4" x14ac:dyDescent="0.25">
      <c r="A30">
        <v>280045874</v>
      </c>
      <c r="B30">
        <v>46.279841252176098</v>
      </c>
      <c r="C30">
        <v>5209.5242911300002</v>
      </c>
      <c r="D30">
        <v>8.88369813938184E-3</v>
      </c>
    </row>
    <row r="31" spans="1:4" x14ac:dyDescent="0.25">
      <c r="A31">
        <v>280058891</v>
      </c>
      <c r="B31">
        <v>18.880388094607301</v>
      </c>
      <c r="C31">
        <v>5206.4920055700004</v>
      </c>
      <c r="D31">
        <v>3.6263165437320798E-3</v>
      </c>
    </row>
    <row r="32" spans="1:4" x14ac:dyDescent="0.25">
      <c r="A32">
        <v>280010564</v>
      </c>
      <c r="B32">
        <v>30.3355413870059</v>
      </c>
      <c r="C32">
        <v>5204.7617993200001</v>
      </c>
      <c r="D32">
        <v>5.8284206956347598E-3</v>
      </c>
    </row>
    <row r="33" spans="1:4" x14ac:dyDescent="0.25">
      <c r="A33">
        <v>280065171</v>
      </c>
      <c r="B33">
        <v>34.517343147068999</v>
      </c>
      <c r="C33">
        <v>5203.6077945699999</v>
      </c>
      <c r="D33">
        <v>6.6333483440254902E-3</v>
      </c>
    </row>
    <row r="34" spans="1:4" x14ac:dyDescent="0.25">
      <c r="A34">
        <v>280015317</v>
      </c>
      <c r="B34">
        <v>30.837098912192101</v>
      </c>
      <c r="C34">
        <v>5197.8917006199999</v>
      </c>
      <c r="D34">
        <v>5.9326166623505901E-3</v>
      </c>
    </row>
    <row r="35" spans="1:4" x14ac:dyDescent="0.25">
      <c r="A35">
        <v>280043671</v>
      </c>
      <c r="B35">
        <v>23.6945093630457</v>
      </c>
      <c r="C35">
        <v>5186.4285732600001</v>
      </c>
      <c r="D35">
        <v>4.5685598535394802E-3</v>
      </c>
    </row>
    <row r="36" spans="1:4" x14ac:dyDescent="0.25">
      <c r="A36">
        <v>280040380</v>
      </c>
      <c r="B36">
        <v>65.495306040978804</v>
      </c>
      <c r="C36">
        <v>5176.7817030699998</v>
      </c>
      <c r="D36">
        <v>1.2651741911801699E-2</v>
      </c>
    </row>
    <row r="37" spans="1:4" x14ac:dyDescent="0.25">
      <c r="A37">
        <v>280014129</v>
      </c>
      <c r="B37">
        <v>24.897875759011502</v>
      </c>
      <c r="C37">
        <v>5175.2757309099998</v>
      </c>
      <c r="D37">
        <v>4.81092738891297E-3</v>
      </c>
    </row>
    <row r="38" spans="1:4" x14ac:dyDescent="0.25">
      <c r="A38">
        <v>280057353</v>
      </c>
      <c r="B38">
        <v>54.9943902415569</v>
      </c>
      <c r="C38">
        <v>5129.24301603</v>
      </c>
      <c r="D38">
        <v>1.0721736145019299E-2</v>
      </c>
    </row>
    <row r="39" spans="1:4" x14ac:dyDescent="0.25">
      <c r="A39">
        <v>280050433</v>
      </c>
      <c r="B39">
        <v>32.879187030249199</v>
      </c>
      <c r="C39">
        <v>5120.6966546000003</v>
      </c>
      <c r="D39">
        <v>6.4208425626449397E-3</v>
      </c>
    </row>
    <row r="40" spans="1:4" x14ac:dyDescent="0.25">
      <c r="A40">
        <v>280007609</v>
      </c>
      <c r="B40">
        <v>33.162250680385696</v>
      </c>
      <c r="C40">
        <v>5113.9228599999997</v>
      </c>
      <c r="D40">
        <v>6.4846990438150003E-3</v>
      </c>
    </row>
    <row r="41" spans="1:4" x14ac:dyDescent="0.25">
      <c r="A41">
        <v>280035726</v>
      </c>
      <c r="B41">
        <v>45.1519906913989</v>
      </c>
      <c r="C41">
        <v>5111.4536777599997</v>
      </c>
      <c r="D41">
        <v>8.8334930800323605E-3</v>
      </c>
    </row>
    <row r="42" spans="1:4" x14ac:dyDescent="0.25">
      <c r="A42">
        <v>280064980</v>
      </c>
      <c r="B42">
        <v>28.389230152937099</v>
      </c>
      <c r="C42">
        <v>5093.5531101200004</v>
      </c>
      <c r="D42">
        <v>5.5735612330286002E-3</v>
      </c>
    </row>
    <row r="43" spans="1:4" x14ac:dyDescent="0.25">
      <c r="A43">
        <v>280022458</v>
      </c>
      <c r="B43">
        <v>21.0416088918758</v>
      </c>
      <c r="C43">
        <v>5078.7836855599999</v>
      </c>
      <c r="D43">
        <v>4.1430409709516296E-3</v>
      </c>
    </row>
    <row r="44" spans="1:4" x14ac:dyDescent="0.25">
      <c r="A44">
        <v>280064584</v>
      </c>
      <c r="B44">
        <v>33.941220970915602</v>
      </c>
      <c r="C44">
        <v>5075.1320634200001</v>
      </c>
      <c r="D44">
        <v>6.6877512834697603E-3</v>
      </c>
    </row>
    <row r="45" spans="1:4" x14ac:dyDescent="0.25">
      <c r="A45">
        <v>280036209</v>
      </c>
      <c r="B45">
        <v>38.711979669089899</v>
      </c>
      <c r="C45">
        <v>5069.3990618300004</v>
      </c>
      <c r="D45">
        <v>7.6364040780635004E-3</v>
      </c>
    </row>
    <row r="46" spans="1:4" x14ac:dyDescent="0.25">
      <c r="A46">
        <v>280031644</v>
      </c>
      <c r="B46">
        <v>60.344113749085501</v>
      </c>
      <c r="C46">
        <v>5067.2035967700003</v>
      </c>
      <c r="D46">
        <v>1.19087604428507E-2</v>
      </c>
    </row>
    <row r="47" spans="1:4" x14ac:dyDescent="0.25">
      <c r="A47">
        <v>280005689</v>
      </c>
      <c r="B47">
        <v>43.720251299158399</v>
      </c>
      <c r="C47">
        <v>5061.4790852599999</v>
      </c>
      <c r="D47">
        <v>8.6378409478130892E-3</v>
      </c>
    </row>
    <row r="48" spans="1:4" x14ac:dyDescent="0.25">
      <c r="A48">
        <v>280022670</v>
      </c>
      <c r="B48">
        <v>35.219648975189699</v>
      </c>
      <c r="C48">
        <v>5052.9075822900004</v>
      </c>
      <c r="D48">
        <v>6.9701747759313001E-3</v>
      </c>
    </row>
    <row r="49" spans="1:4" x14ac:dyDescent="0.25">
      <c r="A49">
        <v>280006670</v>
      </c>
      <c r="B49">
        <v>60.625843510713302</v>
      </c>
      <c r="C49">
        <v>5030.2657301099998</v>
      </c>
      <c r="D49">
        <v>1.20522148855519E-2</v>
      </c>
    </row>
    <row r="50" spans="1:4" x14ac:dyDescent="0.25">
      <c r="A50">
        <v>280064093</v>
      </c>
      <c r="B50">
        <v>31.425325442128599</v>
      </c>
      <c r="C50">
        <v>5028.63886981</v>
      </c>
      <c r="D50">
        <v>6.2492706785516102E-3</v>
      </c>
    </row>
    <row r="51" spans="1:4" x14ac:dyDescent="0.25">
      <c r="A51">
        <v>280029301</v>
      </c>
      <c r="B51">
        <v>30.488680812511401</v>
      </c>
      <c r="C51">
        <v>5012.6493430500004</v>
      </c>
      <c r="D51">
        <v>6.08234861965433E-3</v>
      </c>
    </row>
    <row r="52" spans="1:4" x14ac:dyDescent="0.25">
      <c r="A52">
        <v>280018168</v>
      </c>
      <c r="B52">
        <v>24.7551516703526</v>
      </c>
      <c r="C52">
        <v>5011.7129281300004</v>
      </c>
      <c r="D52">
        <v>4.9394592278830703E-3</v>
      </c>
    </row>
    <row r="53" spans="1:4" x14ac:dyDescent="0.25">
      <c r="A53">
        <v>280027836</v>
      </c>
      <c r="B53">
        <v>76.855127635713501</v>
      </c>
      <c r="C53">
        <v>5009.1529823999999</v>
      </c>
      <c r="D53">
        <v>1.5342938797387301E-2</v>
      </c>
    </row>
    <row r="54" spans="1:4" x14ac:dyDescent="0.25">
      <c r="A54">
        <v>280043321</v>
      </c>
      <c r="B54">
        <v>63.099039451779397</v>
      </c>
      <c r="C54">
        <v>5008.48210922</v>
      </c>
      <c r="D54">
        <v>1.2598435628954701E-2</v>
      </c>
    </row>
    <row r="55" spans="1:4" x14ac:dyDescent="0.25">
      <c r="A55">
        <v>280028614</v>
      </c>
      <c r="B55">
        <v>37.886203611489201</v>
      </c>
      <c r="C55">
        <v>5003.6914009299999</v>
      </c>
      <c r="D55">
        <v>7.5716507225940402E-3</v>
      </c>
    </row>
    <row r="56" spans="1:4" x14ac:dyDescent="0.25">
      <c r="A56">
        <v>280014662</v>
      </c>
      <c r="B56">
        <v>53.640712863671197</v>
      </c>
      <c r="C56">
        <v>4994.81778803</v>
      </c>
      <c r="D56">
        <v>1.0739273210770599E-2</v>
      </c>
    </row>
    <row r="57" spans="1:4" x14ac:dyDescent="0.25">
      <c r="A57">
        <v>280020223</v>
      </c>
      <c r="B57">
        <v>40.371832419013302</v>
      </c>
      <c r="C57">
        <v>4992.9740717100003</v>
      </c>
      <c r="D57">
        <v>8.0857284334317995E-3</v>
      </c>
    </row>
    <row r="58" spans="1:4" x14ac:dyDescent="0.25">
      <c r="A58">
        <v>280062480</v>
      </c>
      <c r="B58">
        <v>27.5724190923893</v>
      </c>
      <c r="C58">
        <v>4982.1206595900003</v>
      </c>
      <c r="D58">
        <v>5.53427365098346E-3</v>
      </c>
    </row>
    <row r="59" spans="1:4" x14ac:dyDescent="0.25">
      <c r="A59">
        <v>280054002</v>
      </c>
      <c r="B59">
        <v>33.052056270146203</v>
      </c>
      <c r="C59">
        <v>4974.0329917099998</v>
      </c>
      <c r="D59">
        <v>6.6449209977562599E-3</v>
      </c>
    </row>
    <row r="60" spans="1:4" x14ac:dyDescent="0.25">
      <c r="A60">
        <v>280002530</v>
      </c>
      <c r="B60">
        <v>72.176860591183399</v>
      </c>
      <c r="C60">
        <v>4972.97236522</v>
      </c>
      <c r="D60">
        <v>1.45138270013271E-2</v>
      </c>
    </row>
    <row r="61" spans="1:4" x14ac:dyDescent="0.25">
      <c r="A61">
        <v>280038060</v>
      </c>
      <c r="B61">
        <v>23.952833475940501</v>
      </c>
      <c r="C61">
        <v>4965.9023001899996</v>
      </c>
      <c r="D61">
        <v>4.8234604766638298E-3</v>
      </c>
    </row>
    <row r="62" spans="1:4" x14ac:dyDescent="0.25">
      <c r="A62">
        <v>280053835</v>
      </c>
      <c r="B62">
        <v>39.774513509974597</v>
      </c>
      <c r="C62">
        <v>4955.2978954600003</v>
      </c>
      <c r="D62">
        <v>8.0266644607614006E-3</v>
      </c>
    </row>
    <row r="63" spans="1:4" x14ac:dyDescent="0.25">
      <c r="A63">
        <v>280007656</v>
      </c>
      <c r="B63">
        <v>32.891507612162002</v>
      </c>
      <c r="C63">
        <v>4945.1392234599998</v>
      </c>
      <c r="D63">
        <v>6.6512804040223996E-3</v>
      </c>
    </row>
    <row r="64" spans="1:4" x14ac:dyDescent="0.25">
      <c r="A64">
        <v>280060966</v>
      </c>
      <c r="B64">
        <v>17.076784614902401</v>
      </c>
      <c r="C64">
        <v>4939.0841815000003</v>
      </c>
      <c r="D64">
        <v>3.45747996741294E-3</v>
      </c>
    </row>
    <row r="65" spans="1:4" x14ac:dyDescent="0.25">
      <c r="A65">
        <v>280042035</v>
      </c>
      <c r="B65">
        <v>24.079811588192999</v>
      </c>
      <c r="C65">
        <v>4937.6697578800004</v>
      </c>
      <c r="D65">
        <v>4.8767561965366597E-3</v>
      </c>
    </row>
    <row r="66" spans="1:4" x14ac:dyDescent="0.25">
      <c r="A66">
        <v>280007743</v>
      </c>
      <c r="B66">
        <v>23.6373079208307</v>
      </c>
      <c r="C66">
        <v>4921.3527153799996</v>
      </c>
      <c r="D66">
        <v>4.8030103282295502E-3</v>
      </c>
    </row>
    <row r="67" spans="1:4" x14ac:dyDescent="0.25">
      <c r="A67">
        <v>280012067</v>
      </c>
      <c r="B67">
        <v>35.758203035690102</v>
      </c>
      <c r="C67">
        <v>4906.3846198199999</v>
      </c>
      <c r="D67">
        <v>7.2880961861897398E-3</v>
      </c>
    </row>
    <row r="68" spans="1:4" x14ac:dyDescent="0.25">
      <c r="A68">
        <v>280033614</v>
      </c>
      <c r="B68">
        <v>24.839007311456001</v>
      </c>
      <c r="C68">
        <v>4894.4942393000001</v>
      </c>
      <c r="D68">
        <v>5.0748874341322E-3</v>
      </c>
    </row>
    <row r="69" spans="1:4" x14ac:dyDescent="0.25">
      <c r="A69">
        <v>280018427</v>
      </c>
      <c r="B69">
        <v>40.623333218783003</v>
      </c>
      <c r="C69">
        <v>4880.51944379</v>
      </c>
      <c r="D69">
        <v>8.3235675396135002E-3</v>
      </c>
    </row>
    <row r="70" spans="1:4" x14ac:dyDescent="0.25">
      <c r="A70">
        <v>280066900</v>
      </c>
      <c r="B70">
        <v>65.922474863762503</v>
      </c>
      <c r="C70">
        <v>4874.4511881199996</v>
      </c>
      <c r="D70">
        <v>1.3524081444169301E-2</v>
      </c>
    </row>
    <row r="71" spans="1:4" x14ac:dyDescent="0.25">
      <c r="A71">
        <v>280008410</v>
      </c>
      <c r="B71">
        <v>41.064037769862502</v>
      </c>
      <c r="C71">
        <v>4854.4701165699998</v>
      </c>
      <c r="D71">
        <v>8.4590154607598906E-3</v>
      </c>
    </row>
    <row r="72" spans="1:4" x14ac:dyDescent="0.25">
      <c r="A72">
        <v>280004215</v>
      </c>
      <c r="B72">
        <v>62.833995450227</v>
      </c>
      <c r="C72">
        <v>4851.7384133300002</v>
      </c>
      <c r="D72">
        <v>1.2950820942364201E-2</v>
      </c>
    </row>
    <row r="73" spans="1:4" x14ac:dyDescent="0.25">
      <c r="A73">
        <v>280041969</v>
      </c>
      <c r="B73">
        <v>49.265736853754298</v>
      </c>
      <c r="C73">
        <v>4847.73108202</v>
      </c>
      <c r="D73">
        <v>1.01626381538527E-2</v>
      </c>
    </row>
    <row r="74" spans="1:4" x14ac:dyDescent="0.25">
      <c r="A74">
        <v>280028980</v>
      </c>
      <c r="B74">
        <v>70.2972909339517</v>
      </c>
      <c r="C74">
        <v>4843.7288170499996</v>
      </c>
      <c r="D74">
        <v>1.45130525653096E-2</v>
      </c>
    </row>
    <row r="75" spans="1:4" x14ac:dyDescent="0.25">
      <c r="A75">
        <v>280064474</v>
      </c>
      <c r="B75">
        <v>74.116805130802604</v>
      </c>
      <c r="C75">
        <v>4840.8381956200001</v>
      </c>
      <c r="D75">
        <v>1.53107379622528E-2</v>
      </c>
    </row>
    <row r="76" spans="1:4" x14ac:dyDescent="0.25">
      <c r="A76">
        <v>280031937</v>
      </c>
      <c r="B76">
        <v>36.891648571962399</v>
      </c>
      <c r="C76">
        <v>4838.50349396</v>
      </c>
      <c r="D76">
        <v>7.6245989318835901E-3</v>
      </c>
    </row>
    <row r="77" spans="1:4" x14ac:dyDescent="0.25">
      <c r="A77">
        <v>280036622</v>
      </c>
      <c r="B77">
        <v>67.430303403529507</v>
      </c>
      <c r="C77">
        <v>4832.2792046100003</v>
      </c>
      <c r="D77">
        <v>1.39541405925388E-2</v>
      </c>
    </row>
    <row r="78" spans="1:4" x14ac:dyDescent="0.25">
      <c r="A78">
        <v>280016292</v>
      </c>
      <c r="B78">
        <v>32.329511059723103</v>
      </c>
      <c r="C78">
        <v>4830.0746015699997</v>
      </c>
      <c r="D78">
        <v>6.6933771683804801E-3</v>
      </c>
    </row>
    <row r="79" spans="1:4" x14ac:dyDescent="0.25">
      <c r="A79">
        <v>280051955</v>
      </c>
      <c r="B79">
        <v>44.329035699434499</v>
      </c>
      <c r="C79">
        <v>4829.4799516800003</v>
      </c>
      <c r="D79">
        <v>9.1788424722653601E-3</v>
      </c>
    </row>
    <row r="80" spans="1:4" x14ac:dyDescent="0.25">
      <c r="A80">
        <v>280044436</v>
      </c>
      <c r="B80">
        <v>14.729995723979</v>
      </c>
      <c r="C80">
        <v>4828.3626471300004</v>
      </c>
      <c r="D80">
        <v>3.0507227398784099E-3</v>
      </c>
    </row>
    <row r="81" spans="1:4" x14ac:dyDescent="0.25">
      <c r="A81">
        <v>280022624</v>
      </c>
      <c r="B81">
        <v>56.083847044173901</v>
      </c>
      <c r="C81">
        <v>4826.5404637600004</v>
      </c>
      <c r="D81">
        <v>1.1619885395197401E-2</v>
      </c>
    </row>
    <row r="82" spans="1:4" x14ac:dyDescent="0.25">
      <c r="A82">
        <v>280030519</v>
      </c>
      <c r="B82">
        <v>80.891171322671099</v>
      </c>
      <c r="C82">
        <v>4797.1998966199999</v>
      </c>
      <c r="D82">
        <v>1.6862163984382901E-2</v>
      </c>
    </row>
    <row r="83" spans="1:4" x14ac:dyDescent="0.25">
      <c r="A83">
        <v>280014291</v>
      </c>
      <c r="B83">
        <v>23.753541806167998</v>
      </c>
      <c r="C83">
        <v>4793.1169592699998</v>
      </c>
      <c r="D83">
        <v>4.9557609397008501E-3</v>
      </c>
    </row>
    <row r="84" spans="1:4" x14ac:dyDescent="0.25">
      <c r="A84">
        <v>280014790</v>
      </c>
      <c r="B84">
        <v>33.600852768369997</v>
      </c>
      <c r="C84">
        <v>4781.60363426</v>
      </c>
      <c r="D84">
        <v>7.0271095930288397E-3</v>
      </c>
    </row>
    <row r="85" spans="1:4" x14ac:dyDescent="0.25">
      <c r="A85">
        <v>280023350</v>
      </c>
      <c r="B85">
        <v>31.904390910078298</v>
      </c>
      <c r="C85">
        <v>4779.8901883799999</v>
      </c>
      <c r="D85">
        <v>6.6747121069095803E-3</v>
      </c>
    </row>
    <row r="86" spans="1:4" x14ac:dyDescent="0.25">
      <c r="A86">
        <v>280064478</v>
      </c>
      <c r="B86">
        <v>25.492607107526801</v>
      </c>
      <c r="C86">
        <v>4778.3156776100004</v>
      </c>
      <c r="D86">
        <v>5.3350613118716399E-3</v>
      </c>
    </row>
    <row r="87" spans="1:4" x14ac:dyDescent="0.25">
      <c r="A87">
        <v>280020682</v>
      </c>
      <c r="B87">
        <v>26.2071394033992</v>
      </c>
      <c r="C87">
        <v>4752.020552</v>
      </c>
      <c r="D87">
        <v>5.5149465614935701E-3</v>
      </c>
    </row>
    <row r="88" spans="1:4" x14ac:dyDescent="0.25">
      <c r="A88">
        <v>280021317</v>
      </c>
      <c r="B88">
        <v>74.4814367831395</v>
      </c>
      <c r="C88">
        <v>4751.8520447299998</v>
      </c>
      <c r="D88">
        <v>1.5674191048465499E-2</v>
      </c>
    </row>
    <row r="89" spans="1:4" x14ac:dyDescent="0.25">
      <c r="A89">
        <v>280026702</v>
      </c>
      <c r="B89">
        <v>25.795967549859199</v>
      </c>
      <c r="C89">
        <v>4751.1106588399998</v>
      </c>
      <c r="D89">
        <v>5.4294604782279196E-3</v>
      </c>
    </row>
    <row r="90" spans="1:4" x14ac:dyDescent="0.25">
      <c r="A90">
        <v>280046574</v>
      </c>
      <c r="B90">
        <v>25.463699073008002</v>
      </c>
      <c r="C90">
        <v>4748.9482040000003</v>
      </c>
      <c r="D90">
        <v>5.3619660563069896E-3</v>
      </c>
    </row>
    <row r="91" spans="1:4" x14ac:dyDescent="0.25">
      <c r="A91">
        <v>280004189</v>
      </c>
      <c r="B91">
        <v>18.058387775095699</v>
      </c>
      <c r="C91">
        <v>4747.9732186399997</v>
      </c>
      <c r="D91">
        <v>3.8033887184115902E-3</v>
      </c>
    </row>
    <row r="92" spans="1:4" x14ac:dyDescent="0.25">
      <c r="A92">
        <v>280059771</v>
      </c>
      <c r="B92">
        <v>27.812722960624601</v>
      </c>
      <c r="C92">
        <v>4733.6082360999999</v>
      </c>
      <c r="D92">
        <v>5.8755861434657596E-3</v>
      </c>
    </row>
    <row r="93" spans="1:4" x14ac:dyDescent="0.25">
      <c r="A93">
        <v>280016717</v>
      </c>
      <c r="B93">
        <v>64.489242069779806</v>
      </c>
      <c r="C93">
        <v>4731.55421621</v>
      </c>
      <c r="D93">
        <v>1.36296107204782E-2</v>
      </c>
    </row>
    <row r="94" spans="1:4" x14ac:dyDescent="0.25">
      <c r="A94">
        <v>280035228</v>
      </c>
      <c r="B94">
        <v>29.510366491644401</v>
      </c>
      <c r="C94">
        <v>4730.9426478200003</v>
      </c>
      <c r="D94">
        <v>6.2377349903496903E-3</v>
      </c>
    </row>
    <row r="95" spans="1:4" x14ac:dyDescent="0.25">
      <c r="A95">
        <v>280061554</v>
      </c>
      <c r="B95">
        <v>75.146805495618196</v>
      </c>
      <c r="C95">
        <v>4724.9953978000003</v>
      </c>
      <c r="D95">
        <v>1.5904101309941399E-2</v>
      </c>
    </row>
    <row r="96" spans="1:4" x14ac:dyDescent="0.25">
      <c r="A96">
        <v>280043996</v>
      </c>
      <c r="B96">
        <v>49.635455677241602</v>
      </c>
      <c r="C96">
        <v>4721.5840048199998</v>
      </c>
      <c r="D96">
        <v>1.0512458451776299E-2</v>
      </c>
    </row>
    <row r="97" spans="1:4" x14ac:dyDescent="0.25">
      <c r="A97">
        <v>280043308</v>
      </c>
      <c r="B97">
        <v>29.983061231852101</v>
      </c>
      <c r="C97">
        <v>4715.4400593099999</v>
      </c>
      <c r="D97">
        <v>6.3584863458617403E-3</v>
      </c>
    </row>
    <row r="98" spans="1:4" x14ac:dyDescent="0.25">
      <c r="A98">
        <v>280053285</v>
      </c>
      <c r="B98">
        <v>55.445837774179601</v>
      </c>
      <c r="C98">
        <v>4710.0330195300003</v>
      </c>
      <c r="D98">
        <v>1.17718575526488E-2</v>
      </c>
    </row>
    <row r="99" spans="1:4" x14ac:dyDescent="0.25">
      <c r="A99">
        <v>280014592</v>
      </c>
      <c r="B99">
        <v>20.146182238756801</v>
      </c>
      <c r="C99">
        <v>4707.2483415999995</v>
      </c>
      <c r="D99">
        <v>4.2798214108901497E-3</v>
      </c>
    </row>
    <row r="100" spans="1:4" x14ac:dyDescent="0.25">
      <c r="A100">
        <v>280008485</v>
      </c>
      <c r="B100">
        <v>58.935638060377002</v>
      </c>
      <c r="C100">
        <v>4701.964422</v>
      </c>
      <c r="D100">
        <v>1.2534258614255601E-2</v>
      </c>
    </row>
    <row r="101" spans="1:4" x14ac:dyDescent="0.25">
      <c r="A101">
        <v>280031678</v>
      </c>
      <c r="B101">
        <v>19.272987572456799</v>
      </c>
      <c r="C101">
        <v>4701.3870930000003</v>
      </c>
      <c r="D101">
        <v>4.0994258058760502E-3</v>
      </c>
    </row>
    <row r="102" spans="1:4" x14ac:dyDescent="0.25">
      <c r="A102">
        <v>280007812</v>
      </c>
      <c r="B102">
        <v>57.233746199064299</v>
      </c>
      <c r="C102">
        <v>4698.5356666799998</v>
      </c>
      <c r="D102">
        <v>1.2181187982660499E-2</v>
      </c>
    </row>
    <row r="103" spans="1:4" x14ac:dyDescent="0.25">
      <c r="A103">
        <v>280028702</v>
      </c>
      <c r="B103">
        <v>58.162393813723497</v>
      </c>
      <c r="C103">
        <v>4694.4730360399999</v>
      </c>
      <c r="D103">
        <v>1.23895468921015E-2</v>
      </c>
    </row>
    <row r="104" spans="1:4" x14ac:dyDescent="0.25">
      <c r="A104">
        <v>280055634</v>
      </c>
      <c r="B104">
        <v>26.906348903825599</v>
      </c>
      <c r="C104">
        <v>4689.9193430100004</v>
      </c>
      <c r="D104">
        <v>5.7370600507080502E-3</v>
      </c>
    </row>
    <row r="105" spans="1:4" x14ac:dyDescent="0.25">
      <c r="A105">
        <v>280028463</v>
      </c>
      <c r="B105">
        <v>56.959000807372902</v>
      </c>
      <c r="C105">
        <v>4674.3404872900001</v>
      </c>
      <c r="D105">
        <v>1.2185462518669799E-2</v>
      </c>
    </row>
    <row r="106" spans="1:4" x14ac:dyDescent="0.25">
      <c r="A106">
        <v>280001909</v>
      </c>
      <c r="B106">
        <v>47.285179785097696</v>
      </c>
      <c r="C106">
        <v>4654.43549859</v>
      </c>
      <c r="D106">
        <v>1.01591653379711E-2</v>
      </c>
    </row>
    <row r="107" spans="1:4" x14ac:dyDescent="0.25">
      <c r="A107">
        <v>280023613</v>
      </c>
      <c r="B107">
        <v>44.031833277086697</v>
      </c>
      <c r="C107">
        <v>4653.9355575700001</v>
      </c>
      <c r="D107">
        <v>9.4612039063294295E-3</v>
      </c>
    </row>
    <row r="108" spans="1:4" x14ac:dyDescent="0.25">
      <c r="A108">
        <v>280050354</v>
      </c>
      <c r="B108">
        <v>47.425066751471</v>
      </c>
      <c r="C108">
        <v>4653.7049267299999</v>
      </c>
      <c r="D108">
        <v>1.0190819464953701E-2</v>
      </c>
    </row>
    <row r="109" spans="1:4" x14ac:dyDescent="0.25">
      <c r="A109">
        <v>280008495</v>
      </c>
      <c r="B109">
        <v>10.418333023137</v>
      </c>
      <c r="C109">
        <v>4652.2453728399996</v>
      </c>
      <c r="D109">
        <v>2.2394203633281299E-3</v>
      </c>
    </row>
    <row r="110" spans="1:4" x14ac:dyDescent="0.25">
      <c r="A110">
        <v>280029728</v>
      </c>
      <c r="B110">
        <v>15.704418659929599</v>
      </c>
      <c r="C110">
        <v>4648.6394673200002</v>
      </c>
      <c r="D110">
        <v>3.3782827793662801E-3</v>
      </c>
    </row>
    <row r="111" spans="1:4" x14ac:dyDescent="0.25">
      <c r="A111">
        <v>280008874</v>
      </c>
      <c r="B111">
        <v>25.428693135065402</v>
      </c>
      <c r="C111">
        <v>4636.2695722899998</v>
      </c>
      <c r="D111">
        <v>5.4847313639930098E-3</v>
      </c>
    </row>
    <row r="112" spans="1:4" x14ac:dyDescent="0.25">
      <c r="A112">
        <v>280054103</v>
      </c>
      <c r="B112">
        <v>29.199134600736699</v>
      </c>
      <c r="C112">
        <v>4616.9618738400004</v>
      </c>
      <c r="D112">
        <v>6.3243178953200502E-3</v>
      </c>
    </row>
    <row r="113" spans="1:4" x14ac:dyDescent="0.25">
      <c r="A113">
        <v>280057220</v>
      </c>
      <c r="B113">
        <v>60.347207048747102</v>
      </c>
      <c r="C113">
        <v>4612.0800775300004</v>
      </c>
      <c r="D113">
        <v>1.3084596545224401E-2</v>
      </c>
    </row>
    <row r="114" spans="1:4" x14ac:dyDescent="0.25">
      <c r="A114">
        <v>280000260</v>
      </c>
      <c r="B114">
        <v>39.488744119999502</v>
      </c>
      <c r="C114">
        <v>4609.6920647899997</v>
      </c>
      <c r="D114">
        <v>8.5664603112265598E-3</v>
      </c>
    </row>
    <row r="115" spans="1:4" x14ac:dyDescent="0.25">
      <c r="A115">
        <v>280039003</v>
      </c>
      <c r="B115">
        <v>20.056611346071101</v>
      </c>
      <c r="C115">
        <v>4602.1226756200003</v>
      </c>
      <c r="D115">
        <v>4.3581218406719396E-3</v>
      </c>
    </row>
    <row r="116" spans="1:4" x14ac:dyDescent="0.25">
      <c r="A116">
        <v>280035147</v>
      </c>
      <c r="B116">
        <v>53.546312275353898</v>
      </c>
      <c r="C116">
        <v>4594.2899753299998</v>
      </c>
      <c r="D116">
        <v>1.1654970096115399E-2</v>
      </c>
    </row>
    <row r="117" spans="1:4" x14ac:dyDescent="0.25">
      <c r="A117">
        <v>280010586</v>
      </c>
      <c r="B117">
        <v>24.637219476313099</v>
      </c>
      <c r="C117">
        <v>4593.3259668999999</v>
      </c>
      <c r="D117">
        <v>5.3636993441901499E-3</v>
      </c>
    </row>
    <row r="118" spans="1:4" x14ac:dyDescent="0.25">
      <c r="A118">
        <v>280067510</v>
      </c>
      <c r="B118">
        <v>70.609118138859799</v>
      </c>
      <c r="C118">
        <v>4590.2310013300003</v>
      </c>
      <c r="D118">
        <v>1.53824759839758E-2</v>
      </c>
    </row>
    <row r="119" spans="1:4" x14ac:dyDescent="0.25">
      <c r="A119">
        <v>280008146</v>
      </c>
      <c r="B119">
        <v>55.486663220575103</v>
      </c>
      <c r="C119">
        <v>4577.7174410300004</v>
      </c>
      <c r="D119">
        <v>1.21210327931666E-2</v>
      </c>
    </row>
    <row r="120" spans="1:4" x14ac:dyDescent="0.25">
      <c r="A120">
        <v>280033492</v>
      </c>
      <c r="B120">
        <v>35.421383143818801</v>
      </c>
      <c r="C120">
        <v>4574.59884083</v>
      </c>
      <c r="D120">
        <v>7.74305777977071E-3</v>
      </c>
    </row>
    <row r="121" spans="1:4" x14ac:dyDescent="0.25">
      <c r="A121">
        <v>280002091</v>
      </c>
      <c r="B121">
        <v>80.046158658938495</v>
      </c>
      <c r="C121">
        <v>4571.6297109500001</v>
      </c>
      <c r="D121">
        <v>1.7509326809039501E-2</v>
      </c>
    </row>
    <row r="122" spans="1:4" x14ac:dyDescent="0.25">
      <c r="A122">
        <v>280013238</v>
      </c>
      <c r="B122">
        <v>61.366317847131597</v>
      </c>
      <c r="C122">
        <v>4568.8342998199996</v>
      </c>
      <c r="D122">
        <v>1.34315043663434E-2</v>
      </c>
    </row>
    <row r="123" spans="1:4" x14ac:dyDescent="0.25">
      <c r="A123">
        <v>280033055</v>
      </c>
      <c r="B123">
        <v>22.1137581851238</v>
      </c>
      <c r="C123">
        <v>4559.09631386</v>
      </c>
      <c r="D123">
        <v>4.8504696244069797E-3</v>
      </c>
    </row>
    <row r="124" spans="1:4" x14ac:dyDescent="0.25">
      <c r="A124">
        <v>280051322</v>
      </c>
      <c r="B124">
        <v>57.486153541980201</v>
      </c>
      <c r="C124">
        <v>4557.3156507900003</v>
      </c>
      <c r="D124">
        <v>1.2614038163456E-2</v>
      </c>
    </row>
    <row r="125" spans="1:4" x14ac:dyDescent="0.25">
      <c r="A125">
        <v>280042891</v>
      </c>
      <c r="B125">
        <v>58.742782525035999</v>
      </c>
      <c r="C125">
        <v>4553.7017013300001</v>
      </c>
      <c r="D125">
        <v>1.2900006714950001E-2</v>
      </c>
    </row>
    <row r="126" spans="1:4" x14ac:dyDescent="0.25">
      <c r="A126">
        <v>280023211</v>
      </c>
      <c r="B126">
        <v>26.472120259181299</v>
      </c>
      <c r="C126">
        <v>4549.6269938900004</v>
      </c>
      <c r="D126">
        <v>5.8185254076284698E-3</v>
      </c>
    </row>
    <row r="127" spans="1:4" x14ac:dyDescent="0.25">
      <c r="A127">
        <v>280056811</v>
      </c>
      <c r="B127">
        <v>22.910673563836301</v>
      </c>
      <c r="C127">
        <v>4545.5508923300004</v>
      </c>
      <c r="D127">
        <v>5.0402413495127599E-3</v>
      </c>
    </row>
    <row r="128" spans="1:4" x14ac:dyDescent="0.25">
      <c r="A128">
        <v>280020865</v>
      </c>
      <c r="B128">
        <v>18.3424777419077</v>
      </c>
      <c r="C128">
        <v>4544.4408698899997</v>
      </c>
      <c r="D128">
        <v>4.0362452207133E-3</v>
      </c>
    </row>
    <row r="129" spans="1:4" x14ac:dyDescent="0.25">
      <c r="A129">
        <v>280002394</v>
      </c>
      <c r="B129">
        <v>21.4441442500855</v>
      </c>
      <c r="C129">
        <v>4533.5429448300001</v>
      </c>
      <c r="D129">
        <v>4.73010722762429E-3</v>
      </c>
    </row>
    <row r="130" spans="1:4" x14ac:dyDescent="0.25">
      <c r="A130">
        <v>280052306</v>
      </c>
      <c r="B130">
        <v>47.023739187787299</v>
      </c>
      <c r="C130">
        <v>4529.2835441200004</v>
      </c>
      <c r="D130">
        <v>1.03821583987239E-2</v>
      </c>
    </row>
    <row r="131" spans="1:4" x14ac:dyDescent="0.25">
      <c r="A131">
        <v>280055648</v>
      </c>
      <c r="B131">
        <v>66.075075225049801</v>
      </c>
      <c r="C131">
        <v>4529.1384029199999</v>
      </c>
      <c r="D131">
        <v>1.45888840982316E-2</v>
      </c>
    </row>
    <row r="132" spans="1:4" x14ac:dyDescent="0.25">
      <c r="A132">
        <v>280007214</v>
      </c>
      <c r="B132">
        <v>58.098638210878697</v>
      </c>
      <c r="C132">
        <v>4522.96542623</v>
      </c>
      <c r="D132">
        <v>1.2845253663436799E-2</v>
      </c>
    </row>
    <row r="133" spans="1:4" x14ac:dyDescent="0.25">
      <c r="A133">
        <v>280003504</v>
      </c>
      <c r="B133">
        <v>20.550439923617201</v>
      </c>
      <c r="C133">
        <v>4504.2983724599999</v>
      </c>
      <c r="D133">
        <v>4.5624064447563903E-3</v>
      </c>
    </row>
    <row r="134" spans="1:4" x14ac:dyDescent="0.25">
      <c r="A134">
        <v>280037236</v>
      </c>
      <c r="B134">
        <v>43.735578398136198</v>
      </c>
      <c r="C134">
        <v>4498.9227031800001</v>
      </c>
      <c r="D134">
        <v>9.7213447048606402E-3</v>
      </c>
    </row>
    <row r="135" spans="1:4" x14ac:dyDescent="0.25">
      <c r="A135">
        <v>280042199</v>
      </c>
      <c r="B135">
        <v>49.601014634327299</v>
      </c>
      <c r="C135">
        <v>4498.3564712899997</v>
      </c>
      <c r="D135">
        <v>1.1026474880525199E-2</v>
      </c>
    </row>
    <row r="136" spans="1:4" x14ac:dyDescent="0.25">
      <c r="A136">
        <v>280049047</v>
      </c>
      <c r="B136">
        <v>51.810126968690398</v>
      </c>
      <c r="C136">
        <v>4497.7907868399998</v>
      </c>
      <c r="D136">
        <v>1.15190166515261E-2</v>
      </c>
    </row>
    <row r="137" spans="1:4" x14ac:dyDescent="0.25">
      <c r="A137">
        <v>280017491</v>
      </c>
      <c r="B137">
        <v>34.167610036646799</v>
      </c>
      <c r="C137">
        <v>4471.5961954799996</v>
      </c>
      <c r="D137">
        <v>7.6410320930106104E-3</v>
      </c>
    </row>
    <row r="138" spans="1:4" x14ac:dyDescent="0.25">
      <c r="A138">
        <v>280010766</v>
      </c>
      <c r="B138">
        <v>55.395559857130699</v>
      </c>
      <c r="C138">
        <v>4465.7299223299997</v>
      </c>
      <c r="D138">
        <v>1.2404592490051001E-2</v>
      </c>
    </row>
    <row r="139" spans="1:4" x14ac:dyDescent="0.25">
      <c r="A139">
        <v>280053423</v>
      </c>
      <c r="B139">
        <v>65.161956155077107</v>
      </c>
      <c r="C139">
        <v>4459.0462273399999</v>
      </c>
      <c r="D139">
        <v>1.4613429157909599E-2</v>
      </c>
    </row>
    <row r="140" spans="1:4" x14ac:dyDescent="0.25">
      <c r="A140">
        <v>280034069</v>
      </c>
      <c r="B140">
        <v>58.488125105748601</v>
      </c>
      <c r="C140">
        <v>4442.7039285800001</v>
      </c>
      <c r="D140">
        <v>1.31649837679917E-2</v>
      </c>
    </row>
    <row r="141" spans="1:4" x14ac:dyDescent="0.25">
      <c r="A141">
        <v>280014565</v>
      </c>
      <c r="B141">
        <v>60.561380028930699</v>
      </c>
      <c r="C141">
        <v>4439.21058111</v>
      </c>
      <c r="D141">
        <v>1.36423760311428E-2</v>
      </c>
    </row>
    <row r="142" spans="1:4" x14ac:dyDescent="0.25">
      <c r="A142">
        <v>280002663</v>
      </c>
      <c r="B142">
        <v>15.7295145144986</v>
      </c>
      <c r="C142">
        <v>4437.8358951299997</v>
      </c>
      <c r="D142">
        <v>3.5444110341619301E-3</v>
      </c>
    </row>
    <row r="143" spans="1:4" x14ac:dyDescent="0.25">
      <c r="A143">
        <v>280054208</v>
      </c>
      <c r="B143">
        <v>40.701223381558002</v>
      </c>
      <c r="C143">
        <v>4435.8914181</v>
      </c>
      <c r="D143">
        <v>9.1754327474028504E-3</v>
      </c>
    </row>
    <row r="144" spans="1:4" x14ac:dyDescent="0.25">
      <c r="A144">
        <v>280063114</v>
      </c>
      <c r="B144">
        <v>18.848680423486702</v>
      </c>
      <c r="C144">
        <v>4435.6170832400003</v>
      </c>
      <c r="D144">
        <v>4.2493930539465397E-3</v>
      </c>
    </row>
    <row r="145" spans="1:4" x14ac:dyDescent="0.25">
      <c r="A145">
        <v>280023751</v>
      </c>
      <c r="B145">
        <v>55.061231852169698</v>
      </c>
      <c r="C145">
        <v>4425.15353805</v>
      </c>
      <c r="D145">
        <v>1.24427844997291E-2</v>
      </c>
    </row>
    <row r="146" spans="1:4" x14ac:dyDescent="0.25">
      <c r="A146">
        <v>280046418</v>
      </c>
      <c r="B146">
        <v>65.142817813557798</v>
      </c>
      <c r="C146">
        <v>4416.4378312700001</v>
      </c>
      <c r="D146">
        <v>1.47500814688985E-2</v>
      </c>
    </row>
    <row r="147" spans="1:4" x14ac:dyDescent="0.25">
      <c r="A147">
        <v>280007188</v>
      </c>
      <c r="B147">
        <v>56.354789963020799</v>
      </c>
      <c r="C147">
        <v>4413.4713254400003</v>
      </c>
      <c r="D147">
        <v>1.27688129835992E-2</v>
      </c>
    </row>
    <row r="148" spans="1:4" x14ac:dyDescent="0.25">
      <c r="A148">
        <v>280031289</v>
      </c>
      <c r="B148">
        <v>16.979998181040099</v>
      </c>
      <c r="C148">
        <v>4412.3045413700002</v>
      </c>
      <c r="D148">
        <v>3.8483286957721801E-3</v>
      </c>
    </row>
    <row r="149" spans="1:4" x14ac:dyDescent="0.25">
      <c r="A149">
        <v>280037955</v>
      </c>
      <c r="B149">
        <v>36.005155457386699</v>
      </c>
      <c r="C149">
        <v>4409.7830790899998</v>
      </c>
      <c r="D149">
        <v>8.1648359594179206E-3</v>
      </c>
    </row>
    <row r="150" spans="1:4" x14ac:dyDescent="0.25">
      <c r="A150">
        <v>280005835</v>
      </c>
      <c r="B150">
        <v>34.654216990538004</v>
      </c>
      <c r="C150">
        <v>4408.1265660899999</v>
      </c>
      <c r="D150">
        <v>7.8614387474986308E-3</v>
      </c>
    </row>
    <row r="151" spans="1:4" x14ac:dyDescent="0.25">
      <c r="A151">
        <v>280009520</v>
      </c>
      <c r="B151">
        <v>55.635325619387999</v>
      </c>
      <c r="C151">
        <v>4407.7398454499998</v>
      </c>
      <c r="D151">
        <v>1.2622189051565501E-2</v>
      </c>
    </row>
    <row r="152" spans="1:4" x14ac:dyDescent="0.25">
      <c r="A152">
        <v>280020752</v>
      </c>
      <c r="B152">
        <v>26.598451014371101</v>
      </c>
      <c r="C152">
        <v>4403.7105655699997</v>
      </c>
      <c r="D152">
        <v>6.0400089012044899E-3</v>
      </c>
    </row>
    <row r="153" spans="1:4" x14ac:dyDescent="0.25">
      <c r="A153">
        <v>280067930</v>
      </c>
      <c r="B153">
        <v>48.097823759370002</v>
      </c>
      <c r="C153">
        <v>4403.4462994699998</v>
      </c>
      <c r="D153">
        <v>1.09227683247004E-2</v>
      </c>
    </row>
    <row r="154" spans="1:4" x14ac:dyDescent="0.25">
      <c r="A154">
        <v>280013956</v>
      </c>
      <c r="B154">
        <v>44.542292405794598</v>
      </c>
      <c r="C154">
        <v>4402.0558250300001</v>
      </c>
      <c r="D154">
        <v>1.0118520567714701E-2</v>
      </c>
    </row>
    <row r="155" spans="1:4" x14ac:dyDescent="0.25">
      <c r="A155">
        <v>280047453</v>
      </c>
      <c r="B155">
        <v>57.361033826518003</v>
      </c>
      <c r="C155">
        <v>4400.6628180099997</v>
      </c>
      <c r="D155">
        <v>1.3034635053557E-2</v>
      </c>
    </row>
    <row r="156" spans="1:4" x14ac:dyDescent="0.25">
      <c r="A156">
        <v>280035047</v>
      </c>
      <c r="B156">
        <v>44.343340995658501</v>
      </c>
      <c r="C156">
        <v>4396.8967524099999</v>
      </c>
      <c r="D156">
        <v>1.00851449312184E-2</v>
      </c>
    </row>
    <row r="157" spans="1:4" x14ac:dyDescent="0.25">
      <c r="A157">
        <v>280022827</v>
      </c>
      <c r="B157">
        <v>19.916167240540499</v>
      </c>
      <c r="C157">
        <v>4394.9726365699998</v>
      </c>
      <c r="D157">
        <v>4.5315793492820902E-3</v>
      </c>
    </row>
    <row r="158" spans="1:4" x14ac:dyDescent="0.25">
      <c r="A158">
        <v>280032984</v>
      </c>
      <c r="B158">
        <v>81.178913433764095</v>
      </c>
      <c r="C158">
        <v>4392.1401503400002</v>
      </c>
      <c r="D158">
        <v>1.8482769368705101E-2</v>
      </c>
    </row>
    <row r="159" spans="1:4" x14ac:dyDescent="0.25">
      <c r="A159">
        <v>280066394</v>
      </c>
      <c r="B159">
        <v>61.0178708190235</v>
      </c>
      <c r="C159">
        <v>4388.1986083100001</v>
      </c>
      <c r="D159">
        <v>1.39049929744458E-2</v>
      </c>
    </row>
    <row r="160" spans="1:4" x14ac:dyDescent="0.25">
      <c r="A160">
        <v>280057830</v>
      </c>
      <c r="B160">
        <v>26.4661357167519</v>
      </c>
      <c r="C160">
        <v>4383.2813965200003</v>
      </c>
      <c r="D160">
        <v>6.0379732265795202E-3</v>
      </c>
    </row>
    <row r="161" spans="1:4" x14ac:dyDescent="0.25">
      <c r="A161">
        <v>280001718</v>
      </c>
      <c r="B161">
        <v>45.526032221525199</v>
      </c>
      <c r="C161">
        <v>4380.1837285299998</v>
      </c>
      <c r="D161">
        <v>1.03936353000434E-2</v>
      </c>
    </row>
    <row r="162" spans="1:4" x14ac:dyDescent="0.25">
      <c r="A162">
        <v>280031522</v>
      </c>
      <c r="B162">
        <v>28.343859326296201</v>
      </c>
      <c r="C162">
        <v>4374.0766901300003</v>
      </c>
      <c r="D162">
        <v>6.4799639636528104E-3</v>
      </c>
    </row>
    <row r="163" spans="1:4" x14ac:dyDescent="0.25">
      <c r="A163">
        <v>280009802</v>
      </c>
      <c r="B163">
        <v>21.655569699824799</v>
      </c>
      <c r="C163">
        <v>4370.6917303600003</v>
      </c>
      <c r="D163">
        <v>4.9547236537867499E-3</v>
      </c>
    </row>
    <row r="164" spans="1:4" x14ac:dyDescent="0.25">
      <c r="A164">
        <v>280066087</v>
      </c>
      <c r="B164">
        <v>29.230604990181401</v>
      </c>
      <c r="C164">
        <v>4363.4708064200004</v>
      </c>
      <c r="D164">
        <v>6.6989344691327397E-3</v>
      </c>
    </row>
    <row r="165" spans="1:4" x14ac:dyDescent="0.25">
      <c r="A165">
        <v>280051298</v>
      </c>
      <c r="B165">
        <v>56.690034270050397</v>
      </c>
      <c r="C165">
        <v>4361.3515408200001</v>
      </c>
      <c r="D165">
        <v>1.29982721501491E-2</v>
      </c>
    </row>
    <row r="166" spans="1:4" x14ac:dyDescent="0.25">
      <c r="A166">
        <v>280022188</v>
      </c>
      <c r="B166">
        <v>50.825899838018699</v>
      </c>
      <c r="C166">
        <v>4360.4993369800004</v>
      </c>
      <c r="D166">
        <v>1.16559815539887E-2</v>
      </c>
    </row>
    <row r="167" spans="1:4" x14ac:dyDescent="0.25">
      <c r="A167">
        <v>280023885</v>
      </c>
      <c r="B167">
        <v>32.1890694605909</v>
      </c>
      <c r="C167">
        <v>4359.0994536400003</v>
      </c>
      <c r="D167">
        <v>7.3843393120365504E-3</v>
      </c>
    </row>
    <row r="168" spans="1:4" x14ac:dyDescent="0.25">
      <c r="A168">
        <v>280032574</v>
      </c>
      <c r="B168">
        <v>54.217669420447201</v>
      </c>
      <c r="C168">
        <v>4350.5400402200003</v>
      </c>
      <c r="D168">
        <v>1.24622848931889E-2</v>
      </c>
    </row>
    <row r="169" spans="1:4" x14ac:dyDescent="0.25">
      <c r="A169">
        <v>280023194</v>
      </c>
      <c r="B169">
        <v>27.247065432844</v>
      </c>
      <c r="C169">
        <v>4348.5531829199999</v>
      </c>
      <c r="D169">
        <v>6.2657772106510098E-3</v>
      </c>
    </row>
    <row r="170" spans="1:4" x14ac:dyDescent="0.25">
      <c r="A170">
        <v>280013815</v>
      </c>
      <c r="B170">
        <v>37.051804891196703</v>
      </c>
      <c r="C170">
        <v>4344.96098059</v>
      </c>
      <c r="D170">
        <v>8.5275345524887594E-3</v>
      </c>
    </row>
    <row r="171" spans="1:4" x14ac:dyDescent="0.25">
      <c r="A171">
        <v>280044546</v>
      </c>
      <c r="B171">
        <v>29.996200612381301</v>
      </c>
      <c r="C171">
        <v>4340.2688687999998</v>
      </c>
      <c r="D171">
        <v>6.9111388070929904E-3</v>
      </c>
    </row>
    <row r="172" spans="1:4" x14ac:dyDescent="0.25">
      <c r="A172">
        <v>280047742</v>
      </c>
      <c r="B172">
        <v>50.972540620093298</v>
      </c>
      <c r="C172">
        <v>4328.8707785799998</v>
      </c>
      <c r="D172">
        <v>1.1775020144355899E-2</v>
      </c>
    </row>
    <row r="173" spans="1:4" x14ac:dyDescent="0.25">
      <c r="A173">
        <v>280062802</v>
      </c>
      <c r="B173">
        <v>16.5304857920096</v>
      </c>
      <c r="C173">
        <v>4326.4655465300002</v>
      </c>
      <c r="D173">
        <v>3.82078294955283E-3</v>
      </c>
    </row>
    <row r="174" spans="1:4" x14ac:dyDescent="0.25">
      <c r="A174">
        <v>280062412</v>
      </c>
      <c r="B174">
        <v>31.463247447598299</v>
      </c>
      <c r="C174">
        <v>4325.2014186599999</v>
      </c>
      <c r="D174">
        <v>7.2744005196747497E-3</v>
      </c>
    </row>
    <row r="175" spans="1:4" x14ac:dyDescent="0.25">
      <c r="A175">
        <v>280020674</v>
      </c>
      <c r="B175">
        <v>72.094490278123004</v>
      </c>
      <c r="C175">
        <v>4319.9044395399997</v>
      </c>
      <c r="D175">
        <v>1.6688908582848199E-2</v>
      </c>
    </row>
    <row r="176" spans="1:4" x14ac:dyDescent="0.25">
      <c r="A176">
        <v>280040197</v>
      </c>
      <c r="B176">
        <v>34.589197932118999</v>
      </c>
      <c r="C176">
        <v>4319.5423348900003</v>
      </c>
      <c r="D176">
        <v>8.0076071144698693E-3</v>
      </c>
    </row>
    <row r="177" spans="1:4" x14ac:dyDescent="0.25">
      <c r="A177">
        <v>280046438</v>
      </c>
      <c r="B177">
        <v>42.361334456862501</v>
      </c>
      <c r="C177">
        <v>4313.6945973100001</v>
      </c>
      <c r="D177">
        <v>9.8201978608496894E-3</v>
      </c>
    </row>
    <row r="178" spans="1:4" x14ac:dyDescent="0.25">
      <c r="A178">
        <v>280046975</v>
      </c>
      <c r="B178">
        <v>24.906634094909499</v>
      </c>
      <c r="C178">
        <v>4313.4869534199997</v>
      </c>
      <c r="D178">
        <v>5.7741299240889098E-3</v>
      </c>
    </row>
    <row r="179" spans="1:4" x14ac:dyDescent="0.25">
      <c r="A179">
        <v>280067077</v>
      </c>
      <c r="B179">
        <v>21.287068317767702</v>
      </c>
      <c r="C179">
        <v>4310.2310382400001</v>
      </c>
      <c r="D179">
        <v>4.9387302278951399E-3</v>
      </c>
    </row>
    <row r="180" spans="1:4" x14ac:dyDescent="0.25">
      <c r="A180">
        <v>280064198</v>
      </c>
      <c r="B180">
        <v>20.662737555320302</v>
      </c>
      <c r="C180">
        <v>4308.1148669300001</v>
      </c>
      <c r="D180">
        <v>4.7962364499451599E-3</v>
      </c>
    </row>
    <row r="181" spans="1:4" x14ac:dyDescent="0.25">
      <c r="A181">
        <v>280037884</v>
      </c>
      <c r="B181">
        <v>47.624107356530899</v>
      </c>
      <c r="C181">
        <v>4307.1174092900001</v>
      </c>
      <c r="D181">
        <v>1.1057072011506E-2</v>
      </c>
    </row>
    <row r="182" spans="1:4" x14ac:dyDescent="0.25">
      <c r="A182">
        <v>280028481</v>
      </c>
      <c r="B182">
        <v>34.911364127007701</v>
      </c>
      <c r="C182">
        <v>4297.6853625800004</v>
      </c>
      <c r="D182">
        <v>8.1232945601326101E-3</v>
      </c>
    </row>
    <row r="183" spans="1:4" x14ac:dyDescent="0.25">
      <c r="A183">
        <v>280016551</v>
      </c>
      <c r="B183">
        <v>52.599940998724698</v>
      </c>
      <c r="C183">
        <v>4296.5455000100001</v>
      </c>
      <c r="D183">
        <v>1.2242379604406E-2</v>
      </c>
    </row>
    <row r="184" spans="1:4" x14ac:dyDescent="0.25">
      <c r="A184">
        <v>280007781</v>
      </c>
      <c r="B184">
        <v>32.704250875750802</v>
      </c>
      <c r="C184">
        <v>4283.97897319</v>
      </c>
      <c r="D184">
        <v>7.6340829589548803E-3</v>
      </c>
    </row>
    <row r="185" spans="1:4" x14ac:dyDescent="0.25">
      <c r="A185">
        <v>280033499</v>
      </c>
      <c r="B185">
        <v>26.487339542655299</v>
      </c>
      <c r="C185">
        <v>4283.6867754799996</v>
      </c>
      <c r="D185">
        <v>6.1833044596701098E-3</v>
      </c>
    </row>
    <row r="186" spans="1:4" x14ac:dyDescent="0.25">
      <c r="A186">
        <v>280021918</v>
      </c>
      <c r="B186">
        <v>25.2650338641436</v>
      </c>
      <c r="C186">
        <v>4283.2725032500002</v>
      </c>
      <c r="D186">
        <v>5.8985352542882501E-3</v>
      </c>
    </row>
    <row r="187" spans="1:4" x14ac:dyDescent="0.25">
      <c r="A187">
        <v>280017954</v>
      </c>
      <c r="B187">
        <v>54.596641242842601</v>
      </c>
      <c r="C187">
        <v>4281.08978613</v>
      </c>
      <c r="D187">
        <v>1.27529773890112E-2</v>
      </c>
    </row>
    <row r="188" spans="1:4" x14ac:dyDescent="0.25">
      <c r="A188">
        <v>280001959</v>
      </c>
      <c r="B188">
        <v>54.436313043848799</v>
      </c>
      <c r="C188">
        <v>4275.5260896399996</v>
      </c>
      <c r="D188">
        <v>1.27320736448675E-2</v>
      </c>
    </row>
    <row r="189" spans="1:4" x14ac:dyDescent="0.25">
      <c r="A189">
        <v>280054651</v>
      </c>
      <c r="B189">
        <v>23.941189935892101</v>
      </c>
      <c r="C189">
        <v>4270.7970008100001</v>
      </c>
      <c r="D189">
        <v>5.6057897229373002E-3</v>
      </c>
    </row>
    <row r="190" spans="1:4" x14ac:dyDescent="0.25">
      <c r="A190">
        <v>280065256</v>
      </c>
      <c r="B190">
        <v>21.4012071161176</v>
      </c>
      <c r="C190">
        <v>4270.1549929599996</v>
      </c>
      <c r="D190">
        <v>5.0118103795765501E-3</v>
      </c>
    </row>
    <row r="191" spans="1:4" x14ac:dyDescent="0.25">
      <c r="A191">
        <v>280045201</v>
      </c>
      <c r="B191">
        <v>28.980687471739301</v>
      </c>
      <c r="C191">
        <v>4269.0073264299999</v>
      </c>
      <c r="D191">
        <v>6.7886244402336803E-3</v>
      </c>
    </row>
    <row r="192" spans="1:4" x14ac:dyDescent="0.25">
      <c r="A192">
        <v>280051151</v>
      </c>
      <c r="B192">
        <v>57.031293810028203</v>
      </c>
      <c r="C192">
        <v>4267.4248132399998</v>
      </c>
      <c r="D192">
        <v>1.3364334770019699E-2</v>
      </c>
    </row>
    <row r="193" spans="1:4" x14ac:dyDescent="0.25">
      <c r="A193">
        <v>280017431</v>
      </c>
      <c r="B193">
        <v>59.883956058778899</v>
      </c>
      <c r="C193">
        <v>4262.1749843799998</v>
      </c>
      <c r="D193">
        <v>1.4050093268868901E-2</v>
      </c>
    </row>
    <row r="194" spans="1:4" x14ac:dyDescent="0.25">
      <c r="A194">
        <v>280017613</v>
      </c>
      <c r="B194">
        <v>47.531494237852101</v>
      </c>
      <c r="C194">
        <v>4257.9912084699999</v>
      </c>
      <c r="D194">
        <v>1.1162891586836201E-2</v>
      </c>
    </row>
    <row r="195" spans="1:4" x14ac:dyDescent="0.25">
      <c r="A195">
        <v>280027978</v>
      </c>
      <c r="B195">
        <v>70.315148151773599</v>
      </c>
      <c r="C195">
        <v>4242.9116979500004</v>
      </c>
      <c r="D195">
        <v>1.6572380751111799E-2</v>
      </c>
    </row>
    <row r="196" spans="1:4" x14ac:dyDescent="0.25">
      <c r="A196">
        <v>280033315</v>
      </c>
      <c r="B196">
        <v>47.515468472327598</v>
      </c>
      <c r="C196">
        <v>4236.1194848699997</v>
      </c>
      <c r="D196">
        <v>1.12167441551252E-2</v>
      </c>
    </row>
    <row r="197" spans="1:4" x14ac:dyDescent="0.25">
      <c r="A197">
        <v>280032869</v>
      </c>
      <c r="B197">
        <v>27.329022744556099</v>
      </c>
      <c r="C197">
        <v>4231.1213170199999</v>
      </c>
      <c r="D197">
        <v>6.4590496695576E-3</v>
      </c>
    </row>
    <row r="198" spans="1:4" x14ac:dyDescent="0.25">
      <c r="A198">
        <v>280022212</v>
      </c>
      <c r="B198">
        <v>50.003957415581702</v>
      </c>
      <c r="C198">
        <v>4230.9789976800002</v>
      </c>
      <c r="D198">
        <v>1.1818531229533601E-2</v>
      </c>
    </row>
    <row r="199" spans="1:4" x14ac:dyDescent="0.25">
      <c r="A199">
        <v>280025017</v>
      </c>
      <c r="B199">
        <v>52.1987896427066</v>
      </c>
      <c r="C199">
        <v>4229.7539146199997</v>
      </c>
      <c r="D199">
        <v>1.23408573397812E-2</v>
      </c>
    </row>
    <row r="200" spans="1:4" x14ac:dyDescent="0.25">
      <c r="A200">
        <v>280039371</v>
      </c>
      <c r="B200">
        <v>54.956814604890198</v>
      </c>
      <c r="C200">
        <v>4228.9682769700003</v>
      </c>
      <c r="D200">
        <v>1.2995324392517301E-2</v>
      </c>
    </row>
    <row r="201" spans="1:4" x14ac:dyDescent="0.25">
      <c r="A201">
        <v>280049198</v>
      </c>
      <c r="B201">
        <v>45.787751986590898</v>
      </c>
      <c r="C201">
        <v>4228.9204191999997</v>
      </c>
      <c r="D201">
        <v>1.08272909981249E-2</v>
      </c>
    </row>
    <row r="202" spans="1:4" x14ac:dyDescent="0.25">
      <c r="A202">
        <v>280014210</v>
      </c>
      <c r="B202">
        <v>28.825333596590301</v>
      </c>
      <c r="C202">
        <v>4221.6889831099998</v>
      </c>
      <c r="D202">
        <v>6.8279150150363397E-3</v>
      </c>
    </row>
    <row r="203" spans="1:4" x14ac:dyDescent="0.25">
      <c r="A203">
        <v>280042125</v>
      </c>
      <c r="B203">
        <v>17.1342915497174</v>
      </c>
      <c r="C203">
        <v>4212.4428213000001</v>
      </c>
      <c r="D203">
        <v>4.0675428193538204E-3</v>
      </c>
    </row>
    <row r="204" spans="1:4" x14ac:dyDescent="0.25">
      <c r="A204">
        <v>280005505</v>
      </c>
      <c r="B204">
        <v>78.478359145939507</v>
      </c>
      <c r="C204">
        <v>4203.1143798100002</v>
      </c>
      <c r="D204">
        <v>1.86714783501769E-2</v>
      </c>
    </row>
    <row r="205" spans="1:4" x14ac:dyDescent="0.25">
      <c r="A205">
        <v>280018165</v>
      </c>
      <c r="B205">
        <v>47.5476689100268</v>
      </c>
      <c r="C205">
        <v>4200.88135392</v>
      </c>
      <c r="D205">
        <v>1.1318498406449501E-2</v>
      </c>
    </row>
    <row r="206" spans="1:4" x14ac:dyDescent="0.25">
      <c r="A206">
        <v>280057508</v>
      </c>
      <c r="B206">
        <v>65.784472353460302</v>
      </c>
      <c r="C206">
        <v>4198.2052034600001</v>
      </c>
      <c r="D206">
        <v>1.56696657655617E-2</v>
      </c>
    </row>
    <row r="207" spans="1:4" x14ac:dyDescent="0.25">
      <c r="A207">
        <v>280058663</v>
      </c>
      <c r="B207">
        <v>19.5701063686646</v>
      </c>
      <c r="C207">
        <v>4197.8547077900002</v>
      </c>
      <c r="D207">
        <v>4.6619303741856797E-3</v>
      </c>
    </row>
    <row r="208" spans="1:4" x14ac:dyDescent="0.25">
      <c r="A208">
        <v>280022019</v>
      </c>
      <c r="B208">
        <v>21.105518918366801</v>
      </c>
      <c r="C208">
        <v>4196.6638208900004</v>
      </c>
      <c r="D208">
        <v>5.0291183232996804E-3</v>
      </c>
    </row>
    <row r="209" spans="1:4" x14ac:dyDescent="0.25">
      <c r="A209">
        <v>280047427</v>
      </c>
      <c r="B209">
        <v>32.021032764223698</v>
      </c>
      <c r="C209">
        <v>4194.9595188100002</v>
      </c>
      <c r="D209">
        <v>7.6332161539683302E-3</v>
      </c>
    </row>
    <row r="210" spans="1:4" x14ac:dyDescent="0.25">
      <c r="A210">
        <v>280031091</v>
      </c>
      <c r="B210">
        <v>55.293801516897901</v>
      </c>
      <c r="C210">
        <v>4192.8036948700001</v>
      </c>
      <c r="D210">
        <v>1.3187786870287099E-2</v>
      </c>
    </row>
    <row r="211" spans="1:4" x14ac:dyDescent="0.25">
      <c r="A211">
        <v>280036751</v>
      </c>
      <c r="B211">
        <v>18.486367702447701</v>
      </c>
      <c r="C211">
        <v>4184.7716742399998</v>
      </c>
      <c r="D211">
        <v>4.4175331754043798E-3</v>
      </c>
    </row>
    <row r="212" spans="1:4" x14ac:dyDescent="0.25">
      <c r="A212">
        <v>280028952</v>
      </c>
      <c r="B212">
        <v>25.398833015727099</v>
      </c>
      <c r="C212">
        <v>4177.0379927599997</v>
      </c>
      <c r="D212">
        <v>6.0805846295270902E-3</v>
      </c>
    </row>
    <row r="213" spans="1:4" x14ac:dyDescent="0.25">
      <c r="A213">
        <v>280007984</v>
      </c>
      <c r="B213">
        <v>23.9472936756178</v>
      </c>
      <c r="C213">
        <v>4176.8539683400004</v>
      </c>
      <c r="D213">
        <v>5.73333275645621E-3</v>
      </c>
    </row>
    <row r="214" spans="1:4" x14ac:dyDescent="0.25">
      <c r="A214">
        <v>280055258</v>
      </c>
      <c r="B214">
        <v>20.0854138785236</v>
      </c>
      <c r="C214">
        <v>4167.0697236400001</v>
      </c>
      <c r="D214">
        <v>4.8200330713398E-3</v>
      </c>
    </row>
    <row r="215" spans="1:4" x14ac:dyDescent="0.25">
      <c r="A215">
        <v>280051200</v>
      </c>
      <c r="B215">
        <v>30.407039656265599</v>
      </c>
      <c r="C215">
        <v>4163.4167957400005</v>
      </c>
      <c r="D215">
        <v>7.3033859322895597E-3</v>
      </c>
    </row>
    <row r="216" spans="1:4" x14ac:dyDescent="0.25">
      <c r="A216">
        <v>280059504</v>
      </c>
      <c r="B216">
        <v>35.7281648674157</v>
      </c>
      <c r="C216">
        <v>4160.3333775199999</v>
      </c>
      <c r="D216">
        <v>8.5878129527959795E-3</v>
      </c>
    </row>
    <row r="217" spans="1:4" x14ac:dyDescent="0.25">
      <c r="A217">
        <v>280002861</v>
      </c>
      <c r="B217">
        <v>30.845722449039201</v>
      </c>
      <c r="C217">
        <v>4159.7364354199999</v>
      </c>
      <c r="D217">
        <v>7.4153069378119704E-3</v>
      </c>
    </row>
    <row r="218" spans="1:4" x14ac:dyDescent="0.25">
      <c r="A218">
        <v>280051871</v>
      </c>
      <c r="B218">
        <v>21.143828569696598</v>
      </c>
      <c r="C218">
        <v>4156.37483316</v>
      </c>
      <c r="D218">
        <v>5.0870841582931602E-3</v>
      </c>
    </row>
    <row r="219" spans="1:4" x14ac:dyDescent="0.25">
      <c r="A219">
        <v>280025991</v>
      </c>
      <c r="B219">
        <v>21.579720288391002</v>
      </c>
      <c r="C219">
        <v>4154.9215638799997</v>
      </c>
      <c r="D219">
        <v>5.1937732052489503E-3</v>
      </c>
    </row>
    <row r="220" spans="1:4" x14ac:dyDescent="0.25">
      <c r="A220">
        <v>280049422</v>
      </c>
      <c r="B220">
        <v>48.507999718251497</v>
      </c>
      <c r="C220">
        <v>4154.1057610099997</v>
      </c>
      <c r="D220">
        <v>1.16771219870092E-2</v>
      </c>
    </row>
    <row r="221" spans="1:4" x14ac:dyDescent="0.25">
      <c r="A221">
        <v>280027610</v>
      </c>
      <c r="B221">
        <v>30.087564306671201</v>
      </c>
      <c r="C221">
        <v>4144.5304654600004</v>
      </c>
      <c r="D221">
        <v>7.2595833369828401E-3</v>
      </c>
    </row>
    <row r="222" spans="1:4" x14ac:dyDescent="0.25">
      <c r="A222">
        <v>280054406</v>
      </c>
      <c r="B222">
        <v>29.037032401345201</v>
      </c>
      <c r="C222">
        <v>4138.4927806599999</v>
      </c>
      <c r="D222">
        <v>7.0163303261131602E-3</v>
      </c>
    </row>
    <row r="223" spans="1:4" x14ac:dyDescent="0.25">
      <c r="A223">
        <v>280005597</v>
      </c>
      <c r="B223">
        <v>51.043732315929802</v>
      </c>
      <c r="C223">
        <v>4136.49114603</v>
      </c>
      <c r="D223">
        <v>1.2339862582546299E-2</v>
      </c>
    </row>
    <row r="224" spans="1:4" x14ac:dyDescent="0.25">
      <c r="A224">
        <v>280057384</v>
      </c>
      <c r="B224">
        <v>46.925435607116199</v>
      </c>
      <c r="C224">
        <v>4134.8308259699998</v>
      </c>
      <c r="D224">
        <v>1.13488163318285E-2</v>
      </c>
    </row>
    <row r="225" spans="1:4" x14ac:dyDescent="0.25">
      <c r="A225">
        <v>280012287</v>
      </c>
      <c r="B225">
        <v>22.2585855802918</v>
      </c>
      <c r="C225">
        <v>4133.6058060699997</v>
      </c>
      <c r="D225">
        <v>5.3847867030780202E-3</v>
      </c>
    </row>
    <row r="226" spans="1:4" x14ac:dyDescent="0.25">
      <c r="A226">
        <v>280064263</v>
      </c>
      <c r="B226">
        <v>57.177620915329399</v>
      </c>
      <c r="C226">
        <v>4132.1322278199996</v>
      </c>
      <c r="D226">
        <v>1.3837316369107301E-2</v>
      </c>
    </row>
    <row r="227" spans="1:4" x14ac:dyDescent="0.25">
      <c r="A227">
        <v>280046251</v>
      </c>
      <c r="B227">
        <v>16.891763528992399</v>
      </c>
      <c r="C227">
        <v>4131.4496892500001</v>
      </c>
      <c r="D227">
        <v>4.0885802320053998E-3</v>
      </c>
    </row>
    <row r="228" spans="1:4" x14ac:dyDescent="0.25">
      <c r="A228">
        <v>280052574</v>
      </c>
      <c r="B228">
        <v>51.498926152368597</v>
      </c>
      <c r="C228">
        <v>4125.6403089400001</v>
      </c>
      <c r="D228">
        <v>1.24826505211261E-2</v>
      </c>
    </row>
    <row r="229" spans="1:4" x14ac:dyDescent="0.25">
      <c r="A229">
        <v>280038133</v>
      </c>
      <c r="B229">
        <v>19.368384611206899</v>
      </c>
      <c r="C229">
        <v>4124.79716568</v>
      </c>
      <c r="D229">
        <v>4.6955968580369902E-3</v>
      </c>
    </row>
    <row r="230" spans="1:4" x14ac:dyDescent="0.25">
      <c r="A230">
        <v>280039773</v>
      </c>
      <c r="B230">
        <v>89.226237482187102</v>
      </c>
      <c r="C230">
        <v>4123.3058206899996</v>
      </c>
      <c r="D230">
        <v>2.16394905841003E-2</v>
      </c>
    </row>
    <row r="231" spans="1:4" x14ac:dyDescent="0.25">
      <c r="A231">
        <v>280059182</v>
      </c>
      <c r="B231">
        <v>24.910422436455001</v>
      </c>
      <c r="C231">
        <v>4118.6021326299997</v>
      </c>
      <c r="D231">
        <v>6.0482711449838401E-3</v>
      </c>
    </row>
    <row r="232" spans="1:4" x14ac:dyDescent="0.25">
      <c r="A232">
        <v>280045462</v>
      </c>
      <c r="B232">
        <v>26.374673966857799</v>
      </c>
      <c r="C232">
        <v>4118.3399871800002</v>
      </c>
      <c r="D232">
        <v>6.4042002479056202E-3</v>
      </c>
    </row>
    <row r="233" spans="1:4" x14ac:dyDescent="0.25">
      <c r="A233">
        <v>280057146</v>
      </c>
      <c r="B233">
        <v>60.8644504101715</v>
      </c>
      <c r="C233">
        <v>4116.0506190599999</v>
      </c>
      <c r="D233">
        <v>1.4787099587242499E-2</v>
      </c>
    </row>
    <row r="234" spans="1:4" x14ac:dyDescent="0.25">
      <c r="A234">
        <v>280050836</v>
      </c>
      <c r="B234">
        <v>57.917003436059602</v>
      </c>
      <c r="C234">
        <v>4114.7788510800001</v>
      </c>
      <c r="D234">
        <v>1.4075362378432099E-2</v>
      </c>
    </row>
    <row r="235" spans="1:4" x14ac:dyDescent="0.25">
      <c r="A235">
        <v>280018605</v>
      </c>
      <c r="B235">
        <v>37.509229142938999</v>
      </c>
      <c r="C235">
        <v>4111.9623428599998</v>
      </c>
      <c r="D235">
        <v>9.1219777846628294E-3</v>
      </c>
    </row>
    <row r="236" spans="1:4" x14ac:dyDescent="0.25">
      <c r="A236">
        <v>280061950</v>
      </c>
      <c r="B236">
        <v>21.204946437343299</v>
      </c>
      <c r="C236">
        <v>4109.1325632999997</v>
      </c>
      <c r="D236">
        <v>5.1604435025366597E-3</v>
      </c>
    </row>
    <row r="237" spans="1:4" x14ac:dyDescent="0.25">
      <c r="A237">
        <v>280034552</v>
      </c>
      <c r="B237">
        <v>28.303671951131001</v>
      </c>
      <c r="C237">
        <v>4102.6428762699998</v>
      </c>
      <c r="D237">
        <v>6.8988875719214002E-3</v>
      </c>
    </row>
    <row r="238" spans="1:4" x14ac:dyDescent="0.25">
      <c r="A238">
        <v>280060213</v>
      </c>
      <c r="B238">
        <v>22.894009616865901</v>
      </c>
      <c r="C238">
        <v>4101.9095256399996</v>
      </c>
      <c r="D238">
        <v>5.5813053588240503E-3</v>
      </c>
    </row>
    <row r="239" spans="1:4" x14ac:dyDescent="0.25">
      <c r="A239">
        <v>280023351</v>
      </c>
      <c r="B239">
        <v>56.367111328822702</v>
      </c>
      <c r="C239">
        <v>4100.8784065199998</v>
      </c>
      <c r="D239">
        <v>1.3745131101474401E-2</v>
      </c>
    </row>
    <row r="240" spans="1:4" x14ac:dyDescent="0.25">
      <c r="A240">
        <v>280032813</v>
      </c>
      <c r="B240">
        <v>33.800073792023198</v>
      </c>
      <c r="C240">
        <v>4097.5399715399999</v>
      </c>
      <c r="D240">
        <v>8.2488698162277892E-3</v>
      </c>
    </row>
    <row r="241" spans="1:4" x14ac:dyDescent="0.25">
      <c r="A241">
        <v>280055543</v>
      </c>
      <c r="B241">
        <v>47.355516826624601</v>
      </c>
      <c r="C241">
        <v>4092.0842444099999</v>
      </c>
      <c r="D241">
        <v>1.15724686976605E-2</v>
      </c>
    </row>
    <row r="242" spans="1:4" x14ac:dyDescent="0.25">
      <c r="A242">
        <v>280008118</v>
      </c>
      <c r="B242">
        <v>35.135304409606</v>
      </c>
      <c r="C242">
        <v>4084.68581924</v>
      </c>
      <c r="D242">
        <v>8.6017152761441399E-3</v>
      </c>
    </row>
    <row r="243" spans="1:4" x14ac:dyDescent="0.25">
      <c r="A243">
        <v>280019274</v>
      </c>
      <c r="B243">
        <v>26.7218639343448</v>
      </c>
      <c r="C243">
        <v>4079.12938506</v>
      </c>
      <c r="D243">
        <v>6.5508743194601397E-3</v>
      </c>
    </row>
    <row r="244" spans="1:4" x14ac:dyDescent="0.25">
      <c r="A244">
        <v>280033289</v>
      </c>
      <c r="B244">
        <v>39.255118875911002</v>
      </c>
      <c r="C244">
        <v>4062.22250738</v>
      </c>
      <c r="D244">
        <v>9.6634585635313394E-3</v>
      </c>
    </row>
    <row r="245" spans="1:4" x14ac:dyDescent="0.25">
      <c r="A245">
        <v>280013014</v>
      </c>
      <c r="B245">
        <v>43.227357279077403</v>
      </c>
      <c r="C245">
        <v>4058.9135955400002</v>
      </c>
      <c r="D245">
        <v>1.06499821347703E-2</v>
      </c>
    </row>
    <row r="246" spans="1:4" x14ac:dyDescent="0.25">
      <c r="A246">
        <v>280051228</v>
      </c>
      <c r="B246">
        <v>59.544637613251297</v>
      </c>
      <c r="C246">
        <v>4057.7342608899999</v>
      </c>
      <c r="D246">
        <v>1.46743561270548E-2</v>
      </c>
    </row>
    <row r="247" spans="1:4" x14ac:dyDescent="0.25">
      <c r="A247">
        <v>280061939</v>
      </c>
      <c r="B247">
        <v>22.803470662256402</v>
      </c>
      <c r="C247">
        <v>4051.7033702399999</v>
      </c>
      <c r="D247">
        <v>5.6281194792662404E-3</v>
      </c>
    </row>
    <row r="248" spans="1:4" x14ac:dyDescent="0.25">
      <c r="A248">
        <v>280047127</v>
      </c>
      <c r="B248">
        <v>18.316957417542</v>
      </c>
      <c r="C248">
        <v>4043.4511008600002</v>
      </c>
      <c r="D248">
        <v>4.5300306497205404E-3</v>
      </c>
    </row>
    <row r="249" spans="1:4" x14ac:dyDescent="0.25">
      <c r="A249">
        <v>280017111</v>
      </c>
      <c r="B249">
        <v>38.042224702805498</v>
      </c>
      <c r="C249">
        <v>4042.4785556900001</v>
      </c>
      <c r="D249">
        <v>9.4106188019870002E-3</v>
      </c>
    </row>
    <row r="250" spans="1:4" x14ac:dyDescent="0.25">
      <c r="A250">
        <v>280030674</v>
      </c>
      <c r="B250">
        <v>12.7337180174077</v>
      </c>
      <c r="C250">
        <v>4041.9137354600002</v>
      </c>
      <c r="D250">
        <v>3.1504180570935802E-3</v>
      </c>
    </row>
    <row r="251" spans="1:4" x14ac:dyDescent="0.25">
      <c r="A251">
        <v>280029605</v>
      </c>
      <c r="B251">
        <v>33.861265927893399</v>
      </c>
      <c r="C251">
        <v>4037.4963191299998</v>
      </c>
      <c r="D251">
        <v>8.3866988973973402E-3</v>
      </c>
    </row>
    <row r="252" spans="1:4" x14ac:dyDescent="0.25">
      <c r="A252">
        <v>280046521</v>
      </c>
      <c r="B252">
        <v>14.5602434734621</v>
      </c>
      <c r="C252">
        <v>4036.8861598899998</v>
      </c>
      <c r="D252">
        <v>3.6068006123459399E-3</v>
      </c>
    </row>
    <row r="253" spans="1:4" x14ac:dyDescent="0.25">
      <c r="A253">
        <v>280040772</v>
      </c>
      <c r="B253">
        <v>37.1524463380292</v>
      </c>
      <c r="C253">
        <v>4030.9582202900001</v>
      </c>
      <c r="D253">
        <v>9.2167778249401706E-3</v>
      </c>
    </row>
    <row r="254" spans="1:4" x14ac:dyDescent="0.25">
      <c r="A254">
        <v>280011734</v>
      </c>
      <c r="B254">
        <v>26.479316675069299</v>
      </c>
      <c r="C254">
        <v>4025.8260218199998</v>
      </c>
      <c r="D254">
        <v>6.5773623925999896E-3</v>
      </c>
    </row>
    <row r="255" spans="1:4" x14ac:dyDescent="0.25">
      <c r="A255">
        <v>280021446</v>
      </c>
      <c r="B255">
        <v>26.1248285385069</v>
      </c>
      <c r="C255">
        <v>4019.2691040999998</v>
      </c>
      <c r="D255">
        <v>6.4998953446181E-3</v>
      </c>
    </row>
    <row r="256" spans="1:4" x14ac:dyDescent="0.25">
      <c r="A256">
        <v>280052327</v>
      </c>
      <c r="B256">
        <v>79.787893987724701</v>
      </c>
      <c r="C256">
        <v>4018.0983938200002</v>
      </c>
      <c r="D256">
        <v>1.9857127966413601E-2</v>
      </c>
    </row>
    <row r="257" spans="1:10" x14ac:dyDescent="0.25">
      <c r="A257">
        <v>280067468</v>
      </c>
      <c r="B257">
        <v>81.324039530534705</v>
      </c>
      <c r="C257">
        <v>4011.3020599900001</v>
      </c>
      <c r="D257">
        <v>2.0273726165298399E-2</v>
      </c>
      <c r="G257">
        <v>3.25</v>
      </c>
      <c r="H257">
        <v>3.5</v>
      </c>
      <c r="I257" s="119">
        <f>AVERAGEIFS(D:D,C:C,"&gt;="&amp;G257*1000,D:D,"&lt;"&amp;H257*1000)</f>
        <v>8.9600299687773253E-3</v>
      </c>
      <c r="J257">
        <f>COUNTIFS(C:C,"&gt;="&amp;G257*1000,D:D,"&lt;"&amp;H257*1000)</f>
        <v>528</v>
      </c>
    </row>
    <row r="258" spans="1:10" x14ac:dyDescent="0.25">
      <c r="A258">
        <v>280010651</v>
      </c>
      <c r="B258">
        <v>54.418064404412497</v>
      </c>
      <c r="C258">
        <v>4010.0761175399998</v>
      </c>
      <c r="D258">
        <v>1.3570332035940399E-2</v>
      </c>
      <c r="G258">
        <v>3.5</v>
      </c>
      <c r="H258">
        <v>3.75</v>
      </c>
      <c r="I258" s="119">
        <f t="shared" ref="I258:I265" si="3">AVERAGEIFS(D:D,C:C,"&gt;="&amp;G258*1000,D:D,"&lt;"&amp;H258*1000)</f>
        <v>9.0492792468040914E-3</v>
      </c>
      <c r="J258">
        <f>COUNTIFS(C:C,"&gt;="&amp;G258*1000,D:D,"&lt;"&amp;H258*1000)</f>
        <v>423</v>
      </c>
    </row>
    <row r="259" spans="1:10" x14ac:dyDescent="0.25">
      <c r="A259">
        <v>280015359</v>
      </c>
      <c r="B259">
        <v>32.056329771247903</v>
      </c>
      <c r="C259">
        <v>4005.8889957800002</v>
      </c>
      <c r="D259">
        <v>8.0023010635136404E-3</v>
      </c>
      <c r="G259">
        <v>3.75</v>
      </c>
      <c r="H259">
        <v>4</v>
      </c>
      <c r="I259" s="119">
        <f t="shared" si="3"/>
        <v>9.0000778446396347E-3</v>
      </c>
      <c r="J259">
        <f>COUNTIFS(C:C,"&gt;="&amp;G259*1000,D:D,"&lt;"&amp;H259*1000)</f>
        <v>331</v>
      </c>
    </row>
    <row r="260" spans="1:10" x14ac:dyDescent="0.25">
      <c r="A260">
        <v>280061522</v>
      </c>
      <c r="B260">
        <v>35.436730950071201</v>
      </c>
      <c r="C260">
        <v>3990.10423618</v>
      </c>
      <c r="D260">
        <v>8.8811541885926298E-3</v>
      </c>
      <c r="G260">
        <f>G259+0.25</f>
        <v>4</v>
      </c>
      <c r="H260">
        <f>H259+0.25</f>
        <v>4.25</v>
      </c>
      <c r="I260" s="119">
        <f t="shared" si="3"/>
        <v>9.0553951624114757E-3</v>
      </c>
      <c r="J260">
        <f>COUNTIFS(C:C,"&gt;="&amp;G260*1000,D:D,"&lt;"&amp;H260*1000)</f>
        <v>258</v>
      </c>
    </row>
    <row r="261" spans="1:10" x14ac:dyDescent="0.25">
      <c r="A261">
        <v>280018027</v>
      </c>
      <c r="B261">
        <v>47.586409932405701</v>
      </c>
      <c r="C261">
        <v>3984.5262619099999</v>
      </c>
      <c r="D261">
        <v>1.1942802432326E-2</v>
      </c>
      <c r="G261">
        <f>G260+0.25</f>
        <v>4.25</v>
      </c>
      <c r="H261">
        <f>H260+0.25</f>
        <v>4.5</v>
      </c>
      <c r="I261" s="119">
        <f t="shared" si="3"/>
        <v>8.9642022058705768E-3</v>
      </c>
      <c r="J261">
        <f>COUNTIFS(C:C,"&gt;="&amp;G261*1000,D:D,"&lt;"&amp;H261*1000)</f>
        <v>193</v>
      </c>
    </row>
    <row r="262" spans="1:10" x14ac:dyDescent="0.25">
      <c r="A262">
        <v>280021348</v>
      </c>
      <c r="B262">
        <v>15.710719867163</v>
      </c>
      <c r="C262">
        <v>3977.8756748800001</v>
      </c>
      <c r="D262">
        <v>3.9495251111981997E-3</v>
      </c>
      <c r="G262">
        <f>G261+0.25</f>
        <v>4.5</v>
      </c>
      <c r="H262">
        <f>H261+0.25</f>
        <v>4.75</v>
      </c>
      <c r="I262" s="119">
        <f t="shared" si="3"/>
        <v>8.7389076615560762E-3</v>
      </c>
      <c r="J262">
        <f>COUNTIFS(C:C,"&gt;="&amp;G262*1000,D:D,"&lt;"&amp;H262*1000)</f>
        <v>132</v>
      </c>
    </row>
    <row r="263" spans="1:10" x14ac:dyDescent="0.25">
      <c r="A263">
        <v>280017074</v>
      </c>
      <c r="B263">
        <v>25.983506835002999</v>
      </c>
      <c r="C263">
        <v>3968.4163950100001</v>
      </c>
      <c r="D263">
        <v>6.54757572004676E-3</v>
      </c>
      <c r="G263">
        <f>G262+0.25</f>
        <v>4.75</v>
      </c>
      <c r="H263">
        <f>H262+0.25</f>
        <v>5</v>
      </c>
      <c r="I263" s="119">
        <f t="shared" si="3"/>
        <v>8.6574128916656057E-3</v>
      </c>
      <c r="J263">
        <f>COUNTIFS(C:C,"&gt;="&amp;G263*1000,D:D,"&lt;"&amp;H263*1000)</f>
        <v>88</v>
      </c>
    </row>
    <row r="264" spans="1:10" x14ac:dyDescent="0.25">
      <c r="A264">
        <v>280047328</v>
      </c>
      <c r="B264">
        <v>27.624612339108399</v>
      </c>
      <c r="C264">
        <v>3966.6571371199998</v>
      </c>
      <c r="D264">
        <v>6.9642047155014002E-3</v>
      </c>
      <c r="G264">
        <f>G263+0.25</f>
        <v>5</v>
      </c>
      <c r="H264">
        <f>H263+0.25</f>
        <v>5.25</v>
      </c>
      <c r="I264" s="119">
        <f t="shared" si="3"/>
        <v>8.6758108949223783E-3</v>
      </c>
      <c r="J264">
        <f>COUNTIFS(C:C,"&gt;="&amp;G264*1000,D:D,"&lt;"&amp;H264*1000)</f>
        <v>54</v>
      </c>
    </row>
    <row r="265" spans="1:10" x14ac:dyDescent="0.25">
      <c r="A265">
        <v>280015540</v>
      </c>
      <c r="B265">
        <v>30.798458946210499</v>
      </c>
      <c r="C265">
        <v>3958.1683264100002</v>
      </c>
      <c r="D265">
        <v>7.7809876706643804E-3</v>
      </c>
      <c r="G265">
        <f>G264+0.25</f>
        <v>5.25</v>
      </c>
      <c r="H265">
        <f>H264+0.25</f>
        <v>5.5</v>
      </c>
      <c r="I265" s="119">
        <f t="shared" si="3"/>
        <v>9.4000098671477173E-3</v>
      </c>
      <c r="J265">
        <f>COUNTIFS(C:C,"&gt;="&amp;G265*1000,D:D,"&lt;"&amp;H265*1000)</f>
        <v>21</v>
      </c>
    </row>
    <row r="266" spans="1:10" x14ac:dyDescent="0.25">
      <c r="A266">
        <v>280051351</v>
      </c>
      <c r="B266">
        <v>38.312656246750201</v>
      </c>
      <c r="C266">
        <v>3958.1287646800001</v>
      </c>
      <c r="D266">
        <v>9.6794870820347493E-3</v>
      </c>
    </row>
    <row r="267" spans="1:10" x14ac:dyDescent="0.25">
      <c r="A267">
        <v>280031161</v>
      </c>
      <c r="B267">
        <v>50.251623745172502</v>
      </c>
      <c r="C267">
        <v>3955.9979727599998</v>
      </c>
      <c r="D267">
        <v>1.27026414298471E-2</v>
      </c>
    </row>
    <row r="268" spans="1:10" x14ac:dyDescent="0.25">
      <c r="A268">
        <v>280011598</v>
      </c>
      <c r="B268">
        <v>19.61062263626</v>
      </c>
      <c r="C268">
        <v>3954.78051559</v>
      </c>
      <c r="D268">
        <v>4.95871327345568E-3</v>
      </c>
    </row>
    <row r="269" spans="1:10" x14ac:dyDescent="0.25">
      <c r="A269">
        <v>280028008</v>
      </c>
      <c r="B269">
        <v>16.690882825200799</v>
      </c>
      <c r="C269">
        <v>3954.4514133100001</v>
      </c>
      <c r="D269">
        <v>4.22078338578702E-3</v>
      </c>
    </row>
    <row r="270" spans="1:10" x14ac:dyDescent="0.25">
      <c r="A270">
        <v>280049676</v>
      </c>
      <c r="B270">
        <v>41.209113461790402</v>
      </c>
      <c r="C270">
        <v>3949.5065709300002</v>
      </c>
      <c r="D270">
        <v>1.04339903534043E-2</v>
      </c>
    </row>
    <row r="271" spans="1:10" x14ac:dyDescent="0.25">
      <c r="A271">
        <v>280037801</v>
      </c>
      <c r="B271">
        <v>25.500812802338402</v>
      </c>
      <c r="C271">
        <v>3949.1976460300002</v>
      </c>
      <c r="D271">
        <v>6.4572136134978097E-3</v>
      </c>
    </row>
    <row r="272" spans="1:10" x14ac:dyDescent="0.25">
      <c r="A272">
        <v>280035106</v>
      </c>
      <c r="B272">
        <v>21.290525957934101</v>
      </c>
      <c r="C272">
        <v>3947.4493020199998</v>
      </c>
      <c r="D272">
        <v>5.3934893975811698E-3</v>
      </c>
    </row>
    <row r="273" spans="1:4" x14ac:dyDescent="0.25">
      <c r="A273">
        <v>280033925</v>
      </c>
      <c r="B273">
        <v>52.565666307786699</v>
      </c>
      <c r="C273">
        <v>3942.8828528499998</v>
      </c>
      <c r="D273">
        <v>1.3331784957747599E-2</v>
      </c>
    </row>
    <row r="274" spans="1:4" x14ac:dyDescent="0.25">
      <c r="A274">
        <v>280051121</v>
      </c>
      <c r="B274">
        <v>18.438550524365802</v>
      </c>
      <c r="C274">
        <v>3942.0263402800001</v>
      </c>
      <c r="D274">
        <v>4.6774295584884598E-3</v>
      </c>
    </row>
    <row r="275" spans="1:4" x14ac:dyDescent="0.25">
      <c r="A275">
        <v>280033344</v>
      </c>
      <c r="B275">
        <v>64.094422215065805</v>
      </c>
      <c r="C275">
        <v>3936.77068272</v>
      </c>
      <c r="D275">
        <v>1.6280964115182199E-2</v>
      </c>
    </row>
    <row r="276" spans="1:4" x14ac:dyDescent="0.25">
      <c r="A276">
        <v>280049959</v>
      </c>
      <c r="B276">
        <v>53.620485505260199</v>
      </c>
      <c r="C276">
        <v>3935.5239212299998</v>
      </c>
      <c r="D276">
        <v>1.3624738809490399E-2</v>
      </c>
    </row>
    <row r="277" spans="1:4" x14ac:dyDescent="0.25">
      <c r="A277">
        <v>280005202</v>
      </c>
      <c r="B277">
        <v>44.159753981011001</v>
      </c>
      <c r="C277">
        <v>3935.4444465000001</v>
      </c>
      <c r="D277">
        <v>1.1221033502400101E-2</v>
      </c>
    </row>
    <row r="278" spans="1:4" x14ac:dyDescent="0.25">
      <c r="A278">
        <v>280022255</v>
      </c>
      <c r="B278">
        <v>14.995495301534399</v>
      </c>
      <c r="C278">
        <v>3919.2671498899999</v>
      </c>
      <c r="D278">
        <v>3.82609674922395E-3</v>
      </c>
    </row>
    <row r="279" spans="1:4" x14ac:dyDescent="0.25">
      <c r="A279">
        <v>280037589</v>
      </c>
      <c r="B279">
        <v>17.664559468155801</v>
      </c>
      <c r="C279">
        <v>3915.0954059999999</v>
      </c>
      <c r="D279">
        <v>4.5119103460631704E-3</v>
      </c>
    </row>
    <row r="280" spans="1:4" x14ac:dyDescent="0.25">
      <c r="A280">
        <v>280005954</v>
      </c>
      <c r="B280">
        <v>25.092549004187099</v>
      </c>
      <c r="C280">
        <v>3906.59822631</v>
      </c>
      <c r="D280">
        <v>6.42311995003602E-3</v>
      </c>
    </row>
    <row r="281" spans="1:4" x14ac:dyDescent="0.25">
      <c r="A281">
        <v>280035457</v>
      </c>
      <c r="B281">
        <v>22.749522558477299</v>
      </c>
      <c r="C281">
        <v>3900.0947833300002</v>
      </c>
      <c r="D281">
        <v>5.8330691489126302E-3</v>
      </c>
    </row>
    <row r="282" spans="1:4" x14ac:dyDescent="0.25">
      <c r="A282">
        <v>280008261</v>
      </c>
      <c r="B282">
        <v>58.025893493251601</v>
      </c>
      <c r="C282">
        <v>3896.1260320900001</v>
      </c>
      <c r="D282">
        <v>1.48932280463537E-2</v>
      </c>
    </row>
    <row r="283" spans="1:4" x14ac:dyDescent="0.25">
      <c r="A283">
        <v>280043725</v>
      </c>
      <c r="B283">
        <v>24.316308051670099</v>
      </c>
      <c r="C283">
        <v>3891.5272352100001</v>
      </c>
      <c r="D283">
        <v>6.2485257283206299E-3</v>
      </c>
    </row>
    <row r="284" spans="1:4" x14ac:dyDescent="0.25">
      <c r="A284">
        <v>280024906</v>
      </c>
      <c r="B284">
        <v>23.226944101257899</v>
      </c>
      <c r="C284">
        <v>3886.65063349</v>
      </c>
      <c r="D284">
        <v>5.9760823113657003E-3</v>
      </c>
    </row>
    <row r="285" spans="1:4" x14ac:dyDescent="0.25">
      <c r="A285">
        <v>280009417</v>
      </c>
      <c r="B285">
        <v>54.0026437417621</v>
      </c>
      <c r="C285">
        <v>3884.3652857699999</v>
      </c>
      <c r="D285">
        <v>1.39025657395291E-2</v>
      </c>
    </row>
    <row r="286" spans="1:4" x14ac:dyDescent="0.25">
      <c r="A286">
        <v>280023225</v>
      </c>
      <c r="B286">
        <v>30.2680190111084</v>
      </c>
      <c r="C286">
        <v>3883.54864486</v>
      </c>
      <c r="D286">
        <v>7.7939075260893501E-3</v>
      </c>
    </row>
    <row r="287" spans="1:4" x14ac:dyDescent="0.25">
      <c r="A287">
        <v>280017043</v>
      </c>
      <c r="B287">
        <v>44.624548153806401</v>
      </c>
      <c r="C287">
        <v>3881.6779314700002</v>
      </c>
      <c r="D287">
        <v>1.1496200597175E-2</v>
      </c>
    </row>
    <row r="288" spans="1:4" x14ac:dyDescent="0.25">
      <c r="A288">
        <v>280015679</v>
      </c>
      <c r="B288">
        <v>48.9495328159868</v>
      </c>
      <c r="C288">
        <v>3872.2908527999998</v>
      </c>
      <c r="D288">
        <v>1.2640975246111E-2</v>
      </c>
    </row>
    <row r="289" spans="1:4" x14ac:dyDescent="0.25">
      <c r="A289">
        <v>280008390</v>
      </c>
      <c r="B289">
        <v>20.486649796956002</v>
      </c>
      <c r="C289">
        <v>3871.9360123500001</v>
      </c>
      <c r="D289">
        <v>5.2910610432639997E-3</v>
      </c>
    </row>
    <row r="290" spans="1:4" x14ac:dyDescent="0.25">
      <c r="A290">
        <v>280024434</v>
      </c>
      <c r="B290">
        <v>58.393626440509003</v>
      </c>
      <c r="C290">
        <v>3870.6904681300002</v>
      </c>
      <c r="D290">
        <v>1.5086100767112001E-2</v>
      </c>
    </row>
    <row r="291" spans="1:4" x14ac:dyDescent="0.25">
      <c r="A291">
        <v>280002359</v>
      </c>
      <c r="B291">
        <v>19.130142127863</v>
      </c>
      <c r="C291">
        <v>3870.3674062800001</v>
      </c>
      <c r="D291">
        <v>4.9427199332091002E-3</v>
      </c>
    </row>
    <row r="292" spans="1:4" x14ac:dyDescent="0.25">
      <c r="A292">
        <v>280058621</v>
      </c>
      <c r="B292">
        <v>32.320286196877802</v>
      </c>
      <c r="C292">
        <v>3864.9628519399998</v>
      </c>
      <c r="D292">
        <v>8.3623795195482305E-3</v>
      </c>
    </row>
    <row r="293" spans="1:4" x14ac:dyDescent="0.25">
      <c r="A293">
        <v>280027850</v>
      </c>
      <c r="B293">
        <v>20.967234521828399</v>
      </c>
      <c r="C293">
        <v>3859.27708708</v>
      </c>
      <c r="D293">
        <v>5.4329435406496301E-3</v>
      </c>
    </row>
    <row r="294" spans="1:4" x14ac:dyDescent="0.25">
      <c r="A294">
        <v>280062867</v>
      </c>
      <c r="B294">
        <v>56.594854986944497</v>
      </c>
      <c r="C294">
        <v>3856.4458408999999</v>
      </c>
      <c r="D294">
        <v>1.4675392141313401E-2</v>
      </c>
    </row>
    <row r="295" spans="1:4" x14ac:dyDescent="0.25">
      <c r="A295">
        <v>280061195</v>
      </c>
      <c r="B295">
        <v>19.728793689239598</v>
      </c>
      <c r="C295">
        <v>3850.8028433300001</v>
      </c>
      <c r="D295">
        <v>5.1232936330178501E-3</v>
      </c>
    </row>
    <row r="296" spans="1:4" x14ac:dyDescent="0.25">
      <c r="A296">
        <v>280046452</v>
      </c>
      <c r="B296">
        <v>22.309820275207802</v>
      </c>
      <c r="C296">
        <v>3845.96836007</v>
      </c>
      <c r="D296">
        <v>5.8008330247422404E-3</v>
      </c>
    </row>
    <row r="297" spans="1:4" x14ac:dyDescent="0.25">
      <c r="A297">
        <v>280029502</v>
      </c>
      <c r="B297">
        <v>26.213031916833799</v>
      </c>
      <c r="C297">
        <v>3843.8985130599999</v>
      </c>
      <c r="D297">
        <v>6.8193870956198797E-3</v>
      </c>
    </row>
    <row r="298" spans="1:4" x14ac:dyDescent="0.25">
      <c r="A298">
        <v>280009309</v>
      </c>
      <c r="B298">
        <v>58.0558950442433</v>
      </c>
      <c r="C298">
        <v>3841.2888863100002</v>
      </c>
      <c r="D298">
        <v>1.5113649809351501E-2</v>
      </c>
    </row>
    <row r="299" spans="1:4" x14ac:dyDescent="0.25">
      <c r="A299">
        <v>280008441</v>
      </c>
      <c r="B299">
        <v>57.285493470359398</v>
      </c>
      <c r="C299">
        <v>3840.3718264700001</v>
      </c>
      <c r="D299">
        <v>1.49166528812433E-2</v>
      </c>
    </row>
    <row r="300" spans="1:4" x14ac:dyDescent="0.25">
      <c r="A300">
        <v>280050057</v>
      </c>
      <c r="B300">
        <v>27.3911696287268</v>
      </c>
      <c r="C300">
        <v>3837.6576209499999</v>
      </c>
      <c r="D300">
        <v>7.1374709091287401E-3</v>
      </c>
    </row>
    <row r="301" spans="1:4" x14ac:dyDescent="0.25">
      <c r="A301">
        <v>280022278</v>
      </c>
      <c r="B301">
        <v>31.270223243132001</v>
      </c>
      <c r="C301">
        <v>3837.64595276</v>
      </c>
      <c r="D301">
        <v>8.1482824700498408E-3</v>
      </c>
    </row>
    <row r="302" spans="1:4" x14ac:dyDescent="0.25">
      <c r="A302">
        <v>280038041</v>
      </c>
      <c r="B302">
        <v>40.801435354940502</v>
      </c>
      <c r="C302">
        <v>3837.2669461300002</v>
      </c>
      <c r="D302">
        <v>1.06329416034217E-2</v>
      </c>
    </row>
    <row r="303" spans="1:4" x14ac:dyDescent="0.25">
      <c r="A303">
        <v>280049516</v>
      </c>
      <c r="B303">
        <v>24.972713917415199</v>
      </c>
      <c r="C303">
        <v>3835.4924529</v>
      </c>
      <c r="D303">
        <v>6.5109537364708998E-3</v>
      </c>
    </row>
    <row r="304" spans="1:4" x14ac:dyDescent="0.25">
      <c r="A304">
        <v>280058471</v>
      </c>
      <c r="B304">
        <v>19.668443935560202</v>
      </c>
      <c r="C304">
        <v>3831.4631858399998</v>
      </c>
      <c r="D304">
        <v>5.1334028232997604E-3</v>
      </c>
    </row>
    <row r="305" spans="1:4" x14ac:dyDescent="0.25">
      <c r="A305">
        <v>280006791</v>
      </c>
      <c r="B305">
        <v>15.3311960082511</v>
      </c>
      <c r="C305">
        <v>3827.7426510499999</v>
      </c>
      <c r="D305">
        <v>4.0052838986041903E-3</v>
      </c>
    </row>
    <row r="306" spans="1:4" x14ac:dyDescent="0.25">
      <c r="A306">
        <v>280048447</v>
      </c>
      <c r="B306">
        <v>58.796731958036098</v>
      </c>
      <c r="C306">
        <v>3827.3545405999998</v>
      </c>
      <c r="D306">
        <v>1.5362238155448999E-2</v>
      </c>
    </row>
    <row r="307" spans="1:4" x14ac:dyDescent="0.25">
      <c r="A307">
        <v>280044530</v>
      </c>
      <c r="B307">
        <v>26.127111476981899</v>
      </c>
      <c r="C307">
        <v>3820.90873268</v>
      </c>
      <c r="D307">
        <v>6.8379313155318899E-3</v>
      </c>
    </row>
    <row r="308" spans="1:4" x14ac:dyDescent="0.25">
      <c r="A308">
        <v>280061948</v>
      </c>
      <c r="B308">
        <v>17.2291208135407</v>
      </c>
      <c r="C308">
        <v>3806.6428382700001</v>
      </c>
      <c r="D308">
        <v>4.5260670742020099E-3</v>
      </c>
    </row>
    <row r="309" spans="1:4" x14ac:dyDescent="0.25">
      <c r="A309">
        <v>280038065</v>
      </c>
      <c r="B309">
        <v>21.389724317613599</v>
      </c>
      <c r="C309">
        <v>3803.9434777800002</v>
      </c>
      <c r="D309">
        <v>5.6230394701071501E-3</v>
      </c>
    </row>
    <row r="310" spans="1:4" x14ac:dyDescent="0.25">
      <c r="A310">
        <v>280054396</v>
      </c>
      <c r="B310">
        <v>28.674938213880299</v>
      </c>
      <c r="C310">
        <v>3802.9307803699999</v>
      </c>
      <c r="D310">
        <v>7.5402209164297301E-3</v>
      </c>
    </row>
    <row r="311" spans="1:4" x14ac:dyDescent="0.25">
      <c r="A311">
        <v>280057095</v>
      </c>
      <c r="B311">
        <v>34.010755486648598</v>
      </c>
      <c r="C311">
        <v>3800.5294811399999</v>
      </c>
      <c r="D311">
        <v>8.9489518908946308E-3</v>
      </c>
    </row>
    <row r="312" spans="1:4" x14ac:dyDescent="0.25">
      <c r="A312">
        <v>280060881</v>
      </c>
      <c r="B312">
        <v>43.6520590989239</v>
      </c>
      <c r="C312">
        <v>3799.4472227599999</v>
      </c>
      <c r="D312">
        <v>1.14890552597844E-2</v>
      </c>
    </row>
    <row r="313" spans="1:4" x14ac:dyDescent="0.25">
      <c r="A313">
        <v>280055069</v>
      </c>
      <c r="B313">
        <v>53.266825144013701</v>
      </c>
      <c r="C313">
        <v>3795.1101611099998</v>
      </c>
      <c r="D313">
        <v>1.4035646630198E-2</v>
      </c>
    </row>
    <row r="314" spans="1:4" x14ac:dyDescent="0.25">
      <c r="A314">
        <v>280053524</v>
      </c>
      <c r="B314">
        <v>49.656071459957801</v>
      </c>
      <c r="C314">
        <v>3795.0923051300001</v>
      </c>
      <c r="D314">
        <v>1.30842855634461E-2</v>
      </c>
    </row>
    <row r="315" spans="1:4" x14ac:dyDescent="0.25">
      <c r="A315">
        <v>280043283</v>
      </c>
      <c r="B315">
        <v>52.503465466486702</v>
      </c>
      <c r="C315">
        <v>3793.5307504900002</v>
      </c>
      <c r="D315">
        <v>1.38402635749572E-2</v>
      </c>
    </row>
    <row r="316" spans="1:4" x14ac:dyDescent="0.25">
      <c r="A316">
        <v>280001678</v>
      </c>
      <c r="B316">
        <v>52.806049688341702</v>
      </c>
      <c r="C316">
        <v>3792.41067681</v>
      </c>
      <c r="D316">
        <v>1.3924138018923501E-2</v>
      </c>
    </row>
    <row r="317" spans="1:4" x14ac:dyDescent="0.25">
      <c r="A317">
        <v>280052932</v>
      </c>
      <c r="B317">
        <v>49.439027165251098</v>
      </c>
      <c r="C317">
        <v>3791.0678940100001</v>
      </c>
      <c r="D317">
        <v>1.3040923704734E-2</v>
      </c>
    </row>
    <row r="318" spans="1:4" x14ac:dyDescent="0.25">
      <c r="A318">
        <v>280011408</v>
      </c>
      <c r="B318">
        <v>54.505262404606597</v>
      </c>
      <c r="C318">
        <v>3788.5344185099998</v>
      </c>
      <c r="D318">
        <v>1.43868990969978E-2</v>
      </c>
    </row>
    <row r="319" spans="1:4" x14ac:dyDescent="0.25">
      <c r="A319">
        <v>280056796</v>
      </c>
      <c r="B319">
        <v>22.5369146417069</v>
      </c>
      <c r="C319">
        <v>3785.9927136800002</v>
      </c>
      <c r="D319">
        <v>5.9527094598660702E-3</v>
      </c>
    </row>
    <row r="320" spans="1:4" x14ac:dyDescent="0.25">
      <c r="A320">
        <v>280028178</v>
      </c>
      <c r="B320">
        <v>44.664292213241403</v>
      </c>
      <c r="C320">
        <v>3783.98854661</v>
      </c>
      <c r="D320">
        <v>1.1803495613974599E-2</v>
      </c>
    </row>
    <row r="321" spans="1:4" x14ac:dyDescent="0.25">
      <c r="A321">
        <v>280057235</v>
      </c>
      <c r="B321">
        <v>48.305100425044202</v>
      </c>
      <c r="C321">
        <v>3781.4013389900001</v>
      </c>
      <c r="D321">
        <v>1.2774391315455101E-2</v>
      </c>
    </row>
    <row r="322" spans="1:4" x14ac:dyDescent="0.25">
      <c r="A322">
        <v>280029290</v>
      </c>
      <c r="B322">
        <v>17.352097656759501</v>
      </c>
      <c r="C322">
        <v>3780.5754966999998</v>
      </c>
      <c r="D322">
        <v>4.5898032381328901E-3</v>
      </c>
    </row>
    <row r="323" spans="1:4" x14ac:dyDescent="0.25">
      <c r="A323">
        <v>280035734</v>
      </c>
      <c r="B323">
        <v>15.8831990430148</v>
      </c>
      <c r="C323">
        <v>3778.0514304600001</v>
      </c>
      <c r="D323">
        <v>4.2040716849322899E-3</v>
      </c>
    </row>
    <row r="324" spans="1:4" x14ac:dyDescent="0.25">
      <c r="A324">
        <v>280021955</v>
      </c>
      <c r="B324">
        <v>15.03893119074</v>
      </c>
      <c r="C324">
        <v>3772.9359079400001</v>
      </c>
      <c r="D324">
        <v>3.9860022957430002E-3</v>
      </c>
    </row>
    <row r="325" spans="1:4" x14ac:dyDescent="0.25">
      <c r="A325">
        <v>280063067</v>
      </c>
      <c r="B325">
        <v>13.152946960467901</v>
      </c>
      <c r="C325">
        <v>3771.39870763</v>
      </c>
      <c r="D325">
        <v>3.48755143121247E-3</v>
      </c>
    </row>
    <row r="326" spans="1:4" x14ac:dyDescent="0.25">
      <c r="A326">
        <v>280055542</v>
      </c>
      <c r="B326">
        <v>38.908051809780297</v>
      </c>
      <c r="C326">
        <v>3770.7610666400001</v>
      </c>
      <c r="D326">
        <v>1.03183551336627E-2</v>
      </c>
    </row>
    <row r="327" spans="1:4" x14ac:dyDescent="0.25">
      <c r="A327">
        <v>280030216</v>
      </c>
      <c r="B327">
        <v>39.094305495371898</v>
      </c>
      <c r="C327">
        <v>3768.8528305899999</v>
      </c>
      <c r="D327">
        <v>1.03729986955346E-2</v>
      </c>
    </row>
    <row r="328" spans="1:4" x14ac:dyDescent="0.25">
      <c r="A328">
        <v>280025242</v>
      </c>
      <c r="B328">
        <v>13.5742264434499</v>
      </c>
      <c r="C328">
        <v>3761.5993354500001</v>
      </c>
      <c r="D328">
        <v>3.6086316571581302E-3</v>
      </c>
    </row>
    <row r="329" spans="1:4" x14ac:dyDescent="0.25">
      <c r="A329">
        <v>280007391</v>
      </c>
      <c r="B329">
        <v>34.3852539432459</v>
      </c>
      <c r="C329">
        <v>3759.7861029800001</v>
      </c>
      <c r="D329">
        <v>9.1455346132569195E-3</v>
      </c>
    </row>
    <row r="330" spans="1:4" x14ac:dyDescent="0.25">
      <c r="A330">
        <v>280034932</v>
      </c>
      <c r="B330">
        <v>21.580670837539</v>
      </c>
      <c r="C330">
        <v>3757.8656444899998</v>
      </c>
      <c r="D330">
        <v>5.7428000038218102E-3</v>
      </c>
    </row>
    <row r="331" spans="1:4" x14ac:dyDescent="0.25">
      <c r="A331">
        <v>280005380</v>
      </c>
      <c r="B331">
        <v>45.856487914334501</v>
      </c>
      <c r="C331">
        <v>3757.7915286299999</v>
      </c>
      <c r="D331">
        <v>1.22030420168233E-2</v>
      </c>
    </row>
    <row r="332" spans="1:4" x14ac:dyDescent="0.25">
      <c r="A332">
        <v>280018245</v>
      </c>
      <c r="B332">
        <v>23.181439682420599</v>
      </c>
      <c r="C332">
        <v>3752.3673062399998</v>
      </c>
      <c r="D332">
        <v>6.17781730585675E-3</v>
      </c>
    </row>
    <row r="333" spans="1:4" x14ac:dyDescent="0.25">
      <c r="A333">
        <v>280058978</v>
      </c>
      <c r="B333">
        <v>56.417493075448803</v>
      </c>
      <c r="C333">
        <v>3744.7596713399998</v>
      </c>
      <c r="D333">
        <v>1.50657179704301E-2</v>
      </c>
    </row>
    <row r="334" spans="1:4" x14ac:dyDescent="0.25">
      <c r="A334">
        <v>280050909</v>
      </c>
      <c r="B334">
        <v>23.816343920956498</v>
      </c>
      <c r="C334">
        <v>3742.8595157</v>
      </c>
      <c r="D334">
        <v>6.3631412883799702E-3</v>
      </c>
    </row>
    <row r="335" spans="1:4" x14ac:dyDescent="0.25">
      <c r="A335">
        <v>280004000</v>
      </c>
      <c r="B335">
        <v>23.5868318989118</v>
      </c>
      <c r="C335">
        <v>3740.7659747299999</v>
      </c>
      <c r="D335">
        <v>6.3053481715370499E-3</v>
      </c>
    </row>
    <row r="336" spans="1:4" x14ac:dyDescent="0.25">
      <c r="A336">
        <v>280058632</v>
      </c>
      <c r="B336">
        <v>21.972808450753199</v>
      </c>
      <c r="C336">
        <v>3740.6991612800002</v>
      </c>
      <c r="D336">
        <v>5.8739843819021502E-3</v>
      </c>
    </row>
    <row r="337" spans="1:4" x14ac:dyDescent="0.25">
      <c r="A337">
        <v>280044940</v>
      </c>
      <c r="B337">
        <v>23.3488212044366</v>
      </c>
      <c r="C337">
        <v>3738.3705715199999</v>
      </c>
      <c r="D337">
        <v>6.2457214333738603E-3</v>
      </c>
    </row>
    <row r="338" spans="1:4" x14ac:dyDescent="0.25">
      <c r="A338">
        <v>280016701</v>
      </c>
      <c r="B338">
        <v>24.419877580046201</v>
      </c>
      <c r="C338">
        <v>3737.2677749999998</v>
      </c>
      <c r="D338">
        <v>6.5341525013005502E-3</v>
      </c>
    </row>
    <row r="339" spans="1:4" x14ac:dyDescent="0.25">
      <c r="A339">
        <v>280011901</v>
      </c>
      <c r="B339">
        <v>52.135794882792503</v>
      </c>
      <c r="C339">
        <v>3730.7429079600001</v>
      </c>
      <c r="D339">
        <v>1.39746415577322E-2</v>
      </c>
    </row>
    <row r="340" spans="1:4" x14ac:dyDescent="0.25">
      <c r="A340">
        <v>280011178</v>
      </c>
      <c r="B340">
        <v>23.674015142208201</v>
      </c>
      <c r="C340">
        <v>3730.5524392000002</v>
      </c>
      <c r="D340">
        <v>6.3459810652829298E-3</v>
      </c>
    </row>
    <row r="341" spans="1:4" x14ac:dyDescent="0.25">
      <c r="A341">
        <v>280034988</v>
      </c>
      <c r="B341">
        <v>20.093217712436001</v>
      </c>
      <c r="C341">
        <v>3726.4121206200002</v>
      </c>
      <c r="D341">
        <v>5.3921082966778503E-3</v>
      </c>
    </row>
    <row r="342" spans="1:4" x14ac:dyDescent="0.25">
      <c r="A342">
        <v>280058829</v>
      </c>
      <c r="B342">
        <v>38.723588456267798</v>
      </c>
      <c r="C342">
        <v>3723.0884611000001</v>
      </c>
      <c r="D342">
        <v>1.04009316084923E-2</v>
      </c>
    </row>
    <row r="343" spans="1:4" x14ac:dyDescent="0.25">
      <c r="A343">
        <v>280027583</v>
      </c>
      <c r="B343">
        <v>8.1464715465225197</v>
      </c>
      <c r="C343">
        <v>3721.0027935899998</v>
      </c>
      <c r="D343">
        <v>2.1893215346562101E-3</v>
      </c>
    </row>
    <row r="344" spans="1:4" x14ac:dyDescent="0.25">
      <c r="A344">
        <v>280060472</v>
      </c>
      <c r="B344">
        <v>47.298272373638</v>
      </c>
      <c r="C344">
        <v>3716.9439310900002</v>
      </c>
      <c r="D344">
        <v>1.2725043274937901E-2</v>
      </c>
    </row>
    <row r="345" spans="1:4" x14ac:dyDescent="0.25">
      <c r="A345">
        <v>280009218</v>
      </c>
      <c r="B345">
        <v>22.527647538938201</v>
      </c>
      <c r="C345">
        <v>3716.07216109</v>
      </c>
      <c r="D345">
        <v>6.0622201513789702E-3</v>
      </c>
    </row>
    <row r="346" spans="1:4" x14ac:dyDescent="0.25">
      <c r="A346">
        <v>280035028</v>
      </c>
      <c r="B346">
        <v>47.565140950259803</v>
      </c>
      <c r="C346">
        <v>3713.7407194699999</v>
      </c>
      <c r="D346">
        <v>1.2807878778637E-2</v>
      </c>
    </row>
    <row r="347" spans="1:4" x14ac:dyDescent="0.25">
      <c r="A347">
        <v>280008173</v>
      </c>
      <c r="B347">
        <v>43.777836511071001</v>
      </c>
      <c r="C347">
        <v>3709.7013904999999</v>
      </c>
      <c r="D347">
        <v>1.1800905761088901E-2</v>
      </c>
    </row>
    <row r="348" spans="1:4" x14ac:dyDescent="0.25">
      <c r="A348">
        <v>280041231</v>
      </c>
      <c r="B348">
        <v>51.9071360034661</v>
      </c>
      <c r="C348">
        <v>3707.8811575099999</v>
      </c>
      <c r="D348">
        <v>1.3999136919027899E-2</v>
      </c>
    </row>
    <row r="349" spans="1:4" x14ac:dyDescent="0.25">
      <c r="A349">
        <v>280022899</v>
      </c>
      <c r="B349">
        <v>23.591121562152601</v>
      </c>
      <c r="C349">
        <v>3707.3256398200001</v>
      </c>
      <c r="D349">
        <v>6.3633799277740197E-3</v>
      </c>
    </row>
    <row r="350" spans="1:4" x14ac:dyDescent="0.25">
      <c r="A350">
        <v>280017348</v>
      </c>
      <c r="B350">
        <v>42.350295078468697</v>
      </c>
      <c r="C350">
        <v>3706.69429266</v>
      </c>
      <c r="D350">
        <v>1.1425354165929101E-2</v>
      </c>
    </row>
    <row r="351" spans="1:4" x14ac:dyDescent="0.25">
      <c r="A351">
        <v>280011866</v>
      </c>
      <c r="B351">
        <v>18.452086782698501</v>
      </c>
      <c r="C351">
        <v>3706.6616628000002</v>
      </c>
      <c r="D351">
        <v>4.9780876867946697E-3</v>
      </c>
    </row>
    <row r="352" spans="1:4" x14ac:dyDescent="0.25">
      <c r="A352">
        <v>280060245</v>
      </c>
      <c r="B352">
        <v>23.8426718658244</v>
      </c>
      <c r="C352">
        <v>3704.1756850900001</v>
      </c>
      <c r="D352">
        <v>6.4367011429278696E-3</v>
      </c>
    </row>
    <row r="353" spans="1:4" x14ac:dyDescent="0.25">
      <c r="A353">
        <v>280055818</v>
      </c>
      <c r="B353">
        <v>20.0125395652897</v>
      </c>
      <c r="C353">
        <v>3701.3656073699999</v>
      </c>
      <c r="D353">
        <v>5.4067989191453102E-3</v>
      </c>
    </row>
    <row r="354" spans="1:4" x14ac:dyDescent="0.25">
      <c r="A354">
        <v>280008438</v>
      </c>
      <c r="B354">
        <v>52.967194570247798</v>
      </c>
      <c r="C354">
        <v>3698.69730863</v>
      </c>
      <c r="D354">
        <v>1.4320499935656201E-2</v>
      </c>
    </row>
    <row r="355" spans="1:4" x14ac:dyDescent="0.25">
      <c r="A355">
        <v>280062656</v>
      </c>
      <c r="B355">
        <v>28.050154005830201</v>
      </c>
      <c r="C355">
        <v>3694.5198454199999</v>
      </c>
      <c r="D355">
        <v>7.5923679339828702E-3</v>
      </c>
    </row>
    <row r="356" spans="1:4" x14ac:dyDescent="0.25">
      <c r="A356">
        <v>280041846</v>
      </c>
      <c r="B356">
        <v>40.0764652154161</v>
      </c>
      <c r="C356">
        <v>3693.36502354</v>
      </c>
      <c r="D356">
        <v>1.08509353827702E-2</v>
      </c>
    </row>
    <row r="357" spans="1:4" x14ac:dyDescent="0.25">
      <c r="A357">
        <v>280009704</v>
      </c>
      <c r="B357">
        <v>25.799605220276799</v>
      </c>
      <c r="C357">
        <v>3693.31973401</v>
      </c>
      <c r="D357">
        <v>6.9854783983906502E-3</v>
      </c>
    </row>
    <row r="358" spans="1:4" x14ac:dyDescent="0.25">
      <c r="A358">
        <v>280032834</v>
      </c>
      <c r="B358">
        <v>13.5571430966226</v>
      </c>
      <c r="C358">
        <v>3686.8377639099999</v>
      </c>
      <c r="D358">
        <v>3.6771737637418698E-3</v>
      </c>
    </row>
    <row r="359" spans="1:4" x14ac:dyDescent="0.25">
      <c r="A359">
        <v>280032256</v>
      </c>
      <c r="B359">
        <v>25.7562934126424</v>
      </c>
      <c r="C359">
        <v>3686.6546294700001</v>
      </c>
      <c r="D359">
        <v>6.9863591796080803E-3</v>
      </c>
    </row>
    <row r="360" spans="1:4" x14ac:dyDescent="0.25">
      <c r="A360">
        <v>280034580</v>
      </c>
      <c r="B360">
        <v>59.478569587025497</v>
      </c>
      <c r="C360">
        <v>3684.0662168099998</v>
      </c>
      <c r="D360">
        <v>1.6144815561574599E-2</v>
      </c>
    </row>
    <row r="361" spans="1:4" x14ac:dyDescent="0.25">
      <c r="A361">
        <v>280041320</v>
      </c>
      <c r="B361">
        <v>25.2522708507997</v>
      </c>
      <c r="C361">
        <v>3683.80016656</v>
      </c>
      <c r="D361">
        <v>6.8549513298873498E-3</v>
      </c>
    </row>
    <row r="362" spans="1:4" x14ac:dyDescent="0.25">
      <c r="A362">
        <v>280060434</v>
      </c>
      <c r="B362">
        <v>65.808801738961904</v>
      </c>
      <c r="C362">
        <v>3680.50394594</v>
      </c>
      <c r="D362">
        <v>1.7880377987790599E-2</v>
      </c>
    </row>
    <row r="363" spans="1:4" x14ac:dyDescent="0.25">
      <c r="A363">
        <v>280001378</v>
      </c>
      <c r="B363">
        <v>62.826946976892899</v>
      </c>
      <c r="C363">
        <v>3680.3698570299998</v>
      </c>
      <c r="D363">
        <v>1.7070824242537801E-2</v>
      </c>
    </row>
    <row r="364" spans="1:4" x14ac:dyDescent="0.25">
      <c r="A364">
        <v>280061719</v>
      </c>
      <c r="B364">
        <v>42.974852095659699</v>
      </c>
      <c r="C364">
        <v>3660.7381378499999</v>
      </c>
      <c r="D364">
        <v>1.17393953015441E-2</v>
      </c>
    </row>
    <row r="365" spans="1:4" x14ac:dyDescent="0.25">
      <c r="A365">
        <v>280054957</v>
      </c>
      <c r="B365">
        <v>47.988291208949903</v>
      </c>
      <c r="C365">
        <v>3655.4747243000002</v>
      </c>
      <c r="D365">
        <v>1.3127786355612001E-2</v>
      </c>
    </row>
    <row r="366" spans="1:4" x14ac:dyDescent="0.25">
      <c r="A366">
        <v>280040323</v>
      </c>
      <c r="B366">
        <v>15.212959079967501</v>
      </c>
      <c r="C366">
        <v>3645.5939187099998</v>
      </c>
      <c r="D366">
        <v>4.1729713783784797E-3</v>
      </c>
    </row>
    <row r="367" spans="1:4" x14ac:dyDescent="0.25">
      <c r="A367">
        <v>280062365</v>
      </c>
      <c r="B367">
        <v>23.518673554148499</v>
      </c>
      <c r="C367">
        <v>3640.35015294</v>
      </c>
      <c r="D367">
        <v>6.46055257490944E-3</v>
      </c>
    </row>
    <row r="368" spans="1:4" x14ac:dyDescent="0.25">
      <c r="A368">
        <v>280067067</v>
      </c>
      <c r="B368">
        <v>20.353379476629399</v>
      </c>
      <c r="C368">
        <v>3640.29267729</v>
      </c>
      <c r="D368">
        <v>5.59113820809083E-3</v>
      </c>
    </row>
    <row r="369" spans="1:4" x14ac:dyDescent="0.25">
      <c r="A369">
        <v>280019790</v>
      </c>
      <c r="B369">
        <v>20.353383456989398</v>
      </c>
      <c r="C369">
        <v>3635.46844474</v>
      </c>
      <c r="D369">
        <v>5.5985586909543398E-3</v>
      </c>
    </row>
    <row r="370" spans="1:4" x14ac:dyDescent="0.25">
      <c r="A370">
        <v>280001823</v>
      </c>
      <c r="B370">
        <v>42.845415358656098</v>
      </c>
      <c r="C370">
        <v>3634.1715615899998</v>
      </c>
      <c r="D370">
        <v>1.17895962346672E-2</v>
      </c>
    </row>
    <row r="371" spans="1:4" x14ac:dyDescent="0.25">
      <c r="A371">
        <v>280009544</v>
      </c>
      <c r="B371">
        <v>68.737110320206398</v>
      </c>
      <c r="C371">
        <v>3623.9566365199998</v>
      </c>
      <c r="D371">
        <v>1.89674207542983E-2</v>
      </c>
    </row>
    <row r="372" spans="1:4" x14ac:dyDescent="0.25">
      <c r="A372">
        <v>280011961</v>
      </c>
      <c r="B372">
        <v>17.3136827533631</v>
      </c>
      <c r="C372">
        <v>3616.33738184</v>
      </c>
      <c r="D372">
        <v>4.7876292848964899E-3</v>
      </c>
    </row>
    <row r="373" spans="1:4" x14ac:dyDescent="0.25">
      <c r="A373">
        <v>280033331</v>
      </c>
      <c r="B373">
        <v>48.127418968125198</v>
      </c>
      <c r="C373">
        <v>3612.73617771</v>
      </c>
      <c r="D373">
        <v>1.3321597980241E-2</v>
      </c>
    </row>
    <row r="374" spans="1:4" x14ac:dyDescent="0.25">
      <c r="A374">
        <v>280019130</v>
      </c>
      <c r="B374">
        <v>15.343326259330601</v>
      </c>
      <c r="C374">
        <v>3612.5886420400002</v>
      </c>
      <c r="D374">
        <v>4.2471833301968003E-3</v>
      </c>
    </row>
    <row r="375" spans="1:4" x14ac:dyDescent="0.25">
      <c r="A375">
        <v>280034257</v>
      </c>
      <c r="B375">
        <v>34.924573561735002</v>
      </c>
      <c r="C375">
        <v>3611.2033838299999</v>
      </c>
      <c r="D375">
        <v>9.6711732488172393E-3</v>
      </c>
    </row>
    <row r="376" spans="1:4" x14ac:dyDescent="0.25">
      <c r="A376">
        <v>280026080</v>
      </c>
      <c r="B376">
        <v>49.914561655111697</v>
      </c>
      <c r="C376">
        <v>3610.63436559</v>
      </c>
      <c r="D376">
        <v>1.38243191087988E-2</v>
      </c>
    </row>
    <row r="377" spans="1:4" x14ac:dyDescent="0.25">
      <c r="A377">
        <v>280016157</v>
      </c>
      <c r="B377">
        <v>33.865449953831302</v>
      </c>
      <c r="C377">
        <v>3606.99944271</v>
      </c>
      <c r="D377">
        <v>9.3888148561474694E-3</v>
      </c>
    </row>
    <row r="378" spans="1:4" x14ac:dyDescent="0.25">
      <c r="A378">
        <v>280047092</v>
      </c>
      <c r="B378">
        <v>50.5922262236788</v>
      </c>
      <c r="C378">
        <v>3604.09115023</v>
      </c>
      <c r="D378">
        <v>1.40374435925268E-2</v>
      </c>
    </row>
    <row r="379" spans="1:4" x14ac:dyDescent="0.25">
      <c r="A379">
        <v>280005184</v>
      </c>
      <c r="B379">
        <v>20.634798820324701</v>
      </c>
      <c r="C379">
        <v>3601.77223989</v>
      </c>
      <c r="D379">
        <v>5.7290682047554803E-3</v>
      </c>
    </row>
    <row r="380" spans="1:4" x14ac:dyDescent="0.25">
      <c r="A380">
        <v>280032162</v>
      </c>
      <c r="B380">
        <v>22.2095577643457</v>
      </c>
      <c r="C380">
        <v>3601.0323589200002</v>
      </c>
      <c r="D380">
        <v>6.1675529544551596E-3</v>
      </c>
    </row>
    <row r="381" spans="1:4" x14ac:dyDescent="0.25">
      <c r="A381">
        <v>280035504</v>
      </c>
      <c r="B381">
        <v>46.549503543263597</v>
      </c>
      <c r="C381">
        <v>3597.0761059699998</v>
      </c>
      <c r="D381">
        <v>1.2940928179419499E-2</v>
      </c>
    </row>
    <row r="382" spans="1:4" x14ac:dyDescent="0.25">
      <c r="A382">
        <v>280013071</v>
      </c>
      <c r="B382">
        <v>24.334411278167199</v>
      </c>
      <c r="C382">
        <v>3596.3618742200001</v>
      </c>
      <c r="D382">
        <v>6.7663967446115296E-3</v>
      </c>
    </row>
    <row r="383" spans="1:4" x14ac:dyDescent="0.25">
      <c r="A383">
        <v>280014658</v>
      </c>
      <c r="B383">
        <v>16.127525457878601</v>
      </c>
      <c r="C383">
        <v>3594.9060624499998</v>
      </c>
      <c r="D383">
        <v>4.4862161007031597E-3</v>
      </c>
    </row>
    <row r="384" spans="1:4" x14ac:dyDescent="0.25">
      <c r="A384">
        <v>280029250</v>
      </c>
      <c r="B384">
        <v>44.8764878445185</v>
      </c>
      <c r="C384">
        <v>3593.76566766</v>
      </c>
      <c r="D384">
        <v>1.2487316089737899E-2</v>
      </c>
    </row>
    <row r="385" spans="1:4" x14ac:dyDescent="0.25">
      <c r="A385">
        <v>280065187</v>
      </c>
      <c r="B385">
        <v>48.644098713318897</v>
      </c>
      <c r="C385">
        <v>3587.6982615900001</v>
      </c>
      <c r="D385">
        <v>1.35585813428359E-2</v>
      </c>
    </row>
    <row r="386" spans="1:4" x14ac:dyDescent="0.25">
      <c r="A386">
        <v>280039569</v>
      </c>
      <c r="B386">
        <v>31.274385043757601</v>
      </c>
      <c r="C386">
        <v>3586.6039618599998</v>
      </c>
      <c r="D386">
        <v>8.7197765285294705E-3</v>
      </c>
    </row>
    <row r="387" spans="1:4" x14ac:dyDescent="0.25">
      <c r="A387">
        <v>280059764</v>
      </c>
      <c r="B387">
        <v>21.4448130497336</v>
      </c>
      <c r="C387">
        <v>3582.3119201600002</v>
      </c>
      <c r="D387">
        <v>5.9863053602478497E-3</v>
      </c>
    </row>
    <row r="388" spans="1:4" x14ac:dyDescent="0.25">
      <c r="A388">
        <v>280027503</v>
      </c>
      <c r="B388">
        <v>6.4363472105604398</v>
      </c>
      <c r="C388">
        <v>3580.89152887</v>
      </c>
      <c r="D388">
        <v>1.7974147383882099E-3</v>
      </c>
    </row>
    <row r="389" spans="1:4" x14ac:dyDescent="0.25">
      <c r="A389">
        <v>280009325</v>
      </c>
      <c r="B389">
        <v>24.558474144460298</v>
      </c>
      <c r="C389">
        <v>3580.38865781</v>
      </c>
      <c r="D389">
        <v>6.8591643230938703E-3</v>
      </c>
    </row>
    <row r="390" spans="1:4" x14ac:dyDescent="0.25">
      <c r="A390">
        <v>280023272</v>
      </c>
      <c r="B390">
        <v>43.316036980193701</v>
      </c>
      <c r="C390">
        <v>3575.5274722700001</v>
      </c>
      <c r="D390">
        <v>1.21145865375476E-2</v>
      </c>
    </row>
    <row r="391" spans="1:4" x14ac:dyDescent="0.25">
      <c r="A391">
        <v>280057520</v>
      </c>
      <c r="B391">
        <v>17.517184335952301</v>
      </c>
      <c r="C391">
        <v>3573.7244131000002</v>
      </c>
      <c r="D391">
        <v>4.9016606517672603E-3</v>
      </c>
    </row>
    <row r="392" spans="1:4" x14ac:dyDescent="0.25">
      <c r="A392">
        <v>280044164</v>
      </c>
      <c r="B392">
        <v>22.3686814363247</v>
      </c>
      <c r="C392">
        <v>3572.6659673499998</v>
      </c>
      <c r="D392">
        <v>6.2610615268117401E-3</v>
      </c>
    </row>
    <row r="393" spans="1:4" x14ac:dyDescent="0.25">
      <c r="A393">
        <v>280032615</v>
      </c>
      <c r="B393">
        <v>46.184559798751401</v>
      </c>
      <c r="C393">
        <v>3571.5773643900002</v>
      </c>
      <c r="D393">
        <v>1.2931138006201199E-2</v>
      </c>
    </row>
    <row r="394" spans="1:4" x14ac:dyDescent="0.25">
      <c r="A394">
        <v>280042062</v>
      </c>
      <c r="B394">
        <v>59.513518780335403</v>
      </c>
      <c r="C394">
        <v>3571.3410998300001</v>
      </c>
      <c r="D394">
        <v>1.66641933987118E-2</v>
      </c>
    </row>
    <row r="395" spans="1:4" x14ac:dyDescent="0.25">
      <c r="A395">
        <v>280053571</v>
      </c>
      <c r="B395">
        <v>25.921450610232199</v>
      </c>
      <c r="C395">
        <v>3568.10918799</v>
      </c>
      <c r="D395">
        <v>7.2647582359536399E-3</v>
      </c>
    </row>
    <row r="396" spans="1:4" x14ac:dyDescent="0.25">
      <c r="A396">
        <v>280051189</v>
      </c>
      <c r="B396">
        <v>26.344468342721001</v>
      </c>
      <c r="C396">
        <v>3568.08784793</v>
      </c>
      <c r="D396">
        <v>7.38335754765807E-3</v>
      </c>
    </row>
    <row r="397" spans="1:4" x14ac:dyDescent="0.25">
      <c r="A397">
        <v>280043878</v>
      </c>
      <c r="B397">
        <v>22.049282862243</v>
      </c>
      <c r="C397">
        <v>3567.81925533</v>
      </c>
      <c r="D397">
        <v>6.1800448072876404E-3</v>
      </c>
    </row>
    <row r="398" spans="1:4" x14ac:dyDescent="0.25">
      <c r="A398">
        <v>280015536</v>
      </c>
      <c r="B398">
        <v>46.3253293341632</v>
      </c>
      <c r="C398">
        <v>3565.3848911999999</v>
      </c>
      <c r="D398">
        <v>1.29930794985142E-2</v>
      </c>
    </row>
    <row r="399" spans="1:4" x14ac:dyDescent="0.25">
      <c r="A399">
        <v>280028954</v>
      </c>
      <c r="B399">
        <v>20.727950262065399</v>
      </c>
      <c r="C399">
        <v>3559.62568384</v>
      </c>
      <c r="D399">
        <v>5.8230702054337304E-3</v>
      </c>
    </row>
    <row r="400" spans="1:4" x14ac:dyDescent="0.25">
      <c r="A400">
        <v>280038967</v>
      </c>
      <c r="B400">
        <v>43.129758186424901</v>
      </c>
      <c r="C400">
        <v>3557.2149922899998</v>
      </c>
      <c r="D400">
        <v>1.21245857447204E-2</v>
      </c>
    </row>
    <row r="401" spans="1:4" x14ac:dyDescent="0.25">
      <c r="A401">
        <v>280011519</v>
      </c>
      <c r="B401">
        <v>30.718921916499301</v>
      </c>
      <c r="C401">
        <v>3555.0255630000001</v>
      </c>
      <c r="D401">
        <v>8.6409848177227706E-3</v>
      </c>
    </row>
    <row r="402" spans="1:4" x14ac:dyDescent="0.25">
      <c r="A402">
        <v>280033970</v>
      </c>
      <c r="B402">
        <v>23.9478011285543</v>
      </c>
      <c r="C402">
        <v>3553.6793373700002</v>
      </c>
      <c r="D402">
        <v>6.7388750798988801E-3</v>
      </c>
    </row>
    <row r="403" spans="1:4" x14ac:dyDescent="0.25">
      <c r="A403">
        <v>280041906</v>
      </c>
      <c r="B403">
        <v>56.193561385000102</v>
      </c>
      <c r="C403">
        <v>3551.2931193099998</v>
      </c>
      <c r="D403">
        <v>1.5823408402829399E-2</v>
      </c>
    </row>
    <row r="404" spans="1:4" x14ac:dyDescent="0.25">
      <c r="A404">
        <v>280047184</v>
      </c>
      <c r="B404">
        <v>38.446509084959501</v>
      </c>
      <c r="C404">
        <v>3548.6244449999999</v>
      </c>
      <c r="D404">
        <v>1.08342005982432E-2</v>
      </c>
    </row>
    <row r="405" spans="1:4" x14ac:dyDescent="0.25">
      <c r="A405">
        <v>280024818</v>
      </c>
      <c r="B405">
        <v>54.305798430092601</v>
      </c>
      <c r="C405">
        <v>3548.38649631</v>
      </c>
      <c r="D405">
        <v>1.53043639655843E-2</v>
      </c>
    </row>
    <row r="406" spans="1:4" x14ac:dyDescent="0.25">
      <c r="A406">
        <v>280022498</v>
      </c>
      <c r="B406">
        <v>20.931672750827801</v>
      </c>
      <c r="C406">
        <v>3540.12828816</v>
      </c>
      <c r="D406">
        <v>5.9126876336188204E-3</v>
      </c>
    </row>
    <row r="407" spans="1:4" x14ac:dyDescent="0.25">
      <c r="A407">
        <v>280032180</v>
      </c>
      <c r="B407">
        <v>23.289412885087501</v>
      </c>
      <c r="C407">
        <v>3539.0436964700002</v>
      </c>
      <c r="D407">
        <v>6.5807079207067702E-3</v>
      </c>
    </row>
    <row r="408" spans="1:4" x14ac:dyDescent="0.25">
      <c r="A408">
        <v>280005596</v>
      </c>
      <c r="B408">
        <v>18.687174516947199</v>
      </c>
      <c r="C408">
        <v>3537.7854309499999</v>
      </c>
      <c r="D408">
        <v>5.2821672997644502E-3</v>
      </c>
    </row>
    <row r="409" spans="1:4" x14ac:dyDescent="0.25">
      <c r="A409">
        <v>280011994</v>
      </c>
      <c r="B409">
        <v>42.416872200293</v>
      </c>
      <c r="C409">
        <v>3536.1938661899999</v>
      </c>
      <c r="D409">
        <v>1.1995064129782599E-2</v>
      </c>
    </row>
    <row r="410" spans="1:4" x14ac:dyDescent="0.25">
      <c r="A410">
        <v>280039036</v>
      </c>
      <c r="B410">
        <v>46.462643158298803</v>
      </c>
      <c r="C410">
        <v>3530.99601218</v>
      </c>
      <c r="D410">
        <v>1.3158509099989999E-2</v>
      </c>
    </row>
    <row r="411" spans="1:4" x14ac:dyDescent="0.25">
      <c r="A411">
        <v>280050866</v>
      </c>
      <c r="B411">
        <v>13.3942379409922</v>
      </c>
      <c r="C411">
        <v>3527.0127557599999</v>
      </c>
      <c r="D411">
        <v>3.7976153953846502E-3</v>
      </c>
    </row>
    <row r="412" spans="1:4" x14ac:dyDescent="0.25">
      <c r="A412">
        <v>280012973</v>
      </c>
      <c r="B412">
        <v>43.023396593527401</v>
      </c>
      <c r="C412">
        <v>3523.3085074800001</v>
      </c>
      <c r="D412">
        <v>1.2211078451457901E-2</v>
      </c>
    </row>
    <row r="413" spans="1:4" x14ac:dyDescent="0.25">
      <c r="A413">
        <v>280050143</v>
      </c>
      <c r="B413">
        <v>56.439495666562202</v>
      </c>
      <c r="C413">
        <v>3521.9739060699999</v>
      </c>
      <c r="D413">
        <v>1.6024961334690901E-2</v>
      </c>
    </row>
    <row r="414" spans="1:4" x14ac:dyDescent="0.25">
      <c r="A414">
        <v>280017210</v>
      </c>
      <c r="B414">
        <v>15.462706421588599</v>
      </c>
      <c r="C414">
        <v>3520.6120940800001</v>
      </c>
      <c r="D414">
        <v>4.3920505890408896E-3</v>
      </c>
    </row>
    <row r="415" spans="1:4" x14ac:dyDescent="0.25">
      <c r="A415">
        <v>280058327</v>
      </c>
      <c r="B415">
        <v>26.704973354482402</v>
      </c>
      <c r="C415">
        <v>3519.3334501200002</v>
      </c>
      <c r="D415">
        <v>7.58807704156929E-3</v>
      </c>
    </row>
    <row r="416" spans="1:4" x14ac:dyDescent="0.25">
      <c r="A416">
        <v>280028874</v>
      </c>
      <c r="B416">
        <v>21.566909562876301</v>
      </c>
      <c r="C416">
        <v>3518.0636001799999</v>
      </c>
      <c r="D416">
        <v>6.1303353247430803E-3</v>
      </c>
    </row>
    <row r="417" spans="1:4" x14ac:dyDescent="0.25">
      <c r="A417">
        <v>280047034</v>
      </c>
      <c r="B417">
        <v>16.3079595050968</v>
      </c>
      <c r="C417">
        <v>3516.55197309</v>
      </c>
      <c r="D417">
        <v>4.6374857047163003E-3</v>
      </c>
    </row>
    <row r="418" spans="1:4" x14ac:dyDescent="0.25">
      <c r="A418">
        <v>280058856</v>
      </c>
      <c r="B418">
        <v>39.337846195790299</v>
      </c>
      <c r="C418">
        <v>3513.1063235199999</v>
      </c>
      <c r="D418">
        <v>1.1197453926294801E-2</v>
      </c>
    </row>
    <row r="419" spans="1:4" x14ac:dyDescent="0.25">
      <c r="A419">
        <v>280067210</v>
      </c>
      <c r="B419">
        <v>38.184480176610499</v>
      </c>
      <c r="C419">
        <v>3511.6306732500002</v>
      </c>
      <c r="D419">
        <v>1.08737175772733E-2</v>
      </c>
    </row>
    <row r="420" spans="1:4" x14ac:dyDescent="0.25">
      <c r="A420">
        <v>280031151</v>
      </c>
      <c r="B420">
        <v>36.880488012228398</v>
      </c>
      <c r="C420">
        <v>3510.9930968200001</v>
      </c>
      <c r="D420">
        <v>1.0504289525841599E-2</v>
      </c>
    </row>
    <row r="421" spans="1:4" x14ac:dyDescent="0.25">
      <c r="A421">
        <v>280046954</v>
      </c>
      <c r="B421">
        <v>45.858062423570097</v>
      </c>
      <c r="C421">
        <v>3510.6103191000002</v>
      </c>
      <c r="D421">
        <v>1.30627037054134E-2</v>
      </c>
    </row>
    <row r="422" spans="1:4" x14ac:dyDescent="0.25">
      <c r="A422">
        <v>280003247</v>
      </c>
      <c r="B422">
        <v>40.313485333288</v>
      </c>
      <c r="C422">
        <v>3506.8866783499998</v>
      </c>
      <c r="D422">
        <v>1.1495519824511601E-2</v>
      </c>
    </row>
    <row r="423" spans="1:4" x14ac:dyDescent="0.25">
      <c r="A423">
        <v>280052519</v>
      </c>
      <c r="B423">
        <v>18.966521922347798</v>
      </c>
      <c r="C423">
        <v>3506.2930619700001</v>
      </c>
      <c r="D423">
        <v>5.40928028180608E-3</v>
      </c>
    </row>
    <row r="424" spans="1:4" x14ac:dyDescent="0.25">
      <c r="A424">
        <v>280043851</v>
      </c>
      <c r="B424">
        <v>32.552671135852599</v>
      </c>
      <c r="C424">
        <v>3501.1759488600001</v>
      </c>
      <c r="D424">
        <v>9.2976393107155504E-3</v>
      </c>
    </row>
    <row r="425" spans="1:4" x14ac:dyDescent="0.25">
      <c r="A425">
        <v>280036936</v>
      </c>
      <c r="B425">
        <v>46.733279159503198</v>
      </c>
      <c r="C425">
        <v>3498.9715553699998</v>
      </c>
      <c r="D425">
        <v>1.33562901040964E-2</v>
      </c>
    </row>
    <row r="426" spans="1:4" x14ac:dyDescent="0.25">
      <c r="A426">
        <v>280058521</v>
      </c>
      <c r="B426">
        <v>33.140847120687901</v>
      </c>
      <c r="C426">
        <v>3497.5602718199998</v>
      </c>
      <c r="D426">
        <v>9.4754184474547098E-3</v>
      </c>
    </row>
    <row r="427" spans="1:4" x14ac:dyDescent="0.25">
      <c r="A427">
        <v>280064882</v>
      </c>
      <c r="B427">
        <v>8.8580724164673903</v>
      </c>
      <c r="C427">
        <v>3497.2303955299999</v>
      </c>
      <c r="D427">
        <v>2.5328821423345098E-3</v>
      </c>
    </row>
    <row r="428" spans="1:4" x14ac:dyDescent="0.25">
      <c r="A428">
        <v>280012064</v>
      </c>
      <c r="B428">
        <v>14.006388726259599</v>
      </c>
      <c r="C428">
        <v>3496.0309372900001</v>
      </c>
      <c r="D428">
        <v>4.00636864418508E-3</v>
      </c>
    </row>
    <row r="429" spans="1:4" x14ac:dyDescent="0.25">
      <c r="A429">
        <v>280045720</v>
      </c>
      <c r="B429">
        <v>12.9117977853368</v>
      </c>
      <c r="C429">
        <v>3494.2812704799999</v>
      </c>
      <c r="D429">
        <v>3.69512262633714E-3</v>
      </c>
    </row>
    <row r="430" spans="1:4" x14ac:dyDescent="0.25">
      <c r="A430">
        <v>280011775</v>
      </c>
      <c r="B430">
        <v>20.0467425125665</v>
      </c>
      <c r="C430">
        <v>3487.99818547</v>
      </c>
      <c r="D430">
        <v>5.7473488937223403E-3</v>
      </c>
    </row>
    <row r="431" spans="1:4" x14ac:dyDescent="0.25">
      <c r="A431">
        <v>280054195</v>
      </c>
      <c r="B431">
        <v>47.254426748394501</v>
      </c>
      <c r="C431">
        <v>3485.4343123899998</v>
      </c>
      <c r="D431">
        <v>1.3557686793985699E-2</v>
      </c>
    </row>
    <row r="432" spans="1:4" x14ac:dyDescent="0.25">
      <c r="A432">
        <v>280004172</v>
      </c>
      <c r="B432">
        <v>33.105987229651298</v>
      </c>
      <c r="C432">
        <v>3478.58259051</v>
      </c>
      <c r="D432">
        <v>9.5170910473617899E-3</v>
      </c>
    </row>
    <row r="433" spans="1:4" x14ac:dyDescent="0.25">
      <c r="A433">
        <v>280000723</v>
      </c>
      <c r="B433">
        <v>15.476684178171</v>
      </c>
      <c r="C433">
        <v>3477.3139608199999</v>
      </c>
      <c r="D433">
        <v>4.4507583590529002E-3</v>
      </c>
    </row>
    <row r="434" spans="1:4" x14ac:dyDescent="0.25">
      <c r="A434">
        <v>280009467</v>
      </c>
      <c r="B434">
        <v>56.7600650060226</v>
      </c>
      <c r="C434">
        <v>3472.2304284500001</v>
      </c>
      <c r="D434">
        <v>1.6346860087670001E-2</v>
      </c>
    </row>
    <row r="435" spans="1:4" x14ac:dyDescent="0.25">
      <c r="A435">
        <v>280008004</v>
      </c>
      <c r="B435">
        <v>46.380833566672699</v>
      </c>
      <c r="C435">
        <v>3468.0206725799999</v>
      </c>
      <c r="D435">
        <v>1.3373863060674399E-2</v>
      </c>
    </row>
    <row r="436" spans="1:4" x14ac:dyDescent="0.25">
      <c r="A436">
        <v>280039422</v>
      </c>
      <c r="B436">
        <v>23.175311209901299</v>
      </c>
      <c r="C436">
        <v>3465.9903862800002</v>
      </c>
      <c r="D436">
        <v>6.6864903323563697E-3</v>
      </c>
    </row>
    <row r="437" spans="1:4" x14ac:dyDescent="0.25">
      <c r="A437">
        <v>280016503</v>
      </c>
      <c r="B437">
        <v>21.731105842432601</v>
      </c>
      <c r="C437">
        <v>3463.26452221</v>
      </c>
      <c r="D437">
        <v>6.2747461832818397E-3</v>
      </c>
    </row>
    <row r="438" spans="1:4" x14ac:dyDescent="0.25">
      <c r="A438">
        <v>280034803</v>
      </c>
      <c r="B438">
        <v>49.158800116551603</v>
      </c>
      <c r="C438">
        <v>3460.7287257500002</v>
      </c>
      <c r="D438">
        <v>1.4204753972994E-2</v>
      </c>
    </row>
    <row r="439" spans="1:4" x14ac:dyDescent="0.25">
      <c r="A439">
        <v>280046597</v>
      </c>
      <c r="B439">
        <v>21.559462867702401</v>
      </c>
      <c r="C439">
        <v>3460.39661849</v>
      </c>
      <c r="D439">
        <v>6.2303444502584899E-3</v>
      </c>
    </row>
    <row r="440" spans="1:4" x14ac:dyDescent="0.25">
      <c r="A440">
        <v>280056887</v>
      </c>
      <c r="B440">
        <v>20.334755121948099</v>
      </c>
      <c r="C440">
        <v>3457.33852901</v>
      </c>
      <c r="D440">
        <v>5.8816210652564904E-3</v>
      </c>
    </row>
    <row r="441" spans="1:4" x14ac:dyDescent="0.25">
      <c r="A441">
        <v>280014295</v>
      </c>
      <c r="B441">
        <v>41.923074954586298</v>
      </c>
      <c r="C441">
        <v>3451.4989219499998</v>
      </c>
      <c r="D441">
        <v>1.2146338707503E-2</v>
      </c>
    </row>
    <row r="442" spans="1:4" x14ac:dyDescent="0.25">
      <c r="A442">
        <v>280059497</v>
      </c>
      <c r="B442">
        <v>21.673215943712101</v>
      </c>
      <c r="C442">
        <v>3449.8459348900001</v>
      </c>
      <c r="D442">
        <v>6.2823721269753396E-3</v>
      </c>
    </row>
    <row r="443" spans="1:4" x14ac:dyDescent="0.25">
      <c r="A443">
        <v>280049492</v>
      </c>
      <c r="B443">
        <v>21.517387448377701</v>
      </c>
      <c r="C443">
        <v>3442.7870415900002</v>
      </c>
      <c r="D443">
        <v>6.2499908325553003E-3</v>
      </c>
    </row>
    <row r="444" spans="1:4" x14ac:dyDescent="0.25">
      <c r="A444">
        <v>280010994</v>
      </c>
      <c r="B444">
        <v>43.401431073886101</v>
      </c>
      <c r="C444">
        <v>3442.67245073</v>
      </c>
      <c r="D444">
        <v>1.26069010906579E-2</v>
      </c>
    </row>
    <row r="445" spans="1:4" x14ac:dyDescent="0.25">
      <c r="A445">
        <v>280061149</v>
      </c>
      <c r="B445">
        <v>38.878759486992699</v>
      </c>
      <c r="C445">
        <v>3442.5230613499998</v>
      </c>
      <c r="D445">
        <v>1.1293681638183801E-2</v>
      </c>
    </row>
    <row r="446" spans="1:4" x14ac:dyDescent="0.25">
      <c r="A446">
        <v>280034951</v>
      </c>
      <c r="B446">
        <v>24.5771135307753</v>
      </c>
      <c r="C446">
        <v>3436.4331271800002</v>
      </c>
      <c r="D446">
        <v>7.1519254474606301E-3</v>
      </c>
    </row>
    <row r="447" spans="1:4" x14ac:dyDescent="0.25">
      <c r="A447">
        <v>280049580</v>
      </c>
      <c r="B447">
        <v>9.6733232634151491</v>
      </c>
      <c r="C447">
        <v>3434.4703368</v>
      </c>
      <c r="D447">
        <v>2.8165400527023002E-3</v>
      </c>
    </row>
    <row r="448" spans="1:4" x14ac:dyDescent="0.25">
      <c r="A448">
        <v>280052569</v>
      </c>
      <c r="B448">
        <v>25.1413396572135</v>
      </c>
      <c r="C448">
        <v>3432.5791992499999</v>
      </c>
      <c r="D448">
        <v>7.32432908254724E-3</v>
      </c>
    </row>
    <row r="449" spans="1:4" x14ac:dyDescent="0.25">
      <c r="A449">
        <v>280035233</v>
      </c>
      <c r="B449">
        <v>24.493298788174499</v>
      </c>
      <c r="C449">
        <v>3431.27967752</v>
      </c>
      <c r="D449">
        <v>7.1382402747995604E-3</v>
      </c>
    </row>
    <row r="450" spans="1:4" x14ac:dyDescent="0.25">
      <c r="A450">
        <v>280047965</v>
      </c>
      <c r="B450">
        <v>58.717619671226899</v>
      </c>
      <c r="C450">
        <v>3429.9961675200002</v>
      </c>
      <c r="D450">
        <v>1.7118858681898101E-2</v>
      </c>
    </row>
    <row r="451" spans="1:4" x14ac:dyDescent="0.25">
      <c r="A451">
        <v>280008835</v>
      </c>
      <c r="B451">
        <v>20.730099886786</v>
      </c>
      <c r="C451">
        <v>3428.1667735199999</v>
      </c>
      <c r="D451">
        <v>6.0469928262855696E-3</v>
      </c>
    </row>
    <row r="452" spans="1:4" x14ac:dyDescent="0.25">
      <c r="A452">
        <v>280066515</v>
      </c>
      <c r="B452">
        <v>35.268554615556397</v>
      </c>
      <c r="C452">
        <v>3425.6704678800002</v>
      </c>
      <c r="D452">
        <v>1.02953728171591E-2</v>
      </c>
    </row>
    <row r="453" spans="1:4" x14ac:dyDescent="0.25">
      <c r="A453">
        <v>280057955</v>
      </c>
      <c r="B453">
        <v>19.6509228486495</v>
      </c>
      <c r="C453">
        <v>3425.3219887</v>
      </c>
      <c r="D453">
        <v>5.73695638350995E-3</v>
      </c>
    </row>
    <row r="454" spans="1:4" x14ac:dyDescent="0.25">
      <c r="A454">
        <v>280000060</v>
      </c>
      <c r="B454">
        <v>55.066862833181098</v>
      </c>
      <c r="C454">
        <v>3425.2859244800002</v>
      </c>
      <c r="D454">
        <v>1.60765740575485E-2</v>
      </c>
    </row>
    <row r="455" spans="1:4" x14ac:dyDescent="0.25">
      <c r="A455">
        <v>280062378</v>
      </c>
      <c r="B455">
        <v>14.3706834240415</v>
      </c>
      <c r="C455">
        <v>3424.5214191099999</v>
      </c>
      <c r="D455">
        <v>4.1964063485917203E-3</v>
      </c>
    </row>
    <row r="456" spans="1:4" x14ac:dyDescent="0.25">
      <c r="A456">
        <v>280025814</v>
      </c>
      <c r="B456">
        <v>22.469681835137099</v>
      </c>
      <c r="C456">
        <v>3422.1272059600001</v>
      </c>
      <c r="D456">
        <v>6.5659984222689802E-3</v>
      </c>
    </row>
    <row r="457" spans="1:4" x14ac:dyDescent="0.25">
      <c r="A457">
        <v>280009579</v>
      </c>
      <c r="B457">
        <v>35.950978688341202</v>
      </c>
      <c r="C457">
        <v>3420.7760198400001</v>
      </c>
      <c r="D457">
        <v>1.05095973778554E-2</v>
      </c>
    </row>
    <row r="458" spans="1:4" x14ac:dyDescent="0.25">
      <c r="A458">
        <v>280003956</v>
      </c>
      <c r="B458">
        <v>20.727814380693399</v>
      </c>
      <c r="C458">
        <v>3418.8955239000002</v>
      </c>
      <c r="D458">
        <v>6.0627223721211598E-3</v>
      </c>
    </row>
    <row r="459" spans="1:4" x14ac:dyDescent="0.25">
      <c r="A459">
        <v>280005312</v>
      </c>
      <c r="B459">
        <v>11.0808008587309</v>
      </c>
      <c r="C459">
        <v>3414.23385865</v>
      </c>
      <c r="D459">
        <v>3.2454721373749999E-3</v>
      </c>
    </row>
    <row r="460" spans="1:4" x14ac:dyDescent="0.25">
      <c r="A460">
        <v>280022039</v>
      </c>
      <c r="B460">
        <v>23.110191962846699</v>
      </c>
      <c r="C460">
        <v>3413.9892725200002</v>
      </c>
      <c r="D460">
        <v>6.7692632044471001E-3</v>
      </c>
    </row>
    <row r="461" spans="1:4" x14ac:dyDescent="0.25">
      <c r="A461">
        <v>280013713</v>
      </c>
      <c r="B461">
        <v>25.344850082582202</v>
      </c>
      <c r="C461">
        <v>3413.3108580899998</v>
      </c>
      <c r="D461">
        <v>7.4252979398321001E-3</v>
      </c>
    </row>
    <row r="462" spans="1:4" x14ac:dyDescent="0.25">
      <c r="A462">
        <v>280029991</v>
      </c>
      <c r="B462">
        <v>46.863643294166799</v>
      </c>
      <c r="C462">
        <v>3412.2896032399999</v>
      </c>
      <c r="D462">
        <v>1.3733782516486701E-2</v>
      </c>
    </row>
    <row r="463" spans="1:4" x14ac:dyDescent="0.25">
      <c r="A463">
        <v>280052052</v>
      </c>
      <c r="B463">
        <v>42.043619264740599</v>
      </c>
      <c r="C463">
        <v>3408.4642693599999</v>
      </c>
      <c r="D463">
        <v>1.23350623454343E-2</v>
      </c>
    </row>
    <row r="464" spans="1:4" x14ac:dyDescent="0.25">
      <c r="A464">
        <v>280059577</v>
      </c>
      <c r="B464">
        <v>57.671953018994003</v>
      </c>
      <c r="C464">
        <v>3405.9347678499998</v>
      </c>
      <c r="D464">
        <v>1.6932782613273401E-2</v>
      </c>
    </row>
    <row r="465" spans="1:4" x14ac:dyDescent="0.25">
      <c r="A465">
        <v>280057781</v>
      </c>
      <c r="B465">
        <v>44.044857559186497</v>
      </c>
      <c r="C465">
        <v>3405.8173665600002</v>
      </c>
      <c r="D465">
        <v>1.29322429298883E-2</v>
      </c>
    </row>
    <row r="466" spans="1:4" x14ac:dyDescent="0.25">
      <c r="A466">
        <v>280062024</v>
      </c>
      <c r="B466">
        <v>15.1692482806423</v>
      </c>
      <c r="C466">
        <v>3403.69796051</v>
      </c>
      <c r="D466">
        <v>4.4566963510385502E-3</v>
      </c>
    </row>
    <row r="467" spans="1:4" x14ac:dyDescent="0.25">
      <c r="A467">
        <v>280015594</v>
      </c>
      <c r="B467">
        <v>18.523639441234501</v>
      </c>
      <c r="C467">
        <v>3402.37607652</v>
      </c>
      <c r="D467">
        <v>5.4443245028282499E-3</v>
      </c>
    </row>
    <row r="468" spans="1:4" x14ac:dyDescent="0.25">
      <c r="A468">
        <v>280055696</v>
      </c>
      <c r="B468">
        <v>27.0718507761189</v>
      </c>
      <c r="C468">
        <v>3400.4766539500001</v>
      </c>
      <c r="D468">
        <v>7.9611929535443708E-3</v>
      </c>
    </row>
    <row r="469" spans="1:4" x14ac:dyDescent="0.25">
      <c r="A469">
        <v>280017830</v>
      </c>
      <c r="B469">
        <v>22.513449636199599</v>
      </c>
      <c r="C469">
        <v>3394.2359279699999</v>
      </c>
      <c r="D469">
        <v>6.6328476022184703E-3</v>
      </c>
    </row>
    <row r="470" spans="1:4" x14ac:dyDescent="0.25">
      <c r="A470">
        <v>280013005</v>
      </c>
      <c r="B470">
        <v>37.443533981026498</v>
      </c>
      <c r="C470">
        <v>3392.2506124800002</v>
      </c>
      <c r="D470">
        <v>1.10379621845369E-2</v>
      </c>
    </row>
    <row r="471" spans="1:4" x14ac:dyDescent="0.25">
      <c r="A471">
        <v>280059020</v>
      </c>
      <c r="B471">
        <v>30.967362138855901</v>
      </c>
      <c r="C471">
        <v>3388.73705255</v>
      </c>
      <c r="D471">
        <v>9.1383195741177904E-3</v>
      </c>
    </row>
    <row r="472" spans="1:4" x14ac:dyDescent="0.25">
      <c r="A472">
        <v>280028594</v>
      </c>
      <c r="B472">
        <v>29.641220382591001</v>
      </c>
      <c r="C472">
        <v>3387.0047513200002</v>
      </c>
      <c r="D472">
        <v>8.7514552115815908E-3</v>
      </c>
    </row>
    <row r="473" spans="1:4" x14ac:dyDescent="0.25">
      <c r="A473">
        <v>280028359</v>
      </c>
      <c r="B473">
        <v>34.094023188090702</v>
      </c>
      <c r="C473">
        <v>3385.6749120300001</v>
      </c>
      <c r="D473">
        <v>1.0070081763298501E-2</v>
      </c>
    </row>
    <row r="474" spans="1:4" x14ac:dyDescent="0.25">
      <c r="A474">
        <v>280014156</v>
      </c>
      <c r="B474">
        <v>46.962353967061098</v>
      </c>
      <c r="C474">
        <v>3383.9270927699999</v>
      </c>
      <c r="D474">
        <v>1.38780631732284E-2</v>
      </c>
    </row>
    <row r="475" spans="1:4" x14ac:dyDescent="0.25">
      <c r="A475">
        <v>280064654</v>
      </c>
      <c r="B475">
        <v>25.4277914431113</v>
      </c>
      <c r="C475">
        <v>3382.5093827300002</v>
      </c>
      <c r="D475">
        <v>7.51743411945503E-3</v>
      </c>
    </row>
    <row r="476" spans="1:4" x14ac:dyDescent="0.25">
      <c r="A476">
        <v>280018208</v>
      </c>
      <c r="B476">
        <v>31.612003467960299</v>
      </c>
      <c r="C476">
        <v>3382.4282054700002</v>
      </c>
      <c r="D476">
        <v>9.3459495804930903E-3</v>
      </c>
    </row>
    <row r="477" spans="1:4" x14ac:dyDescent="0.25">
      <c r="A477">
        <v>280044387</v>
      </c>
      <c r="B477">
        <v>17.626596659464902</v>
      </c>
      <c r="C477">
        <v>3380.1793173800002</v>
      </c>
      <c r="D477">
        <v>5.2146927734968299E-3</v>
      </c>
    </row>
    <row r="478" spans="1:4" x14ac:dyDescent="0.25">
      <c r="A478">
        <v>280001330</v>
      </c>
      <c r="B478">
        <v>18.637873152659001</v>
      </c>
      <c r="C478">
        <v>3373.7936285000001</v>
      </c>
      <c r="D478">
        <v>5.5243074132383801E-3</v>
      </c>
    </row>
    <row r="479" spans="1:4" x14ac:dyDescent="0.25">
      <c r="A479">
        <v>280062722</v>
      </c>
      <c r="B479">
        <v>21.1860126034682</v>
      </c>
      <c r="C479">
        <v>3370.48916951</v>
      </c>
      <c r="D479">
        <v>6.28573822313995E-3</v>
      </c>
    </row>
    <row r="480" spans="1:4" x14ac:dyDescent="0.25">
      <c r="A480">
        <v>280004983</v>
      </c>
      <c r="B480">
        <v>17.009220554008099</v>
      </c>
      <c r="C480">
        <v>3369.6234091299998</v>
      </c>
      <c r="D480">
        <v>5.0478105380920403E-3</v>
      </c>
    </row>
    <row r="481" spans="1:4" x14ac:dyDescent="0.25">
      <c r="A481">
        <v>280044040</v>
      </c>
      <c r="B481">
        <v>45.118532228531002</v>
      </c>
      <c r="C481">
        <v>3367.49273834</v>
      </c>
      <c r="D481">
        <v>1.33982567252015E-2</v>
      </c>
    </row>
    <row r="482" spans="1:4" x14ac:dyDescent="0.25">
      <c r="A482">
        <v>280010978</v>
      </c>
      <c r="B482">
        <v>18.616434728055701</v>
      </c>
      <c r="C482">
        <v>3366.4723116800001</v>
      </c>
      <c r="D482">
        <v>5.5299533174432702E-3</v>
      </c>
    </row>
    <row r="483" spans="1:4" x14ac:dyDescent="0.25">
      <c r="A483">
        <v>280043676</v>
      </c>
      <c r="B483">
        <v>47.593229642978102</v>
      </c>
      <c r="C483">
        <v>3364.99412063</v>
      </c>
      <c r="D483">
        <v>1.4143629360656201E-2</v>
      </c>
    </row>
    <row r="484" spans="1:4" x14ac:dyDescent="0.25">
      <c r="A484">
        <v>280034478</v>
      </c>
      <c r="B484">
        <v>15.7543859366855</v>
      </c>
      <c r="C484">
        <v>3356.90747599</v>
      </c>
      <c r="D484">
        <v>4.6931248625014001E-3</v>
      </c>
    </row>
    <row r="485" spans="1:4" x14ac:dyDescent="0.25">
      <c r="A485">
        <v>280006165</v>
      </c>
      <c r="B485">
        <v>19.522449140802198</v>
      </c>
      <c r="C485">
        <v>3352.8566624499999</v>
      </c>
      <c r="D485">
        <v>5.8226315963464904E-3</v>
      </c>
    </row>
    <row r="486" spans="1:4" x14ac:dyDescent="0.25">
      <c r="A486">
        <v>280054469</v>
      </c>
      <c r="B486">
        <v>22.261203545914199</v>
      </c>
      <c r="C486">
        <v>3352.1661627600001</v>
      </c>
      <c r="D486">
        <v>6.6408413142579501E-3</v>
      </c>
    </row>
    <row r="487" spans="1:4" x14ac:dyDescent="0.25">
      <c r="A487">
        <v>280014536</v>
      </c>
      <c r="B487">
        <v>24.315348269347599</v>
      </c>
      <c r="C487">
        <v>3351.54456755</v>
      </c>
      <c r="D487">
        <v>7.2549679048792299E-3</v>
      </c>
    </row>
    <row r="488" spans="1:4" x14ac:dyDescent="0.25">
      <c r="A488">
        <v>280012258</v>
      </c>
      <c r="B488">
        <v>18.880481908873399</v>
      </c>
      <c r="C488">
        <v>3345.3029830199998</v>
      </c>
      <c r="D488">
        <v>5.6438779999020798E-3</v>
      </c>
    </row>
    <row r="489" spans="1:4" x14ac:dyDescent="0.25">
      <c r="A489">
        <v>280031890</v>
      </c>
      <c r="B489">
        <v>38.1818380285507</v>
      </c>
      <c r="C489">
        <v>3345.2660116100001</v>
      </c>
      <c r="D489">
        <v>1.14136926319276E-2</v>
      </c>
    </row>
    <row r="490" spans="1:4" x14ac:dyDescent="0.25">
      <c r="A490">
        <v>280028189</v>
      </c>
      <c r="B490">
        <v>43.502782835258401</v>
      </c>
      <c r="C490">
        <v>3340.6836867000002</v>
      </c>
      <c r="D490">
        <v>1.30221196961725E-2</v>
      </c>
    </row>
    <row r="491" spans="1:4" x14ac:dyDescent="0.25">
      <c r="A491">
        <v>280045278</v>
      </c>
      <c r="B491">
        <v>21.170622343191599</v>
      </c>
      <c r="C491">
        <v>3339.2582460399999</v>
      </c>
      <c r="D491">
        <v>6.3399176653371201E-3</v>
      </c>
    </row>
    <row r="492" spans="1:4" x14ac:dyDescent="0.25">
      <c r="A492">
        <v>280013435</v>
      </c>
      <c r="B492">
        <v>15.8216132031169</v>
      </c>
      <c r="C492">
        <v>3338.1226515100002</v>
      </c>
      <c r="D492">
        <v>4.73967401885608E-3</v>
      </c>
    </row>
    <row r="493" spans="1:4" x14ac:dyDescent="0.25">
      <c r="A493">
        <v>280045045</v>
      </c>
      <c r="B493">
        <v>9.6171212204756298</v>
      </c>
      <c r="C493">
        <v>3332.1875109399998</v>
      </c>
      <c r="D493">
        <v>2.8861284633296801E-3</v>
      </c>
    </row>
    <row r="494" spans="1:4" x14ac:dyDescent="0.25">
      <c r="A494">
        <v>280055741</v>
      </c>
      <c r="B494">
        <v>29.764581256387999</v>
      </c>
      <c r="C494">
        <v>3332.1354493099998</v>
      </c>
      <c r="D494">
        <v>8.9325844369716207E-3</v>
      </c>
    </row>
    <row r="495" spans="1:4" x14ac:dyDescent="0.25">
      <c r="A495">
        <v>280032750</v>
      </c>
      <c r="B495">
        <v>17.793055188733199</v>
      </c>
      <c r="C495">
        <v>3330.4541215499999</v>
      </c>
      <c r="D495">
        <v>5.3425312402899296E-3</v>
      </c>
    </row>
    <row r="496" spans="1:4" x14ac:dyDescent="0.25">
      <c r="A496">
        <v>280007579</v>
      </c>
      <c r="B496">
        <v>12.3979373351477</v>
      </c>
      <c r="C496">
        <v>3326.76223398</v>
      </c>
      <c r="D496">
        <v>3.72672781015532E-3</v>
      </c>
    </row>
    <row r="497" spans="1:4" x14ac:dyDescent="0.25">
      <c r="A497">
        <v>280053528</v>
      </c>
      <c r="B497">
        <v>44.279146448262203</v>
      </c>
      <c r="C497">
        <v>3322.9033171699998</v>
      </c>
      <c r="D497">
        <v>1.3325439298659199E-2</v>
      </c>
    </row>
    <row r="498" spans="1:4" x14ac:dyDescent="0.25">
      <c r="A498">
        <v>280003157</v>
      </c>
      <c r="B498">
        <v>20.2616998256843</v>
      </c>
      <c r="C498">
        <v>3322.8869562099999</v>
      </c>
      <c r="D498">
        <v>6.0976193571129602E-3</v>
      </c>
    </row>
    <row r="499" spans="1:4" x14ac:dyDescent="0.25">
      <c r="A499">
        <v>280049477</v>
      </c>
      <c r="B499">
        <v>20.659808418821498</v>
      </c>
      <c r="C499">
        <v>3321.7063990699999</v>
      </c>
      <c r="D499">
        <v>6.21963711922454E-3</v>
      </c>
    </row>
    <row r="500" spans="1:4" x14ac:dyDescent="0.25">
      <c r="A500">
        <v>280040405</v>
      </c>
      <c r="B500">
        <v>25.1654109256053</v>
      </c>
      <c r="C500">
        <v>3318.7939055299998</v>
      </c>
      <c r="D500">
        <v>7.5826977034256201E-3</v>
      </c>
    </row>
    <row r="501" spans="1:4" x14ac:dyDescent="0.25">
      <c r="A501">
        <v>280014484</v>
      </c>
      <c r="B501">
        <v>37.245054972683498</v>
      </c>
      <c r="C501">
        <v>3317.8888643599998</v>
      </c>
      <c r="D501">
        <v>1.12255281883493E-2</v>
      </c>
    </row>
    <row r="502" spans="1:4" x14ac:dyDescent="0.25">
      <c r="A502">
        <v>280027725</v>
      </c>
      <c r="B502">
        <v>42.719189256894801</v>
      </c>
      <c r="C502">
        <v>3317.18467719</v>
      </c>
      <c r="D502">
        <v>1.28781462035097E-2</v>
      </c>
    </row>
    <row r="503" spans="1:4" x14ac:dyDescent="0.25">
      <c r="A503">
        <v>280040390</v>
      </c>
      <c r="B503">
        <v>20.979161918515601</v>
      </c>
      <c r="C503">
        <v>3316.9105789499999</v>
      </c>
      <c r="D503">
        <v>6.3249103101105496E-3</v>
      </c>
    </row>
    <row r="504" spans="1:4" x14ac:dyDescent="0.25">
      <c r="A504">
        <v>280052251</v>
      </c>
      <c r="B504">
        <v>20.3481110966787</v>
      </c>
      <c r="C504">
        <v>3316.6589236300001</v>
      </c>
      <c r="D504">
        <v>6.1351231963304304E-3</v>
      </c>
    </row>
    <row r="505" spans="1:4" x14ac:dyDescent="0.25">
      <c r="A505">
        <v>280033758</v>
      </c>
      <c r="B505">
        <v>27.213369381828201</v>
      </c>
      <c r="C505">
        <v>3313.02250663</v>
      </c>
      <c r="D505">
        <v>8.2140611261677203E-3</v>
      </c>
    </row>
    <row r="506" spans="1:4" x14ac:dyDescent="0.25">
      <c r="A506">
        <v>280067015</v>
      </c>
      <c r="B506">
        <v>43.029860887686397</v>
      </c>
      <c r="C506">
        <v>3307.98658024</v>
      </c>
      <c r="D506">
        <v>1.30078704504794E-2</v>
      </c>
    </row>
    <row r="507" spans="1:4" x14ac:dyDescent="0.25">
      <c r="A507">
        <v>280056591</v>
      </c>
      <c r="B507">
        <v>36.704978742102</v>
      </c>
      <c r="C507">
        <v>3305.9814819399999</v>
      </c>
      <c r="D507">
        <v>1.1102596594268601E-2</v>
      </c>
    </row>
    <row r="508" spans="1:4" x14ac:dyDescent="0.25">
      <c r="A508">
        <v>280040699</v>
      </c>
      <c r="B508">
        <v>21.947049167395399</v>
      </c>
      <c r="C508">
        <v>3303.31433806</v>
      </c>
      <c r="D508">
        <v>6.6439481446033599E-3</v>
      </c>
    </row>
    <row r="509" spans="1:4" x14ac:dyDescent="0.25">
      <c r="A509">
        <v>280032892</v>
      </c>
      <c r="B509">
        <v>32.714455235612</v>
      </c>
      <c r="C509">
        <v>3302.0075370300001</v>
      </c>
      <c r="D509">
        <v>9.9074441438244207E-3</v>
      </c>
    </row>
    <row r="510" spans="1:4" x14ac:dyDescent="0.25">
      <c r="A510">
        <v>280039048</v>
      </c>
      <c r="B510">
        <v>43.117188933089103</v>
      </c>
      <c r="C510">
        <v>3301.19210264</v>
      </c>
      <c r="D510">
        <v>1.30610965955625E-2</v>
      </c>
    </row>
    <row r="511" spans="1:4" x14ac:dyDescent="0.25">
      <c r="A511">
        <v>280009759</v>
      </c>
      <c r="B511">
        <v>42.048802653148101</v>
      </c>
      <c r="C511">
        <v>3292.50655409</v>
      </c>
      <c r="D511">
        <v>1.27710611846511E-2</v>
      </c>
    </row>
    <row r="512" spans="1:4" x14ac:dyDescent="0.25">
      <c r="A512">
        <v>280055445</v>
      </c>
      <c r="B512">
        <v>45.933475811286002</v>
      </c>
      <c r="C512">
        <v>3288.5068478200001</v>
      </c>
      <c r="D512">
        <v>1.39678820622606E-2</v>
      </c>
    </row>
    <row r="513" spans="1:4" x14ac:dyDescent="0.25">
      <c r="A513">
        <v>280043837</v>
      </c>
      <c r="B513">
        <v>42.189382383395198</v>
      </c>
      <c r="C513">
        <v>3287.25702641</v>
      </c>
      <c r="D513">
        <v>1.28342207635252E-2</v>
      </c>
    </row>
    <row r="514" spans="1:4" x14ac:dyDescent="0.25">
      <c r="A514">
        <v>280052616</v>
      </c>
      <c r="B514">
        <v>33.034858462176501</v>
      </c>
      <c r="C514">
        <v>3286.5675160699998</v>
      </c>
      <c r="D514">
        <v>1.00514772024762E-2</v>
      </c>
    </row>
    <row r="515" spans="1:4" x14ac:dyDescent="0.25">
      <c r="A515">
        <v>280050500</v>
      </c>
      <c r="B515">
        <v>21.659510350867599</v>
      </c>
      <c r="C515">
        <v>3285.11833015</v>
      </c>
      <c r="D515">
        <v>6.5932207531405997E-3</v>
      </c>
    </row>
    <row r="516" spans="1:4" x14ac:dyDescent="0.25">
      <c r="A516">
        <v>280008757</v>
      </c>
      <c r="B516">
        <v>58.123854964369997</v>
      </c>
      <c r="C516">
        <v>3280.7570965599998</v>
      </c>
      <c r="D516">
        <v>1.7716598106368501E-2</v>
      </c>
    </row>
    <row r="517" spans="1:4" x14ac:dyDescent="0.25">
      <c r="A517">
        <v>280047570</v>
      </c>
      <c r="B517">
        <v>59.285561612340501</v>
      </c>
      <c r="C517">
        <v>3280.7186508899999</v>
      </c>
      <c r="D517">
        <v>1.8070906993581201E-2</v>
      </c>
    </row>
    <row r="518" spans="1:4" x14ac:dyDescent="0.25">
      <c r="A518">
        <v>280066590</v>
      </c>
      <c r="B518">
        <v>18.391370078309201</v>
      </c>
      <c r="C518">
        <v>3280.0940773799998</v>
      </c>
      <c r="D518">
        <v>5.6069642042094704E-3</v>
      </c>
    </row>
    <row r="519" spans="1:4" x14ac:dyDescent="0.25">
      <c r="A519">
        <v>280042629</v>
      </c>
      <c r="B519">
        <v>13.147254512147001</v>
      </c>
      <c r="C519">
        <v>3274.01765931</v>
      </c>
      <c r="D519">
        <v>4.0156333533392799E-3</v>
      </c>
    </row>
    <row r="520" spans="1:4" x14ac:dyDescent="0.25">
      <c r="A520">
        <v>280013022</v>
      </c>
      <c r="B520">
        <v>14.4364707602215</v>
      </c>
      <c r="C520">
        <v>3273.5040073199998</v>
      </c>
      <c r="D520">
        <v>4.4100971704752901E-3</v>
      </c>
    </row>
    <row r="521" spans="1:4" x14ac:dyDescent="0.25">
      <c r="A521">
        <v>280057665</v>
      </c>
      <c r="B521">
        <v>38.354561085490701</v>
      </c>
      <c r="C521">
        <v>3273.4392524999998</v>
      </c>
      <c r="D521">
        <v>1.17169002162476E-2</v>
      </c>
    </row>
    <row r="522" spans="1:4" x14ac:dyDescent="0.25">
      <c r="A522">
        <v>280006742</v>
      </c>
      <c r="B522">
        <v>13.677906412187999</v>
      </c>
      <c r="C522">
        <v>3271.94050969</v>
      </c>
      <c r="D522">
        <v>4.1803652516542496E-3</v>
      </c>
    </row>
    <row r="523" spans="1:4" x14ac:dyDescent="0.25">
      <c r="A523">
        <v>280034755</v>
      </c>
      <c r="B523">
        <v>18.524740499235101</v>
      </c>
      <c r="C523">
        <v>3267.42165755</v>
      </c>
      <c r="D523">
        <v>5.6695285888278702E-3</v>
      </c>
    </row>
    <row r="524" spans="1:4" x14ac:dyDescent="0.25">
      <c r="A524">
        <v>280018953</v>
      </c>
      <c r="B524">
        <v>15.9428333833272</v>
      </c>
      <c r="C524">
        <v>3265.1750038599998</v>
      </c>
      <c r="D524">
        <v>4.8826887883436599E-3</v>
      </c>
    </row>
    <row r="525" spans="1:4" x14ac:dyDescent="0.25">
      <c r="A525">
        <v>280041916</v>
      </c>
      <c r="B525">
        <v>35.359615530433601</v>
      </c>
      <c r="C525">
        <v>3261.2321468999999</v>
      </c>
      <c r="D525">
        <v>1.0842409843176901E-2</v>
      </c>
    </row>
    <row r="526" spans="1:4" x14ac:dyDescent="0.25">
      <c r="A526">
        <v>280021527</v>
      </c>
      <c r="B526">
        <v>23.561047728369701</v>
      </c>
      <c r="C526">
        <v>3257.9042177400001</v>
      </c>
      <c r="D526">
        <v>7.23196452494663E-3</v>
      </c>
    </row>
    <row r="527" spans="1:4" x14ac:dyDescent="0.25">
      <c r="A527">
        <v>280004216</v>
      </c>
      <c r="B527">
        <v>27.876123898462399</v>
      </c>
      <c r="C527">
        <v>3255.1229552300001</v>
      </c>
      <c r="D527">
        <v>8.5637698734771003E-3</v>
      </c>
    </row>
    <row r="528" spans="1:4" x14ac:dyDescent="0.25">
      <c r="A528">
        <v>280049080</v>
      </c>
      <c r="B528">
        <v>17.821906642847999</v>
      </c>
      <c r="C528">
        <v>3254.25845832</v>
      </c>
      <c r="D528">
        <v>5.4764877685985897E-3</v>
      </c>
    </row>
    <row r="529" spans="1:4" x14ac:dyDescent="0.25">
      <c r="A529">
        <v>280064574</v>
      </c>
      <c r="B529">
        <v>21.308442398527198</v>
      </c>
      <c r="C529">
        <v>3251.4481882800001</v>
      </c>
      <c r="D529">
        <v>6.5535235884534599E-3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E4:S317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2" sqref="C2"/>
    </sheetView>
  </sheetViews>
  <sheetFormatPr defaultRowHeight="15" x14ac:dyDescent="0.25"/>
  <cols>
    <col min="1" max="2" width="3.42578125" customWidth="1"/>
    <col min="3" max="3" width="10" bestFit="1" customWidth="1"/>
    <col min="4" max="4" width="19.5703125" bestFit="1" customWidth="1"/>
    <col min="5" max="6" width="13.7109375" style="1" bestFit="1" customWidth="1"/>
    <col min="7" max="7" width="14.5703125" style="1" bestFit="1" customWidth="1"/>
    <col min="8" max="8" width="13.140625" style="1" bestFit="1" customWidth="1"/>
    <col min="9" max="9" width="15.28515625" style="1" bestFit="1" customWidth="1"/>
    <col min="10" max="10" width="17.85546875" style="1" bestFit="1" customWidth="1"/>
    <col min="11" max="11" width="12.5703125" style="1" bestFit="1" customWidth="1"/>
    <col min="12" max="12" width="16.28515625" style="1" bestFit="1" customWidth="1"/>
    <col min="13" max="13" width="14.7109375" style="1" bestFit="1" customWidth="1"/>
    <col min="14" max="14" width="17" style="1" bestFit="1" customWidth="1"/>
    <col min="15" max="15" width="19.5703125" style="1" bestFit="1" customWidth="1"/>
    <col min="16" max="16" width="27.7109375" customWidth="1"/>
    <col min="17" max="17" width="18.28515625" bestFit="1" customWidth="1"/>
    <col min="18" max="18" width="34.140625" bestFit="1" customWidth="1"/>
    <col min="19" max="19" width="28.7109375" bestFit="1" customWidth="1"/>
  </cols>
  <sheetData>
    <row r="4" spans="16:19" x14ac:dyDescent="0.25">
      <c r="P4" s="8"/>
      <c r="Q4" s="8"/>
      <c r="R4" s="8"/>
      <c r="S4" s="8"/>
    </row>
    <row r="5" spans="16:19" x14ac:dyDescent="0.25">
      <c r="Q5" s="3"/>
      <c r="R5" s="3"/>
      <c r="S5" s="3"/>
    </row>
    <row r="6" spans="16:19" x14ac:dyDescent="0.25">
      <c r="Q6" s="3"/>
      <c r="R6" s="3"/>
      <c r="S6" s="3"/>
    </row>
    <row r="7" spans="16:19" x14ac:dyDescent="0.25">
      <c r="Q7" s="3"/>
      <c r="R7" s="3"/>
      <c r="S7" s="3"/>
    </row>
    <row r="8" spans="16:19" x14ac:dyDescent="0.25">
      <c r="Q8" s="3"/>
      <c r="R8" s="3"/>
      <c r="S8" s="3"/>
    </row>
    <row r="9" spans="16:19" x14ac:dyDescent="0.25">
      <c r="Q9" s="3"/>
      <c r="R9" s="3"/>
      <c r="S9" s="3"/>
    </row>
    <row r="10" spans="16:19" x14ac:dyDescent="0.25">
      <c r="Q10" s="3"/>
      <c r="R10" s="3"/>
      <c r="S10" s="3"/>
    </row>
    <row r="11" spans="16:19" x14ac:dyDescent="0.25">
      <c r="Q11" s="3"/>
      <c r="R11" s="3"/>
      <c r="S11" s="3"/>
    </row>
    <row r="12" spans="16:19" x14ac:dyDescent="0.25">
      <c r="Q12" s="3"/>
      <c r="R12" s="3"/>
      <c r="S12" s="3"/>
    </row>
    <row r="13" spans="16:19" x14ac:dyDescent="0.25">
      <c r="Q13" s="3"/>
      <c r="R13" s="3"/>
      <c r="S13" s="3"/>
    </row>
    <row r="14" spans="16:19" x14ac:dyDescent="0.25">
      <c r="Q14" s="3"/>
      <c r="R14" s="3"/>
      <c r="S14" s="3"/>
    </row>
    <row r="15" spans="16:19" x14ac:dyDescent="0.25">
      <c r="Q15" s="3"/>
      <c r="R15" s="3"/>
      <c r="S15" s="3"/>
    </row>
    <row r="16" spans="16:19" x14ac:dyDescent="0.25">
      <c r="Q16" s="3"/>
      <c r="R16" s="3"/>
      <c r="S16" s="3"/>
    </row>
    <row r="17" spans="17:19" x14ac:dyDescent="0.25">
      <c r="Q17" s="3"/>
      <c r="R17" s="3"/>
      <c r="S17" s="3"/>
    </row>
    <row r="18" spans="17:19" x14ac:dyDescent="0.25">
      <c r="Q18" s="3"/>
      <c r="R18" s="3"/>
      <c r="S18" s="3"/>
    </row>
    <row r="19" spans="17:19" x14ac:dyDescent="0.25">
      <c r="Q19" s="3"/>
      <c r="R19" s="3"/>
      <c r="S19" s="3"/>
    </row>
    <row r="20" spans="17:19" x14ac:dyDescent="0.25">
      <c r="Q20" s="3"/>
      <c r="R20" s="3"/>
      <c r="S20" s="3"/>
    </row>
    <row r="21" spans="17:19" x14ac:dyDescent="0.25">
      <c r="Q21" s="3"/>
      <c r="R21" s="3"/>
      <c r="S21" s="3"/>
    </row>
    <row r="22" spans="17:19" x14ac:dyDescent="0.25">
      <c r="Q22" s="3"/>
      <c r="R22" s="3"/>
      <c r="S22" s="3"/>
    </row>
    <row r="23" spans="17:19" x14ac:dyDescent="0.25">
      <c r="Q23" s="3"/>
      <c r="R23" s="3"/>
      <c r="S23" s="3"/>
    </row>
    <row r="24" spans="17:19" x14ac:dyDescent="0.25">
      <c r="Q24" s="3"/>
      <c r="R24" s="3"/>
      <c r="S24" s="3"/>
    </row>
    <row r="25" spans="17:19" x14ac:dyDescent="0.25">
      <c r="Q25" s="3"/>
      <c r="R25" s="3"/>
      <c r="S25" s="3"/>
    </row>
    <row r="26" spans="17:19" x14ac:dyDescent="0.25">
      <c r="Q26" s="3"/>
      <c r="R26" s="3"/>
      <c r="S26" s="3"/>
    </row>
    <row r="27" spans="17:19" x14ac:dyDescent="0.25">
      <c r="Q27" s="3"/>
      <c r="R27" s="3"/>
      <c r="S27" s="3"/>
    </row>
    <row r="28" spans="17:19" x14ac:dyDescent="0.25">
      <c r="Q28" s="3"/>
      <c r="R28" s="3"/>
      <c r="S28" s="3"/>
    </row>
    <row r="29" spans="17:19" x14ac:dyDescent="0.25">
      <c r="Q29" s="3"/>
      <c r="R29" s="3"/>
      <c r="S29" s="3"/>
    </row>
    <row r="30" spans="17:19" x14ac:dyDescent="0.25">
      <c r="Q30" s="3"/>
      <c r="R30" s="3"/>
      <c r="S30" s="3"/>
    </row>
    <row r="31" spans="17:19" x14ac:dyDescent="0.25">
      <c r="Q31" s="3"/>
      <c r="R31" s="3"/>
      <c r="S31" s="3"/>
    </row>
    <row r="32" spans="17:19" x14ac:dyDescent="0.25">
      <c r="Q32" s="3"/>
      <c r="R32" s="3"/>
      <c r="S32" s="3"/>
    </row>
    <row r="33" spans="17:19" x14ac:dyDescent="0.25">
      <c r="Q33" s="3"/>
      <c r="R33" s="3"/>
      <c r="S33" s="3"/>
    </row>
    <row r="34" spans="17:19" x14ac:dyDescent="0.25">
      <c r="Q34" s="3"/>
      <c r="R34" s="3"/>
      <c r="S34" s="3"/>
    </row>
    <row r="35" spans="17:19" x14ac:dyDescent="0.25">
      <c r="Q35" s="3"/>
      <c r="R35" s="3"/>
      <c r="S35" s="3"/>
    </row>
    <row r="36" spans="17:19" x14ac:dyDescent="0.25">
      <c r="Q36" s="3"/>
      <c r="R36" s="3"/>
      <c r="S36" s="3"/>
    </row>
    <row r="37" spans="17:19" x14ac:dyDescent="0.25">
      <c r="Q37" s="3"/>
      <c r="R37" s="3"/>
      <c r="S37" s="3"/>
    </row>
    <row r="38" spans="17:19" x14ac:dyDescent="0.25">
      <c r="Q38" s="3"/>
      <c r="R38" s="3"/>
      <c r="S38" s="3"/>
    </row>
    <row r="39" spans="17:19" x14ac:dyDescent="0.25">
      <c r="Q39" s="3"/>
      <c r="R39" s="3"/>
      <c r="S39" s="3"/>
    </row>
    <row r="40" spans="17:19" x14ac:dyDescent="0.25">
      <c r="Q40" s="3"/>
      <c r="R40" s="3"/>
      <c r="S40" s="3"/>
    </row>
    <row r="41" spans="17:19" x14ac:dyDescent="0.25">
      <c r="Q41" s="3"/>
      <c r="R41" s="3"/>
      <c r="S41" s="3"/>
    </row>
    <row r="42" spans="17:19" x14ac:dyDescent="0.25">
      <c r="Q42" s="3"/>
      <c r="R42" s="3"/>
      <c r="S42" s="3"/>
    </row>
    <row r="43" spans="17:19" x14ac:dyDescent="0.25">
      <c r="Q43" s="3"/>
      <c r="R43" s="3"/>
      <c r="S43" s="3"/>
    </row>
    <row r="44" spans="17:19" x14ac:dyDescent="0.25">
      <c r="Q44" s="3"/>
      <c r="R44" s="3"/>
      <c r="S44" s="3"/>
    </row>
    <row r="45" spans="17:19" x14ac:dyDescent="0.25">
      <c r="Q45" s="3"/>
      <c r="R45" s="3"/>
      <c r="S45" s="3"/>
    </row>
    <row r="46" spans="17:19" x14ac:dyDescent="0.25">
      <c r="Q46" s="3"/>
      <c r="R46" s="3"/>
      <c r="S46" s="3"/>
    </row>
    <row r="47" spans="17:19" x14ac:dyDescent="0.25">
      <c r="Q47" s="3"/>
      <c r="R47" s="3"/>
      <c r="S47" s="3"/>
    </row>
    <row r="48" spans="17:19" x14ac:dyDescent="0.25">
      <c r="Q48" s="3"/>
      <c r="R48" s="3"/>
      <c r="S48" s="3"/>
    </row>
    <row r="49" spans="17:19" x14ac:dyDescent="0.25">
      <c r="Q49" s="3"/>
      <c r="R49" s="3"/>
      <c r="S49" s="3"/>
    </row>
    <row r="50" spans="17:19" x14ac:dyDescent="0.25">
      <c r="Q50" s="3"/>
      <c r="R50" s="3"/>
      <c r="S50" s="3"/>
    </row>
    <row r="51" spans="17:19" x14ac:dyDescent="0.25">
      <c r="Q51" s="3"/>
      <c r="R51" s="3"/>
      <c r="S51" s="3"/>
    </row>
    <row r="52" spans="17:19" x14ac:dyDescent="0.25">
      <c r="Q52" s="3"/>
      <c r="R52" s="3"/>
      <c r="S52" s="3"/>
    </row>
    <row r="53" spans="17:19" x14ac:dyDescent="0.25">
      <c r="Q53" s="3"/>
      <c r="R53" s="3"/>
      <c r="S53" s="3"/>
    </row>
    <row r="54" spans="17:19" x14ac:dyDescent="0.25">
      <c r="Q54" s="3"/>
      <c r="R54" s="3"/>
      <c r="S54" s="3"/>
    </row>
    <row r="55" spans="17:19" x14ac:dyDescent="0.25">
      <c r="Q55" s="3"/>
      <c r="R55" s="3"/>
      <c r="S55" s="3"/>
    </row>
    <row r="56" spans="17:19" x14ac:dyDescent="0.25">
      <c r="Q56" s="3"/>
      <c r="R56" s="3"/>
      <c r="S56" s="3"/>
    </row>
    <row r="57" spans="17:19" x14ac:dyDescent="0.25">
      <c r="Q57" s="3"/>
      <c r="R57" s="3"/>
      <c r="S57" s="3"/>
    </row>
    <row r="58" spans="17:19" x14ac:dyDescent="0.25">
      <c r="Q58" s="3"/>
      <c r="R58" s="3"/>
      <c r="S58" s="3"/>
    </row>
    <row r="59" spans="17:19" x14ac:dyDescent="0.25">
      <c r="Q59" s="3"/>
      <c r="R59" s="3"/>
      <c r="S59" s="3"/>
    </row>
    <row r="60" spans="17:19" x14ac:dyDescent="0.25">
      <c r="Q60" s="3"/>
      <c r="R60" s="3"/>
      <c r="S60" s="3"/>
    </row>
    <row r="61" spans="17:19" x14ac:dyDescent="0.25">
      <c r="Q61" s="3"/>
      <c r="R61" s="3"/>
      <c r="S61" s="3"/>
    </row>
    <row r="62" spans="17:19" x14ac:dyDescent="0.25">
      <c r="Q62" s="3"/>
      <c r="R62" s="3"/>
      <c r="S62" s="3"/>
    </row>
    <row r="63" spans="17:19" x14ac:dyDescent="0.25">
      <c r="Q63" s="3"/>
      <c r="R63" s="3"/>
      <c r="S63" s="3"/>
    </row>
    <row r="64" spans="17:19" x14ac:dyDescent="0.25">
      <c r="Q64" s="3"/>
      <c r="R64" s="3"/>
      <c r="S64" s="3"/>
    </row>
    <row r="65" spans="17:19" x14ac:dyDescent="0.25">
      <c r="Q65" s="3"/>
      <c r="R65" s="3"/>
      <c r="S65" s="3"/>
    </row>
    <row r="66" spans="17:19" x14ac:dyDescent="0.25">
      <c r="Q66" s="3"/>
      <c r="R66" s="3"/>
      <c r="S66" s="3"/>
    </row>
    <row r="67" spans="17:19" x14ac:dyDescent="0.25">
      <c r="Q67" s="3"/>
      <c r="R67" s="3"/>
      <c r="S67" s="3"/>
    </row>
    <row r="68" spans="17:19" x14ac:dyDescent="0.25">
      <c r="Q68" s="3"/>
      <c r="R68" s="3"/>
      <c r="S68" s="3"/>
    </row>
    <row r="69" spans="17:19" x14ac:dyDescent="0.25">
      <c r="Q69" s="3"/>
      <c r="R69" s="3"/>
      <c r="S69" s="3"/>
    </row>
    <row r="70" spans="17:19" x14ac:dyDescent="0.25">
      <c r="Q70" s="3"/>
      <c r="R70" s="3"/>
      <c r="S70" s="3"/>
    </row>
    <row r="71" spans="17:19" x14ac:dyDescent="0.25">
      <c r="Q71" s="3"/>
      <c r="R71" s="3"/>
      <c r="S71" s="3"/>
    </row>
    <row r="72" spans="17:19" x14ac:dyDescent="0.25">
      <c r="Q72" s="3"/>
      <c r="R72" s="3"/>
      <c r="S72" s="3"/>
    </row>
    <row r="73" spans="17:19" x14ac:dyDescent="0.25">
      <c r="Q73" s="3"/>
      <c r="R73" s="3"/>
      <c r="S73" s="3"/>
    </row>
    <row r="74" spans="17:19" x14ac:dyDescent="0.25">
      <c r="Q74" s="3"/>
      <c r="R74" s="3"/>
      <c r="S74" s="3"/>
    </row>
    <row r="75" spans="17:19" x14ac:dyDescent="0.25">
      <c r="Q75" s="3"/>
      <c r="R75" s="3"/>
      <c r="S75" s="3"/>
    </row>
    <row r="76" spans="17:19" x14ac:dyDescent="0.25">
      <c r="Q76" s="3"/>
      <c r="R76" s="3"/>
      <c r="S76" s="3"/>
    </row>
    <row r="77" spans="17:19" x14ac:dyDescent="0.25">
      <c r="Q77" s="3"/>
      <c r="R77" s="3"/>
      <c r="S77" s="3"/>
    </row>
    <row r="78" spans="17:19" x14ac:dyDescent="0.25">
      <c r="Q78" s="3"/>
      <c r="R78" s="3"/>
      <c r="S78" s="3"/>
    </row>
    <row r="79" spans="17:19" x14ac:dyDescent="0.25">
      <c r="Q79" s="3"/>
      <c r="R79" s="3"/>
      <c r="S79" s="3"/>
    </row>
    <row r="80" spans="17:19" x14ac:dyDescent="0.25">
      <c r="Q80" s="3"/>
      <c r="R80" s="3"/>
      <c r="S80" s="3"/>
    </row>
    <row r="81" spans="17:19" x14ac:dyDescent="0.25">
      <c r="Q81" s="3"/>
      <c r="R81" s="3"/>
      <c r="S81" s="3"/>
    </row>
    <row r="82" spans="17:19" x14ac:dyDescent="0.25">
      <c r="Q82" s="3"/>
      <c r="R82" s="3"/>
      <c r="S82" s="3"/>
    </row>
    <row r="83" spans="17:19" x14ac:dyDescent="0.25">
      <c r="Q83" s="3"/>
      <c r="R83" s="3"/>
      <c r="S83" s="3"/>
    </row>
    <row r="84" spans="17:19" x14ac:dyDescent="0.25">
      <c r="Q84" s="3"/>
      <c r="R84" s="3"/>
      <c r="S84" s="3"/>
    </row>
    <row r="85" spans="17:19" x14ac:dyDescent="0.25">
      <c r="Q85" s="3"/>
      <c r="R85" s="3"/>
      <c r="S85" s="3"/>
    </row>
    <row r="86" spans="17:19" x14ac:dyDescent="0.25">
      <c r="Q86" s="3"/>
      <c r="R86" s="3"/>
      <c r="S86" s="3"/>
    </row>
    <row r="87" spans="17:19" x14ac:dyDescent="0.25">
      <c r="Q87" s="3"/>
      <c r="R87" s="3"/>
      <c r="S87" s="3"/>
    </row>
    <row r="88" spans="17:19" x14ac:dyDescent="0.25">
      <c r="Q88" s="3"/>
      <c r="R88" s="3"/>
      <c r="S88" s="3"/>
    </row>
    <row r="89" spans="17:19" x14ac:dyDescent="0.25">
      <c r="Q89" s="3"/>
      <c r="R89" s="3"/>
      <c r="S89" s="3"/>
    </row>
    <row r="90" spans="17:19" x14ac:dyDescent="0.25">
      <c r="Q90" s="3"/>
      <c r="R90" s="3"/>
      <c r="S90" s="3"/>
    </row>
    <row r="91" spans="17:19" x14ac:dyDescent="0.25">
      <c r="Q91" s="3"/>
      <c r="R91" s="3"/>
      <c r="S91" s="3"/>
    </row>
    <row r="92" spans="17:19" x14ac:dyDescent="0.25">
      <c r="Q92" s="3"/>
      <c r="R92" s="3"/>
      <c r="S92" s="3"/>
    </row>
    <row r="93" spans="17:19" x14ac:dyDescent="0.25">
      <c r="Q93" s="3"/>
      <c r="R93" s="3"/>
      <c r="S93" s="3"/>
    </row>
    <row r="94" spans="17:19" x14ac:dyDescent="0.25">
      <c r="Q94" s="3"/>
      <c r="R94" s="3"/>
      <c r="S94" s="3"/>
    </row>
    <row r="95" spans="17:19" x14ac:dyDescent="0.25">
      <c r="Q95" s="3"/>
      <c r="R95" s="3"/>
      <c r="S95" s="3"/>
    </row>
    <row r="96" spans="17:19" x14ac:dyDescent="0.25">
      <c r="Q96" s="3"/>
      <c r="R96" s="3"/>
      <c r="S96" s="3"/>
    </row>
    <row r="97" spans="17:19" x14ac:dyDescent="0.25">
      <c r="Q97" s="3"/>
      <c r="R97" s="3"/>
      <c r="S97" s="3"/>
    </row>
    <row r="98" spans="17:19" x14ac:dyDescent="0.25">
      <c r="Q98" s="3"/>
      <c r="R98" s="3"/>
      <c r="S98" s="3"/>
    </row>
    <row r="99" spans="17:19" x14ac:dyDescent="0.25">
      <c r="Q99" s="3"/>
      <c r="R99" s="3"/>
      <c r="S99" s="3"/>
    </row>
    <row r="100" spans="17:19" x14ac:dyDescent="0.25">
      <c r="Q100" s="3"/>
      <c r="R100" s="3"/>
      <c r="S100" s="3"/>
    </row>
    <row r="101" spans="17:19" x14ac:dyDescent="0.25">
      <c r="Q101" s="3"/>
      <c r="R101" s="3"/>
      <c r="S101" s="3"/>
    </row>
    <row r="102" spans="17:19" x14ac:dyDescent="0.25">
      <c r="Q102" s="3"/>
      <c r="R102" s="3"/>
      <c r="S102" s="3"/>
    </row>
    <row r="103" spans="17:19" x14ac:dyDescent="0.25">
      <c r="Q103" s="3"/>
      <c r="R103" s="3"/>
      <c r="S103" s="3"/>
    </row>
    <row r="104" spans="17:19" x14ac:dyDescent="0.25">
      <c r="Q104" s="3"/>
      <c r="R104" s="3"/>
      <c r="S104" s="3"/>
    </row>
    <row r="105" spans="17:19" x14ac:dyDescent="0.25">
      <c r="Q105" s="3"/>
      <c r="R105" s="3"/>
      <c r="S105" s="3"/>
    </row>
    <row r="106" spans="17:19" x14ac:dyDescent="0.25">
      <c r="Q106" s="3"/>
      <c r="R106" s="3"/>
      <c r="S106" s="3"/>
    </row>
    <row r="107" spans="17:19" x14ac:dyDescent="0.25">
      <c r="Q107" s="3"/>
      <c r="R107" s="3"/>
      <c r="S107" s="3"/>
    </row>
    <row r="108" spans="17:19" x14ac:dyDescent="0.25">
      <c r="Q108" s="3"/>
      <c r="R108" s="3"/>
      <c r="S108" s="3"/>
    </row>
    <row r="109" spans="17:19" x14ac:dyDescent="0.25">
      <c r="Q109" s="3"/>
      <c r="R109" s="3"/>
      <c r="S109" s="3"/>
    </row>
    <row r="110" spans="17:19" x14ac:dyDescent="0.25">
      <c r="Q110" s="3"/>
      <c r="R110" s="3"/>
      <c r="S110" s="3"/>
    </row>
    <row r="111" spans="17:19" x14ac:dyDescent="0.25">
      <c r="Q111" s="3"/>
      <c r="R111" s="3"/>
      <c r="S111" s="3"/>
    </row>
    <row r="112" spans="17:19" x14ac:dyDescent="0.25">
      <c r="Q112" s="3"/>
      <c r="R112" s="3"/>
      <c r="S112" s="3"/>
    </row>
    <row r="113" spans="17:19" x14ac:dyDescent="0.25">
      <c r="Q113" s="3"/>
      <c r="R113" s="3"/>
      <c r="S113" s="3"/>
    </row>
    <row r="114" spans="17:19" x14ac:dyDescent="0.25">
      <c r="Q114" s="3"/>
      <c r="R114" s="3"/>
      <c r="S114" s="3"/>
    </row>
    <row r="115" spans="17:19" x14ac:dyDescent="0.25">
      <c r="Q115" s="3"/>
      <c r="R115" s="3"/>
      <c r="S115" s="3"/>
    </row>
    <row r="116" spans="17:19" x14ac:dyDescent="0.25">
      <c r="Q116" s="3"/>
      <c r="R116" s="3"/>
      <c r="S116" s="3"/>
    </row>
    <row r="117" spans="17:19" x14ac:dyDescent="0.25">
      <c r="Q117" s="3"/>
      <c r="R117" s="3"/>
      <c r="S117" s="3"/>
    </row>
    <row r="118" spans="17:19" x14ac:dyDescent="0.25">
      <c r="Q118" s="3"/>
      <c r="R118" s="3"/>
      <c r="S118" s="3"/>
    </row>
    <row r="119" spans="17:19" x14ac:dyDescent="0.25">
      <c r="Q119" s="3"/>
      <c r="R119" s="3"/>
      <c r="S119" s="3"/>
    </row>
    <row r="120" spans="17:19" x14ac:dyDescent="0.25">
      <c r="Q120" s="3"/>
      <c r="R120" s="3"/>
      <c r="S120" s="3"/>
    </row>
    <row r="121" spans="17:19" x14ac:dyDescent="0.25">
      <c r="Q121" s="3"/>
      <c r="R121" s="3"/>
      <c r="S121" s="3"/>
    </row>
    <row r="122" spans="17:19" x14ac:dyDescent="0.25">
      <c r="Q122" s="3"/>
      <c r="R122" s="3"/>
      <c r="S122" s="3"/>
    </row>
    <row r="123" spans="17:19" x14ac:dyDescent="0.25">
      <c r="Q123" s="3"/>
      <c r="R123" s="3"/>
      <c r="S123" s="3"/>
    </row>
    <row r="124" spans="17:19" x14ac:dyDescent="0.25">
      <c r="Q124" s="3"/>
      <c r="R124" s="3"/>
      <c r="S124" s="3"/>
    </row>
    <row r="125" spans="17:19" x14ac:dyDescent="0.25">
      <c r="Q125" s="3"/>
      <c r="R125" s="3"/>
      <c r="S125" s="3"/>
    </row>
    <row r="126" spans="17:19" x14ac:dyDescent="0.25">
      <c r="Q126" s="3"/>
      <c r="R126" s="3"/>
      <c r="S126" s="3"/>
    </row>
    <row r="127" spans="17:19" x14ac:dyDescent="0.25">
      <c r="Q127" s="3"/>
      <c r="R127" s="3"/>
      <c r="S127" s="3"/>
    </row>
    <row r="128" spans="17:19" x14ac:dyDescent="0.25">
      <c r="Q128" s="3"/>
      <c r="R128" s="3"/>
      <c r="S128" s="3"/>
    </row>
    <row r="129" spans="17:19" x14ac:dyDescent="0.25">
      <c r="Q129" s="3"/>
      <c r="R129" s="3"/>
      <c r="S129" s="3"/>
    </row>
    <row r="130" spans="17:19" x14ac:dyDescent="0.25">
      <c r="Q130" s="3"/>
      <c r="R130" s="3"/>
      <c r="S130" s="3"/>
    </row>
    <row r="131" spans="17:19" x14ac:dyDescent="0.25">
      <c r="Q131" s="3"/>
      <c r="R131" s="3"/>
      <c r="S131" s="3"/>
    </row>
    <row r="132" spans="17:19" x14ac:dyDescent="0.25">
      <c r="Q132" s="3"/>
      <c r="R132" s="3"/>
      <c r="S132" s="3"/>
    </row>
    <row r="133" spans="17:19" x14ac:dyDescent="0.25">
      <c r="Q133" s="3"/>
      <c r="R133" s="3"/>
      <c r="S133" s="3"/>
    </row>
    <row r="134" spans="17:19" x14ac:dyDescent="0.25">
      <c r="Q134" s="3"/>
      <c r="R134" s="3"/>
      <c r="S134" s="3"/>
    </row>
    <row r="135" spans="17:19" x14ac:dyDescent="0.25">
      <c r="Q135" s="3"/>
      <c r="R135" s="3"/>
      <c r="S135" s="3"/>
    </row>
    <row r="136" spans="17:19" x14ac:dyDescent="0.25">
      <c r="Q136" s="3"/>
      <c r="R136" s="3"/>
      <c r="S136" s="3"/>
    </row>
    <row r="137" spans="17:19" x14ac:dyDescent="0.25">
      <c r="Q137" s="3"/>
      <c r="R137" s="3"/>
      <c r="S137" s="3"/>
    </row>
    <row r="138" spans="17:19" x14ac:dyDescent="0.25">
      <c r="Q138" s="3"/>
      <c r="R138" s="3"/>
      <c r="S138" s="3"/>
    </row>
    <row r="139" spans="17:19" x14ac:dyDescent="0.25">
      <c r="Q139" s="3"/>
      <c r="R139" s="3"/>
      <c r="S139" s="3"/>
    </row>
    <row r="140" spans="17:19" x14ac:dyDescent="0.25">
      <c r="Q140" s="3"/>
      <c r="R140" s="3"/>
      <c r="S140" s="3"/>
    </row>
    <row r="141" spans="17:19" x14ac:dyDescent="0.25">
      <c r="Q141" s="3"/>
      <c r="R141" s="3"/>
      <c r="S141" s="3"/>
    </row>
    <row r="142" spans="17:19" x14ac:dyDescent="0.25">
      <c r="Q142" s="3"/>
      <c r="R142" s="3"/>
      <c r="S142" s="3"/>
    </row>
    <row r="143" spans="17:19" x14ac:dyDescent="0.25">
      <c r="Q143" s="3"/>
      <c r="R143" s="3"/>
      <c r="S143" s="3"/>
    </row>
    <row r="144" spans="17:19" x14ac:dyDescent="0.25">
      <c r="Q144" s="3"/>
      <c r="R144" s="3"/>
      <c r="S144" s="3"/>
    </row>
    <row r="145" spans="17:19" x14ac:dyDescent="0.25">
      <c r="Q145" s="3"/>
      <c r="R145" s="3"/>
      <c r="S145" s="3"/>
    </row>
    <row r="146" spans="17:19" x14ac:dyDescent="0.25">
      <c r="Q146" s="3"/>
      <c r="R146" s="3"/>
      <c r="S146" s="3"/>
    </row>
    <row r="147" spans="17:19" x14ac:dyDescent="0.25">
      <c r="Q147" s="3"/>
      <c r="R147" s="3"/>
      <c r="S147" s="3"/>
    </row>
    <row r="148" spans="17:19" x14ac:dyDescent="0.25">
      <c r="Q148" s="3"/>
      <c r="R148" s="3"/>
      <c r="S148" s="3"/>
    </row>
    <row r="149" spans="17:19" x14ac:dyDescent="0.25">
      <c r="Q149" s="3"/>
      <c r="R149" s="3"/>
      <c r="S149" s="3"/>
    </row>
    <row r="150" spans="17:19" x14ac:dyDescent="0.25">
      <c r="Q150" s="3"/>
      <c r="R150" s="3"/>
      <c r="S150" s="3"/>
    </row>
    <row r="151" spans="17:19" x14ac:dyDescent="0.25">
      <c r="Q151" s="3"/>
      <c r="R151" s="3"/>
      <c r="S151" s="3"/>
    </row>
    <row r="152" spans="17:19" x14ac:dyDescent="0.25">
      <c r="Q152" s="3"/>
      <c r="R152" s="3"/>
      <c r="S152" s="3"/>
    </row>
    <row r="153" spans="17:19" x14ac:dyDescent="0.25">
      <c r="Q153" s="3"/>
      <c r="R153" s="3"/>
      <c r="S153" s="3"/>
    </row>
    <row r="154" spans="17:19" x14ac:dyDescent="0.25">
      <c r="Q154" s="3"/>
      <c r="R154" s="3"/>
      <c r="S154" s="3"/>
    </row>
    <row r="155" spans="17:19" x14ac:dyDescent="0.25">
      <c r="Q155" s="3"/>
      <c r="R155" s="3"/>
      <c r="S155" s="3"/>
    </row>
    <row r="156" spans="17:19" x14ac:dyDescent="0.25">
      <c r="Q156" s="3"/>
      <c r="R156" s="3"/>
      <c r="S156" s="3"/>
    </row>
    <row r="157" spans="17:19" x14ac:dyDescent="0.25">
      <c r="Q157" s="3"/>
      <c r="R157" s="3"/>
      <c r="S157" s="3"/>
    </row>
    <row r="158" spans="17:19" x14ac:dyDescent="0.25">
      <c r="Q158" s="3"/>
      <c r="R158" s="3"/>
      <c r="S158" s="3"/>
    </row>
    <row r="159" spans="17:19" x14ac:dyDescent="0.25">
      <c r="Q159" s="3"/>
      <c r="R159" s="3"/>
      <c r="S159" s="3"/>
    </row>
    <row r="160" spans="17:19" x14ac:dyDescent="0.25">
      <c r="Q160" s="3"/>
      <c r="R160" s="3"/>
      <c r="S160" s="3"/>
    </row>
    <row r="161" spans="17:19" x14ac:dyDescent="0.25">
      <c r="Q161" s="3"/>
      <c r="R161" s="3"/>
      <c r="S161" s="3"/>
    </row>
    <row r="162" spans="17:19" x14ac:dyDescent="0.25">
      <c r="Q162" s="3"/>
      <c r="R162" s="3"/>
      <c r="S162" s="3"/>
    </row>
    <row r="163" spans="17:19" x14ac:dyDescent="0.25">
      <c r="Q163" s="3"/>
      <c r="R163" s="3"/>
      <c r="S163" s="3"/>
    </row>
    <row r="164" spans="17:19" x14ac:dyDescent="0.25">
      <c r="Q164" s="3"/>
      <c r="R164" s="3"/>
      <c r="S164" s="3"/>
    </row>
    <row r="165" spans="17:19" x14ac:dyDescent="0.25">
      <c r="Q165" s="3"/>
      <c r="R165" s="3"/>
      <c r="S165" s="3"/>
    </row>
    <row r="166" spans="17:19" x14ac:dyDescent="0.25">
      <c r="Q166" s="3"/>
      <c r="R166" s="3"/>
      <c r="S166" s="3"/>
    </row>
    <row r="167" spans="17:19" x14ac:dyDescent="0.25">
      <c r="Q167" s="3"/>
      <c r="R167" s="3"/>
      <c r="S167" s="3"/>
    </row>
    <row r="168" spans="17:19" x14ac:dyDescent="0.25">
      <c r="Q168" s="3"/>
      <c r="R168" s="3"/>
      <c r="S168" s="3"/>
    </row>
    <row r="169" spans="17:19" x14ac:dyDescent="0.25">
      <c r="Q169" s="3"/>
      <c r="R169" s="3"/>
      <c r="S169" s="3"/>
    </row>
    <row r="170" spans="17:19" x14ac:dyDescent="0.25">
      <c r="Q170" s="3"/>
      <c r="R170" s="3"/>
      <c r="S170" s="3"/>
    </row>
    <row r="171" spans="17:19" x14ac:dyDescent="0.25">
      <c r="Q171" s="3"/>
      <c r="R171" s="3"/>
      <c r="S171" s="3"/>
    </row>
    <row r="172" spans="17:19" x14ac:dyDescent="0.25">
      <c r="Q172" s="3"/>
      <c r="R172" s="3"/>
      <c r="S172" s="3"/>
    </row>
    <row r="173" spans="17:19" x14ac:dyDescent="0.25">
      <c r="Q173" s="3"/>
      <c r="R173" s="3"/>
      <c r="S173" s="3"/>
    </row>
    <row r="174" spans="17:19" x14ac:dyDescent="0.25">
      <c r="Q174" s="3"/>
      <c r="R174" s="3"/>
      <c r="S174" s="3"/>
    </row>
    <row r="175" spans="17:19" x14ac:dyDescent="0.25">
      <c r="Q175" s="3"/>
      <c r="R175" s="3"/>
      <c r="S175" s="3"/>
    </row>
    <row r="176" spans="17:19" x14ac:dyDescent="0.25">
      <c r="Q176" s="3"/>
      <c r="R176" s="3"/>
      <c r="S176" s="3"/>
    </row>
    <row r="177" spans="17:19" x14ac:dyDescent="0.25">
      <c r="Q177" s="3"/>
      <c r="R177" s="3"/>
      <c r="S177" s="3"/>
    </row>
    <row r="178" spans="17:19" x14ac:dyDescent="0.25">
      <c r="Q178" s="3"/>
      <c r="R178" s="3"/>
      <c r="S178" s="3"/>
    </row>
    <row r="179" spans="17:19" x14ac:dyDescent="0.25">
      <c r="Q179" s="3"/>
      <c r="R179" s="3"/>
      <c r="S179" s="3"/>
    </row>
    <row r="180" spans="17:19" x14ac:dyDescent="0.25">
      <c r="Q180" s="3"/>
      <c r="R180" s="3"/>
      <c r="S180" s="3"/>
    </row>
    <row r="181" spans="17:19" x14ac:dyDescent="0.25">
      <c r="Q181" s="3"/>
      <c r="R181" s="3"/>
      <c r="S181" s="3"/>
    </row>
    <row r="182" spans="17:19" x14ac:dyDescent="0.25">
      <c r="Q182" s="3"/>
      <c r="R182" s="3"/>
      <c r="S182" s="3"/>
    </row>
    <row r="183" spans="17:19" x14ac:dyDescent="0.25">
      <c r="Q183" s="3"/>
      <c r="R183" s="3"/>
      <c r="S183" s="3"/>
    </row>
    <row r="184" spans="17:19" x14ac:dyDescent="0.25">
      <c r="Q184" s="3"/>
      <c r="R184" s="3"/>
      <c r="S184" s="3"/>
    </row>
    <row r="185" spans="17:19" x14ac:dyDescent="0.25">
      <c r="Q185" s="3"/>
      <c r="R185" s="3"/>
      <c r="S185" s="3"/>
    </row>
    <row r="186" spans="17:19" x14ac:dyDescent="0.25">
      <c r="Q186" s="3"/>
      <c r="R186" s="3"/>
      <c r="S186" s="3"/>
    </row>
    <row r="187" spans="17:19" x14ac:dyDescent="0.25">
      <c r="Q187" s="3"/>
      <c r="R187" s="3"/>
      <c r="S187" s="3"/>
    </row>
    <row r="188" spans="17:19" x14ac:dyDescent="0.25">
      <c r="Q188" s="3"/>
      <c r="R188" s="3"/>
      <c r="S188" s="3"/>
    </row>
    <row r="189" spans="17:19" x14ac:dyDescent="0.25">
      <c r="Q189" s="3"/>
      <c r="R189" s="3"/>
      <c r="S189" s="3"/>
    </row>
    <row r="190" spans="17:19" x14ac:dyDescent="0.25">
      <c r="Q190" s="3"/>
      <c r="R190" s="3"/>
      <c r="S190" s="3"/>
    </row>
    <row r="191" spans="17:19" x14ac:dyDescent="0.25">
      <c r="Q191" s="3"/>
      <c r="R191" s="3"/>
      <c r="S191" s="3"/>
    </row>
    <row r="192" spans="17:19" x14ac:dyDescent="0.25">
      <c r="Q192" s="3"/>
      <c r="R192" s="3"/>
      <c r="S192" s="3"/>
    </row>
    <row r="193" spans="17:19" x14ac:dyDescent="0.25">
      <c r="Q193" s="3"/>
      <c r="R193" s="3"/>
      <c r="S193" s="3"/>
    </row>
    <row r="194" spans="17:19" x14ac:dyDescent="0.25">
      <c r="Q194" s="3"/>
      <c r="R194" s="3"/>
      <c r="S194" s="3"/>
    </row>
    <row r="195" spans="17:19" x14ac:dyDescent="0.25">
      <c r="Q195" s="3"/>
      <c r="R195" s="3"/>
      <c r="S195" s="3"/>
    </row>
    <row r="196" spans="17:19" x14ac:dyDescent="0.25">
      <c r="Q196" s="3"/>
      <c r="R196" s="3"/>
      <c r="S196" s="3"/>
    </row>
    <row r="197" spans="17:19" x14ac:dyDescent="0.25">
      <c r="Q197" s="3"/>
      <c r="R197" s="3"/>
      <c r="S197" s="3"/>
    </row>
    <row r="198" spans="17:19" x14ac:dyDescent="0.25">
      <c r="Q198" s="3"/>
      <c r="R198" s="3"/>
      <c r="S198" s="3"/>
    </row>
    <row r="199" spans="17:19" x14ac:dyDescent="0.25">
      <c r="Q199" s="3"/>
      <c r="R199" s="3"/>
      <c r="S199" s="3"/>
    </row>
    <row r="200" spans="17:19" x14ac:dyDescent="0.25">
      <c r="Q200" s="3"/>
      <c r="R200" s="3"/>
      <c r="S200" s="3"/>
    </row>
    <row r="201" spans="17:19" x14ac:dyDescent="0.25">
      <c r="Q201" s="3"/>
      <c r="R201" s="3"/>
      <c r="S201" s="3"/>
    </row>
    <row r="202" spans="17:19" x14ac:dyDescent="0.25">
      <c r="Q202" s="3"/>
      <c r="R202" s="3"/>
      <c r="S202" s="3"/>
    </row>
    <row r="203" spans="17:19" x14ac:dyDescent="0.25">
      <c r="Q203" s="3"/>
      <c r="R203" s="3"/>
      <c r="S203" s="3"/>
    </row>
    <row r="204" spans="17:19" x14ac:dyDescent="0.25">
      <c r="Q204" s="3"/>
      <c r="R204" s="3"/>
      <c r="S204" s="3"/>
    </row>
    <row r="205" spans="17:19" x14ac:dyDescent="0.25">
      <c r="Q205" s="3"/>
      <c r="R205" s="3"/>
      <c r="S205" s="3"/>
    </row>
    <row r="206" spans="17:19" x14ac:dyDescent="0.25">
      <c r="Q206" s="3"/>
      <c r="R206" s="3"/>
      <c r="S206" s="3"/>
    </row>
    <row r="207" spans="17:19" x14ac:dyDescent="0.25">
      <c r="Q207" s="3"/>
      <c r="R207" s="3"/>
      <c r="S207" s="3"/>
    </row>
    <row r="208" spans="17:19" x14ac:dyDescent="0.25">
      <c r="Q208" s="3"/>
      <c r="R208" s="3"/>
      <c r="S208" s="3"/>
    </row>
    <row r="209" spans="17:19" x14ac:dyDescent="0.25">
      <c r="Q209" s="3"/>
      <c r="R209" s="3"/>
      <c r="S209" s="3"/>
    </row>
    <row r="210" spans="17:19" x14ac:dyDescent="0.25">
      <c r="Q210" s="3"/>
      <c r="R210" s="3"/>
      <c r="S210" s="3"/>
    </row>
    <row r="211" spans="17:19" x14ac:dyDescent="0.25">
      <c r="Q211" s="3"/>
      <c r="R211" s="3"/>
      <c r="S211" s="3"/>
    </row>
    <row r="212" spans="17:19" x14ac:dyDescent="0.25">
      <c r="Q212" s="3"/>
      <c r="R212" s="3"/>
      <c r="S212" s="3"/>
    </row>
    <row r="213" spans="17:19" x14ac:dyDescent="0.25">
      <c r="Q213" s="3"/>
      <c r="R213" s="3"/>
      <c r="S213" s="3"/>
    </row>
    <row r="214" spans="17:19" x14ac:dyDescent="0.25">
      <c r="Q214" s="3"/>
      <c r="R214" s="3"/>
      <c r="S214" s="3"/>
    </row>
    <row r="215" spans="17:19" x14ac:dyDescent="0.25">
      <c r="Q215" s="3"/>
      <c r="R215" s="3"/>
      <c r="S215" s="3"/>
    </row>
    <row r="216" spans="17:19" x14ac:dyDescent="0.25">
      <c r="Q216" s="3"/>
      <c r="R216" s="3"/>
      <c r="S216" s="3"/>
    </row>
    <row r="217" spans="17:19" x14ac:dyDescent="0.25">
      <c r="Q217" s="3"/>
      <c r="R217" s="3"/>
      <c r="S217" s="3"/>
    </row>
    <row r="218" spans="17:19" x14ac:dyDescent="0.25">
      <c r="Q218" s="3"/>
      <c r="R218" s="3"/>
      <c r="S218" s="3"/>
    </row>
    <row r="219" spans="17:19" x14ac:dyDescent="0.25">
      <c r="Q219" s="3"/>
      <c r="R219" s="3"/>
      <c r="S219" s="3"/>
    </row>
    <row r="220" spans="17:19" x14ac:dyDescent="0.25">
      <c r="Q220" s="3"/>
      <c r="R220" s="3"/>
      <c r="S220" s="3"/>
    </row>
    <row r="221" spans="17:19" x14ac:dyDescent="0.25">
      <c r="Q221" s="3"/>
      <c r="R221" s="3"/>
      <c r="S221" s="3"/>
    </row>
    <row r="222" spans="17:19" x14ac:dyDescent="0.25">
      <c r="Q222" s="3"/>
      <c r="R222" s="3"/>
      <c r="S222" s="3"/>
    </row>
    <row r="223" spans="17:19" x14ac:dyDescent="0.25">
      <c r="Q223" s="3"/>
      <c r="R223" s="3"/>
      <c r="S223" s="3"/>
    </row>
    <row r="224" spans="17:19" x14ac:dyDescent="0.25">
      <c r="Q224" s="3"/>
      <c r="R224" s="3"/>
      <c r="S224" s="3"/>
    </row>
    <row r="225" spans="17:19" x14ac:dyDescent="0.25">
      <c r="Q225" s="3"/>
      <c r="R225" s="3"/>
      <c r="S225" s="3"/>
    </row>
    <row r="226" spans="17:19" x14ac:dyDescent="0.25">
      <c r="Q226" s="3"/>
      <c r="R226" s="3"/>
      <c r="S226" s="3"/>
    </row>
    <row r="227" spans="17:19" x14ac:dyDescent="0.25">
      <c r="Q227" s="3"/>
      <c r="R227" s="3"/>
      <c r="S227" s="3"/>
    </row>
    <row r="228" spans="17:19" x14ac:dyDescent="0.25">
      <c r="Q228" s="3"/>
      <c r="R228" s="3"/>
      <c r="S228" s="3"/>
    </row>
    <row r="229" spans="17:19" x14ac:dyDescent="0.25">
      <c r="Q229" s="3"/>
      <c r="R229" s="3"/>
      <c r="S229" s="3"/>
    </row>
    <row r="230" spans="17:19" x14ac:dyDescent="0.25">
      <c r="Q230" s="3"/>
      <c r="R230" s="3"/>
      <c r="S230" s="3"/>
    </row>
    <row r="231" spans="17:19" x14ac:dyDescent="0.25">
      <c r="Q231" s="3"/>
      <c r="R231" s="3"/>
      <c r="S231" s="3"/>
    </row>
    <row r="232" spans="17:19" x14ac:dyDescent="0.25">
      <c r="Q232" s="3"/>
      <c r="R232" s="3"/>
      <c r="S232" s="3"/>
    </row>
    <row r="233" spans="17:19" x14ac:dyDescent="0.25">
      <c r="Q233" s="3"/>
      <c r="R233" s="3"/>
      <c r="S233" s="3"/>
    </row>
    <row r="234" spans="17:19" x14ac:dyDescent="0.25">
      <c r="Q234" s="3"/>
      <c r="R234" s="3"/>
      <c r="S234" s="3"/>
    </row>
    <row r="235" spans="17:19" x14ac:dyDescent="0.25">
      <c r="Q235" s="3"/>
      <c r="R235" s="3"/>
      <c r="S235" s="3"/>
    </row>
    <row r="236" spans="17:19" x14ac:dyDescent="0.25">
      <c r="Q236" s="3"/>
      <c r="R236" s="3"/>
      <c r="S236" s="3"/>
    </row>
    <row r="237" spans="17:19" x14ac:dyDescent="0.25">
      <c r="Q237" s="3"/>
      <c r="R237" s="3"/>
      <c r="S237" s="3"/>
    </row>
    <row r="238" spans="17:19" x14ac:dyDescent="0.25">
      <c r="Q238" s="3"/>
      <c r="R238" s="3"/>
      <c r="S238" s="3"/>
    </row>
    <row r="239" spans="17:19" x14ac:dyDescent="0.25">
      <c r="Q239" s="3"/>
      <c r="R239" s="3"/>
      <c r="S239" s="3"/>
    </row>
    <row r="240" spans="17:19" x14ac:dyDescent="0.25">
      <c r="Q240" s="3"/>
      <c r="R240" s="3"/>
      <c r="S240" s="3"/>
    </row>
    <row r="241" spans="17:19" x14ac:dyDescent="0.25">
      <c r="Q241" s="3"/>
      <c r="R241" s="3"/>
      <c r="S241" s="3"/>
    </row>
    <row r="242" spans="17:19" x14ac:dyDescent="0.25">
      <c r="Q242" s="3"/>
      <c r="R242" s="3"/>
      <c r="S242" s="3"/>
    </row>
    <row r="243" spans="17:19" x14ac:dyDescent="0.25">
      <c r="Q243" s="3"/>
      <c r="R243" s="3"/>
      <c r="S243" s="3"/>
    </row>
    <row r="244" spans="17:19" x14ac:dyDescent="0.25">
      <c r="Q244" s="3"/>
      <c r="R244" s="3"/>
      <c r="S244" s="3"/>
    </row>
    <row r="245" spans="17:19" x14ac:dyDescent="0.25">
      <c r="Q245" s="3"/>
      <c r="R245" s="3"/>
      <c r="S245" s="3"/>
    </row>
    <row r="246" spans="17:19" x14ac:dyDescent="0.25">
      <c r="Q246" s="3"/>
      <c r="R246" s="3"/>
      <c r="S246" s="3"/>
    </row>
    <row r="247" spans="17:19" x14ac:dyDescent="0.25">
      <c r="Q247" s="3"/>
      <c r="R247" s="3"/>
      <c r="S247" s="3"/>
    </row>
    <row r="248" spans="17:19" x14ac:dyDescent="0.25">
      <c r="Q248" s="3"/>
      <c r="R248" s="3"/>
      <c r="S248" s="3"/>
    </row>
    <row r="249" spans="17:19" x14ac:dyDescent="0.25">
      <c r="Q249" s="3"/>
      <c r="R249" s="3"/>
      <c r="S249" s="3"/>
    </row>
    <row r="250" spans="17:19" x14ac:dyDescent="0.25">
      <c r="Q250" s="3"/>
      <c r="R250" s="3"/>
      <c r="S250" s="3"/>
    </row>
    <row r="251" spans="17:19" x14ac:dyDescent="0.25">
      <c r="Q251" s="3"/>
      <c r="R251" s="3"/>
      <c r="S251" s="3"/>
    </row>
    <row r="252" spans="17:19" x14ac:dyDescent="0.25">
      <c r="Q252" s="3"/>
      <c r="R252" s="3"/>
      <c r="S252" s="3"/>
    </row>
    <row r="253" spans="17:19" x14ac:dyDescent="0.25">
      <c r="Q253" s="3"/>
      <c r="R253" s="3"/>
      <c r="S253" s="3"/>
    </row>
    <row r="254" spans="17:19" x14ac:dyDescent="0.25">
      <c r="Q254" s="3"/>
      <c r="R254" s="3"/>
      <c r="S254" s="3"/>
    </row>
    <row r="255" spans="17:19" x14ac:dyDescent="0.25">
      <c r="Q255" s="3"/>
      <c r="R255" s="3"/>
      <c r="S255" s="3"/>
    </row>
    <row r="256" spans="17:19" x14ac:dyDescent="0.25">
      <c r="Q256" s="3"/>
      <c r="R256" s="3"/>
      <c r="S256" s="3"/>
    </row>
    <row r="257" spans="17:19" x14ac:dyDescent="0.25">
      <c r="Q257" s="3"/>
      <c r="R257" s="3"/>
      <c r="S257" s="3"/>
    </row>
    <row r="258" spans="17:19" x14ac:dyDescent="0.25">
      <c r="Q258" s="3"/>
      <c r="R258" s="3"/>
      <c r="S258" s="3"/>
    </row>
    <row r="259" spans="17:19" x14ac:dyDescent="0.25">
      <c r="Q259" s="3"/>
      <c r="R259" s="3"/>
      <c r="S259" s="3"/>
    </row>
    <row r="260" spans="17:19" x14ac:dyDescent="0.25">
      <c r="Q260" s="3"/>
      <c r="R260" s="3"/>
      <c r="S260" s="3"/>
    </row>
    <row r="261" spans="17:19" x14ac:dyDescent="0.25">
      <c r="Q261" s="3"/>
      <c r="R261" s="3"/>
      <c r="S261" s="3"/>
    </row>
    <row r="262" spans="17:19" x14ac:dyDescent="0.25">
      <c r="Q262" s="3"/>
      <c r="R262" s="3"/>
      <c r="S262" s="3"/>
    </row>
    <row r="263" spans="17:19" x14ac:dyDescent="0.25">
      <c r="Q263" s="3"/>
      <c r="R263" s="3"/>
      <c r="S263" s="3"/>
    </row>
    <row r="264" spans="17:19" x14ac:dyDescent="0.25">
      <c r="Q264" s="3"/>
      <c r="R264" s="3"/>
      <c r="S264" s="3"/>
    </row>
    <row r="265" spans="17:19" x14ac:dyDescent="0.25">
      <c r="Q265" s="3"/>
      <c r="R265" s="3"/>
      <c r="S265" s="3"/>
    </row>
    <row r="266" spans="17:19" x14ac:dyDescent="0.25">
      <c r="Q266" s="3"/>
      <c r="R266" s="3"/>
      <c r="S266" s="3"/>
    </row>
    <row r="267" spans="17:19" x14ac:dyDescent="0.25">
      <c r="Q267" s="3"/>
      <c r="R267" s="3"/>
      <c r="S267" s="3"/>
    </row>
    <row r="268" spans="17:19" x14ac:dyDescent="0.25">
      <c r="Q268" s="3"/>
      <c r="R268" s="3"/>
      <c r="S268" s="3"/>
    </row>
    <row r="269" spans="17:19" x14ac:dyDescent="0.25">
      <c r="Q269" s="3"/>
      <c r="R269" s="3"/>
      <c r="S269" s="3"/>
    </row>
    <row r="270" spans="17:19" x14ac:dyDescent="0.25">
      <c r="Q270" s="3"/>
      <c r="R270" s="3"/>
      <c r="S270" s="3"/>
    </row>
    <row r="271" spans="17:19" x14ac:dyDescent="0.25">
      <c r="Q271" s="3"/>
      <c r="R271" s="3"/>
      <c r="S271" s="3"/>
    </row>
    <row r="272" spans="17:19" x14ac:dyDescent="0.25">
      <c r="Q272" s="3"/>
      <c r="R272" s="3"/>
      <c r="S272" s="3"/>
    </row>
    <row r="273" spans="17:19" x14ac:dyDescent="0.25">
      <c r="Q273" s="3"/>
      <c r="R273" s="3"/>
      <c r="S273" s="3"/>
    </row>
    <row r="274" spans="17:19" x14ac:dyDescent="0.25">
      <c r="Q274" s="3"/>
      <c r="R274" s="3"/>
      <c r="S274" s="3"/>
    </row>
    <row r="275" spans="17:19" x14ac:dyDescent="0.25">
      <c r="Q275" s="3"/>
      <c r="R275" s="3"/>
      <c r="S275" s="3"/>
    </row>
    <row r="276" spans="17:19" x14ac:dyDescent="0.25">
      <c r="Q276" s="3"/>
      <c r="R276" s="3"/>
      <c r="S276" s="3"/>
    </row>
    <row r="277" spans="17:19" x14ac:dyDescent="0.25">
      <c r="Q277" s="3"/>
      <c r="R277" s="3"/>
      <c r="S277" s="3"/>
    </row>
    <row r="278" spans="17:19" x14ac:dyDescent="0.25">
      <c r="Q278" s="3"/>
      <c r="R278" s="3"/>
      <c r="S278" s="3"/>
    </row>
    <row r="279" spans="17:19" x14ac:dyDescent="0.25">
      <c r="Q279" s="3"/>
      <c r="R279" s="3"/>
      <c r="S279" s="3"/>
    </row>
    <row r="280" spans="17:19" x14ac:dyDescent="0.25">
      <c r="Q280" s="3"/>
      <c r="R280" s="3"/>
      <c r="S280" s="3"/>
    </row>
    <row r="281" spans="17:19" x14ac:dyDescent="0.25">
      <c r="Q281" s="3"/>
      <c r="R281" s="3"/>
      <c r="S281" s="3"/>
    </row>
    <row r="282" spans="17:19" x14ac:dyDescent="0.25">
      <c r="Q282" s="3"/>
      <c r="R282" s="3"/>
      <c r="S282" s="3"/>
    </row>
    <row r="283" spans="17:19" x14ac:dyDescent="0.25">
      <c r="Q283" s="3"/>
      <c r="R283" s="3"/>
      <c r="S283" s="3"/>
    </row>
    <row r="284" spans="17:19" x14ac:dyDescent="0.25">
      <c r="Q284" s="3"/>
      <c r="R284" s="3"/>
      <c r="S284" s="3"/>
    </row>
    <row r="285" spans="17:19" x14ac:dyDescent="0.25">
      <c r="Q285" s="3"/>
      <c r="R285" s="3"/>
      <c r="S285" s="3"/>
    </row>
    <row r="286" spans="17:19" x14ac:dyDescent="0.25">
      <c r="Q286" s="3"/>
      <c r="R286" s="3"/>
      <c r="S286" s="3"/>
    </row>
    <row r="287" spans="17:19" x14ac:dyDescent="0.25">
      <c r="Q287" s="3"/>
      <c r="R287" s="3"/>
      <c r="S287" s="3"/>
    </row>
    <row r="288" spans="17:19" x14ac:dyDescent="0.25">
      <c r="Q288" s="3"/>
      <c r="R288" s="3"/>
      <c r="S288" s="3"/>
    </row>
    <row r="289" spans="17:19" x14ac:dyDescent="0.25">
      <c r="Q289" s="3"/>
      <c r="R289" s="3"/>
      <c r="S289" s="3"/>
    </row>
    <row r="290" spans="17:19" x14ac:dyDescent="0.25">
      <c r="Q290" s="3"/>
      <c r="R290" s="3"/>
      <c r="S290" s="3"/>
    </row>
    <row r="291" spans="17:19" x14ac:dyDescent="0.25">
      <c r="Q291" s="3"/>
      <c r="R291" s="3"/>
      <c r="S291" s="3"/>
    </row>
    <row r="292" spans="17:19" x14ac:dyDescent="0.25">
      <c r="Q292" s="3"/>
      <c r="R292" s="3"/>
      <c r="S292" s="3"/>
    </row>
    <row r="293" spans="17:19" x14ac:dyDescent="0.25">
      <c r="Q293" s="3"/>
      <c r="R293" s="3"/>
      <c r="S293" s="3"/>
    </row>
    <row r="294" spans="17:19" x14ac:dyDescent="0.25">
      <c r="Q294" s="3"/>
      <c r="R294" s="3"/>
      <c r="S294" s="3"/>
    </row>
    <row r="295" spans="17:19" x14ac:dyDescent="0.25">
      <c r="Q295" s="3"/>
      <c r="R295" s="3"/>
      <c r="S295" s="3"/>
    </row>
    <row r="296" spans="17:19" x14ac:dyDescent="0.25">
      <c r="Q296" s="3"/>
      <c r="R296" s="3"/>
      <c r="S296" s="3"/>
    </row>
    <row r="297" spans="17:19" x14ac:dyDescent="0.25">
      <c r="Q297" s="3"/>
      <c r="R297" s="3"/>
      <c r="S297" s="3"/>
    </row>
    <row r="298" spans="17:19" x14ac:dyDescent="0.25">
      <c r="Q298" s="3"/>
      <c r="R298" s="3"/>
      <c r="S298" s="3"/>
    </row>
    <row r="299" spans="17:19" x14ac:dyDescent="0.25">
      <c r="Q299" s="3"/>
      <c r="R299" s="3"/>
      <c r="S299" s="3"/>
    </row>
    <row r="300" spans="17:19" x14ac:dyDescent="0.25">
      <c r="Q300" s="3"/>
      <c r="R300" s="3"/>
      <c r="S300" s="3"/>
    </row>
    <row r="301" spans="17:19" x14ac:dyDescent="0.25">
      <c r="Q301" s="3"/>
      <c r="R301" s="3"/>
      <c r="S301" s="3"/>
    </row>
    <row r="302" spans="17:19" x14ac:dyDescent="0.25">
      <c r="Q302" s="3"/>
      <c r="R302" s="3"/>
      <c r="S302" s="3"/>
    </row>
    <row r="303" spans="17:19" x14ac:dyDescent="0.25">
      <c r="Q303" s="3"/>
      <c r="R303" s="3"/>
      <c r="S303" s="3"/>
    </row>
    <row r="304" spans="17:19" x14ac:dyDescent="0.25">
      <c r="Q304" s="3"/>
      <c r="R304" s="3"/>
      <c r="S304" s="3"/>
    </row>
    <row r="305" spans="17:19" x14ac:dyDescent="0.25">
      <c r="Q305" s="3"/>
      <c r="R305" s="3"/>
      <c r="S305" s="3"/>
    </row>
    <row r="306" spans="17:19" x14ac:dyDescent="0.25">
      <c r="Q306" s="3"/>
      <c r="R306" s="3"/>
      <c r="S306" s="3"/>
    </row>
    <row r="307" spans="17:19" x14ac:dyDescent="0.25">
      <c r="Q307" s="3"/>
      <c r="R307" s="3"/>
      <c r="S307" s="3"/>
    </row>
    <row r="308" spans="17:19" x14ac:dyDescent="0.25">
      <c r="Q308" s="3"/>
      <c r="R308" s="3"/>
      <c r="S308" s="3"/>
    </row>
    <row r="309" spans="17:19" x14ac:dyDescent="0.25">
      <c r="Q309" s="3"/>
      <c r="R309" s="3"/>
      <c r="S309" s="3"/>
    </row>
    <row r="310" spans="17:19" x14ac:dyDescent="0.25">
      <c r="Q310" s="3"/>
      <c r="R310" s="3"/>
      <c r="S310" s="3"/>
    </row>
    <row r="311" spans="17:19" x14ac:dyDescent="0.25">
      <c r="Q311" s="3"/>
      <c r="R311" s="3"/>
      <c r="S311" s="3"/>
    </row>
    <row r="312" spans="17:19" x14ac:dyDescent="0.25">
      <c r="Q312" s="3"/>
      <c r="R312" s="3"/>
      <c r="S312" s="3"/>
    </row>
    <row r="313" spans="17:19" x14ac:dyDescent="0.25">
      <c r="Q313" s="3"/>
      <c r="R313" s="3"/>
      <c r="S313" s="3"/>
    </row>
    <row r="314" spans="17:19" x14ac:dyDescent="0.25">
      <c r="Q314" s="3"/>
      <c r="R314" s="3"/>
      <c r="S314" s="3"/>
    </row>
    <row r="315" spans="17:19" x14ac:dyDescent="0.25">
      <c r="Q315" s="3"/>
      <c r="R315" s="3"/>
      <c r="S315" s="3"/>
    </row>
    <row r="316" spans="17:19" x14ac:dyDescent="0.25">
      <c r="Q316" s="3"/>
      <c r="R316" s="3"/>
      <c r="S316" s="3"/>
    </row>
    <row r="317" spans="17:19" x14ac:dyDescent="0.25">
      <c r="Q317" s="3"/>
      <c r="R317" s="3"/>
      <c r="S317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C4:H27"/>
  <sheetViews>
    <sheetView workbookViewId="0">
      <pane ySplit="4" topLeftCell="A5" activePane="bottomLeft" state="frozen"/>
      <selection pane="bottomLeft" activeCell="F37" sqref="F37"/>
    </sheetView>
  </sheetViews>
  <sheetFormatPr defaultColWidth="8.85546875" defaultRowHeight="15" x14ac:dyDescent="0.25"/>
  <cols>
    <col min="3" max="3" width="20.85546875" bestFit="1" customWidth="1"/>
    <col min="4" max="4" width="21.140625" customWidth="1"/>
    <col min="8" max="8" width="19.5703125" bestFit="1" customWidth="1"/>
  </cols>
  <sheetData>
    <row r="4" spans="3:8" x14ac:dyDescent="0.25">
      <c r="C4" s="6" t="s">
        <v>191</v>
      </c>
      <c r="D4" s="6" t="s">
        <v>192</v>
      </c>
      <c r="H4" s="6" t="s">
        <v>193</v>
      </c>
    </row>
    <row r="5" spans="3:8" x14ac:dyDescent="0.25">
      <c r="C5" t="s">
        <v>194</v>
      </c>
      <c r="D5" t="s">
        <v>17</v>
      </c>
      <c r="H5" s="6">
        <v>142843</v>
      </c>
    </row>
    <row r="6" spans="3:8" x14ac:dyDescent="0.25">
      <c r="C6" t="s">
        <v>195</v>
      </c>
      <c r="D6" t="s">
        <v>12</v>
      </c>
      <c r="H6" s="6">
        <v>159488</v>
      </c>
    </row>
    <row r="7" spans="3:8" x14ac:dyDescent="0.25">
      <c r="C7" t="s">
        <v>196</v>
      </c>
      <c r="D7" t="s">
        <v>12</v>
      </c>
      <c r="H7" s="6">
        <v>160913</v>
      </c>
    </row>
    <row r="8" spans="3:8" x14ac:dyDescent="0.25">
      <c r="C8" t="s">
        <v>197</v>
      </c>
      <c r="D8" t="s">
        <v>21</v>
      </c>
      <c r="H8" s="6">
        <v>170561</v>
      </c>
    </row>
    <row r="9" spans="3:8" x14ac:dyDescent="0.25">
      <c r="C9" t="s">
        <v>198</v>
      </c>
      <c r="D9" t="s">
        <v>64</v>
      </c>
      <c r="H9" s="6">
        <v>170549</v>
      </c>
    </row>
    <row r="10" spans="3:8" x14ac:dyDescent="0.25">
      <c r="C10" t="s">
        <v>199</v>
      </c>
      <c r="D10" t="s">
        <v>19</v>
      </c>
      <c r="H10" s="6">
        <v>170562</v>
      </c>
    </row>
    <row r="11" spans="3:8" x14ac:dyDescent="0.25">
      <c r="C11" t="s">
        <v>200</v>
      </c>
      <c r="D11" t="s">
        <v>201</v>
      </c>
      <c r="H11" s="6">
        <v>170548</v>
      </c>
    </row>
    <row r="12" spans="3:8" x14ac:dyDescent="0.25">
      <c r="C12" t="s">
        <v>202</v>
      </c>
      <c r="D12" t="s">
        <v>201</v>
      </c>
      <c r="H12" s="6">
        <v>159476</v>
      </c>
    </row>
    <row r="13" spans="3:8" x14ac:dyDescent="0.25">
      <c r="C13" t="s">
        <v>203</v>
      </c>
      <c r="D13" t="s">
        <v>67</v>
      </c>
      <c r="H13" s="6">
        <v>160914</v>
      </c>
    </row>
    <row r="14" spans="3:8" x14ac:dyDescent="0.25">
      <c r="C14" t="s">
        <v>204</v>
      </c>
      <c r="D14" t="s">
        <v>25</v>
      </c>
      <c r="H14" s="6">
        <v>170563</v>
      </c>
    </row>
    <row r="15" spans="3:8" x14ac:dyDescent="0.25">
      <c r="C15" t="s">
        <v>205</v>
      </c>
      <c r="D15" t="s">
        <v>25</v>
      </c>
      <c r="H15" s="6">
        <v>170550</v>
      </c>
    </row>
    <row r="16" spans="3:8" x14ac:dyDescent="0.25">
      <c r="C16" t="s">
        <v>65</v>
      </c>
      <c r="D16" t="s">
        <v>65</v>
      </c>
      <c r="H16" s="6">
        <v>170547</v>
      </c>
    </row>
    <row r="17" spans="3:8" x14ac:dyDescent="0.25">
      <c r="C17" t="s">
        <v>206</v>
      </c>
      <c r="D17" t="s">
        <v>23</v>
      </c>
      <c r="H17" s="6">
        <v>154434</v>
      </c>
    </row>
    <row r="18" spans="3:8" x14ac:dyDescent="0.25">
      <c r="C18" t="s">
        <v>207</v>
      </c>
      <c r="D18" t="s">
        <v>20</v>
      </c>
      <c r="H18" s="6">
        <v>170546</v>
      </c>
    </row>
    <row r="19" spans="3:8" x14ac:dyDescent="0.25">
      <c r="C19" t="s">
        <v>208</v>
      </c>
      <c r="D19" t="s">
        <v>15</v>
      </c>
      <c r="H19" s="8">
        <v>170566</v>
      </c>
    </row>
    <row r="20" spans="3:8" x14ac:dyDescent="0.25">
      <c r="C20" t="s">
        <v>103</v>
      </c>
      <c r="D20" t="s">
        <v>103</v>
      </c>
      <c r="H20" s="8">
        <v>170567</v>
      </c>
    </row>
    <row r="21" spans="3:8" x14ac:dyDescent="0.25">
      <c r="C21" t="s">
        <v>209</v>
      </c>
      <c r="D21" t="s">
        <v>210</v>
      </c>
    </row>
    <row r="22" spans="3:8" x14ac:dyDescent="0.25">
      <c r="C22" t="s">
        <v>211</v>
      </c>
      <c r="D22" t="s">
        <v>15</v>
      </c>
    </row>
    <row r="23" spans="3:8" x14ac:dyDescent="0.25">
      <c r="C23" t="s">
        <v>212</v>
      </c>
      <c r="D23" t="s">
        <v>212</v>
      </c>
    </row>
    <row r="24" spans="3:8" x14ac:dyDescent="0.25">
      <c r="C24" t="s">
        <v>213</v>
      </c>
      <c r="D24" t="s">
        <v>17</v>
      </c>
    </row>
    <row r="25" spans="3:8" x14ac:dyDescent="0.25">
      <c r="C25" t="s">
        <v>214</v>
      </c>
      <c r="D25" t="s">
        <v>20</v>
      </c>
    </row>
    <row r="26" spans="3:8" x14ac:dyDescent="0.25">
      <c r="C26" t="s">
        <v>212</v>
      </c>
      <c r="D26" t="s">
        <v>215</v>
      </c>
    </row>
    <row r="27" spans="3:8" x14ac:dyDescent="0.25">
      <c r="C27" t="s">
        <v>103</v>
      </c>
      <c r="D27" t="s">
        <v>216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690309CB603C740B095177ABCF0BF45" ma:contentTypeVersion="19" ma:contentTypeDescription="Create a new document." ma:contentTypeScope="" ma:versionID="83a2348e1f3a3edc3aeb726bb1ff5e47">
  <xsd:schema xmlns:xsd="http://www.w3.org/2001/XMLSchema" xmlns:xs="http://www.w3.org/2001/XMLSchema" xmlns:p="http://schemas.microsoft.com/office/2006/metadata/properties" xmlns:ns2="1b9dc3c2-4107-47ab-8c76-3de2a88a6845" xmlns:ns3="0df57293-4281-495b-b749-eb22d0eefa27" targetNamespace="http://schemas.microsoft.com/office/2006/metadata/properties" ma:root="true" ma:fieldsID="5d955212c5603caa921b6093f03b56d4" ns2:_="" ns3:_="">
    <xsd:import namespace="1b9dc3c2-4107-47ab-8c76-3de2a88a6845"/>
    <xsd:import namespace="0df57293-4281-495b-b749-eb22d0eefa2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9dc3c2-4107-47ab-8c76-3de2a88a684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3c63590f-e136-402c-b21b-912a68c3a36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CR" ma:index="2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f57293-4281-495b-b749-eb22d0eefa27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68718a25-6f72-4d3a-bb07-0239c8e60d6a}" ma:internalName="TaxCatchAll" ma:showField="CatchAllData" ma:web="0df57293-4281-495b-b749-eb22d0eefa2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df57293-4281-495b-b749-eb22d0eefa27" xsi:nil="true"/>
    <lcf76f155ced4ddcb4097134ff3c332f xmlns="1b9dc3c2-4107-47ab-8c76-3de2a88a684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6EB2CB3-D969-4C79-AF59-E9E97969A26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494D11E-1597-4EDA-8043-EBA8AACA5E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9dc3c2-4107-47ab-8c76-3de2a88a6845"/>
    <ds:schemaRef ds:uri="0df57293-4281-495b-b749-eb22d0eefa2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B1F6ACA-4A3D-4BAE-9FB6-F1AABB245FF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C07A915-3A68-4706-BEFC-9A67A0808978}">
  <ds:schemaRefs>
    <ds:schemaRef ds:uri="http://schemas.microsoft.com/office/2006/metadata/properties"/>
    <ds:schemaRef ds:uri="http://schemas.microsoft.com/office/infopath/2007/PartnerControls"/>
    <ds:schemaRef ds:uri="0df57293-4281-495b-b749-eb22d0eefa27"/>
    <ds:schemaRef ds:uri="1b9dc3c2-4107-47ab-8c76-3de2a88a684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Event Summary</vt:lpstr>
      <vt:lpstr>Loss by Contract</vt:lpstr>
      <vt:lpstr>Net Waterfall</vt:lpstr>
      <vt:lpstr>IndustryEventsInfo1</vt:lpstr>
      <vt:lpstr>gross</vt:lpstr>
      <vt:lpstr>netoflogan</vt:lpstr>
      <vt:lpstr>netofcession</vt:lpstr>
      <vt:lpstr>reinstprem</vt:lpstr>
      <vt:lpstr>Input</vt:lpstr>
      <vt:lpstr>SQL</vt:lpstr>
      <vt:lpstr>Spread of events</vt:lpstr>
      <vt:lpstr>ByUWArea</vt:lpstr>
      <vt:lpstr>Lists1</vt:lpstr>
      <vt:lpstr>'Net Waterfall'!Print_Area</vt:lpstr>
      <vt:lpstr>Lists1!uwareatable</vt:lpstr>
    </vt:vector>
  </TitlesOfParts>
  <Manager/>
  <Company>Everest Global Services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 Macintyre</dc:creator>
  <cp:keywords/>
  <dc:description/>
  <cp:lastModifiedBy>Neil Schwarzenberger</cp:lastModifiedBy>
  <cp:revision/>
  <dcterms:created xsi:type="dcterms:W3CDTF">2012-11-02T16:55:29Z</dcterms:created>
  <dcterms:modified xsi:type="dcterms:W3CDTF">2026-03-06T16:06:13Z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1ebd11a-b6f9-4dc5-b693-2b1ea05c52bf_Enabled">
    <vt:lpwstr>true</vt:lpwstr>
  </property>
  <property fmtid="{D5CDD505-2E9C-101B-9397-08002B2CF9AE}" pid="3" name="MSIP_Label_f1ebd11a-b6f9-4dc5-b693-2b1ea05c52bf_SetDate">
    <vt:lpwstr>2023-08-31T18:50:55Z</vt:lpwstr>
  </property>
  <property fmtid="{D5CDD505-2E9C-101B-9397-08002B2CF9AE}" pid="4" name="MSIP_Label_f1ebd11a-b6f9-4dc5-b693-2b1ea05c52bf_Method">
    <vt:lpwstr>Privileged</vt:lpwstr>
  </property>
  <property fmtid="{D5CDD505-2E9C-101B-9397-08002B2CF9AE}" pid="5" name="MSIP_Label_f1ebd11a-b6f9-4dc5-b693-2b1ea05c52bf_Name">
    <vt:lpwstr>General Data</vt:lpwstr>
  </property>
  <property fmtid="{D5CDD505-2E9C-101B-9397-08002B2CF9AE}" pid="6" name="MSIP_Label_f1ebd11a-b6f9-4dc5-b693-2b1ea05c52bf_SiteId">
    <vt:lpwstr>0002cd24-7dd6-4542-acd6-e0c7e184c80c</vt:lpwstr>
  </property>
  <property fmtid="{D5CDD505-2E9C-101B-9397-08002B2CF9AE}" pid="7" name="MSIP_Label_f1ebd11a-b6f9-4dc5-b693-2b1ea05c52bf_ActionId">
    <vt:lpwstr>5464c3d5-1354-4d09-9dc7-9de2760b6b71</vt:lpwstr>
  </property>
  <property fmtid="{D5CDD505-2E9C-101B-9397-08002B2CF9AE}" pid="8" name="MSIP_Label_f1ebd11a-b6f9-4dc5-b693-2b1ea05c52bf_ContentBits">
    <vt:lpwstr>0</vt:lpwstr>
  </property>
  <property fmtid="{D5CDD505-2E9C-101B-9397-08002B2CF9AE}" pid="9" name="ContentTypeId">
    <vt:lpwstr>0x010100E690309CB603C740B095177ABCF0BF45</vt:lpwstr>
  </property>
  <property fmtid="{D5CDD505-2E9C-101B-9397-08002B2CF9AE}" pid="10" name="MediaServiceImageTags">
    <vt:lpwstr/>
  </property>
</Properties>
</file>